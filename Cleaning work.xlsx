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i Project\GIT HUB FILES\"/>
    </mc:Choice>
  </mc:AlternateContent>
  <xr:revisionPtr revIDLastSave="0" documentId="13_ncr:1_{2BFE47CB-5AF0-4CC4-AE79-B04FB0DB6218}" xr6:coauthVersionLast="47" xr6:coauthVersionMax="47" xr10:uidLastSave="{00000000-0000-0000-0000-000000000000}"/>
  <bookViews>
    <workbookView xWindow="-108" yWindow="-108" windowWidth="23256" windowHeight="12576" activeTab="4" xr2:uid="{0FCE0831-0F18-4EF6-93FA-5FBE84D6B38C}"/>
  </bookViews>
  <sheets>
    <sheet name="messy ds" sheetId="2" r:id="rId1"/>
    <sheet name="cleaning" sheetId="3" r:id="rId2"/>
    <sheet name="date_conversion" sheetId="5" r:id="rId3"/>
    <sheet name="Cleaned_Date" sheetId="4" r:id="rId4"/>
    <sheet name="cleaned ds" sheetId="1" r:id="rId5"/>
  </sheets>
  <definedNames>
    <definedName name="ExternalData_2" localSheetId="4" hidden="1">'cleaned ds'!$A$1:$J$1001</definedName>
    <definedName name="ExternalData_3" localSheetId="3" hidden="1">Cleaned_Date!$A$1:$J$1001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98" i="1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2" i="5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2" i="3"/>
  <c r="L2" i="3" a="1"/>
  <c r="L2" i="3"/>
  <c r="L1001" i="3" a="1"/>
  <c r="L1001" i="3" s="1"/>
  <c r="L1000" i="3" a="1"/>
  <c r="L1000" i="3" s="1"/>
  <c r="L999" i="3" a="1"/>
  <c r="L999" i="3" s="1"/>
  <c r="L998" i="3" a="1"/>
  <c r="L998" i="3" s="1"/>
  <c r="L997" i="3" a="1"/>
  <c r="L997" i="3" s="1"/>
  <c r="L996" i="3" a="1"/>
  <c r="L996" i="3" s="1"/>
  <c r="L995" i="3" a="1"/>
  <c r="L995" i="3" s="1"/>
  <c r="L994" i="3" a="1"/>
  <c r="L994" i="3" s="1"/>
  <c r="L993" i="3" a="1"/>
  <c r="L993" i="3" s="1"/>
  <c r="L992" i="3" a="1"/>
  <c r="L992" i="3" s="1"/>
  <c r="L991" i="3" a="1"/>
  <c r="L991" i="3" s="1"/>
  <c r="L990" i="3" a="1"/>
  <c r="L990" i="3" s="1"/>
  <c r="L989" i="3" a="1"/>
  <c r="L989" i="3" s="1"/>
  <c r="L988" i="3" a="1"/>
  <c r="L988" i="3" s="1"/>
  <c r="L987" i="3" a="1"/>
  <c r="L987" i="3" s="1"/>
  <c r="L986" i="3" a="1"/>
  <c r="L986" i="3" s="1"/>
  <c r="L985" i="3" a="1"/>
  <c r="L985" i="3" s="1"/>
  <c r="L984" i="3" a="1"/>
  <c r="L984" i="3" s="1"/>
  <c r="L983" i="3" a="1"/>
  <c r="L983" i="3" s="1"/>
  <c r="L982" i="3" a="1"/>
  <c r="L982" i="3" s="1"/>
  <c r="L981" i="3" a="1"/>
  <c r="L981" i="3" s="1"/>
  <c r="L980" i="3" a="1"/>
  <c r="L980" i="3" s="1"/>
  <c r="L979" i="3" a="1"/>
  <c r="L979" i="3" s="1"/>
  <c r="L978" i="3" a="1"/>
  <c r="L978" i="3" s="1"/>
  <c r="L977" i="3" a="1"/>
  <c r="L977" i="3" s="1"/>
  <c r="L976" i="3" a="1"/>
  <c r="L976" i="3" s="1"/>
  <c r="L975" i="3" a="1"/>
  <c r="L975" i="3" s="1"/>
  <c r="L974" i="3" a="1"/>
  <c r="L974" i="3" s="1"/>
  <c r="L973" i="3" a="1"/>
  <c r="L973" i="3" s="1"/>
  <c r="L972" i="3" a="1"/>
  <c r="L972" i="3" s="1"/>
  <c r="L971" i="3" a="1"/>
  <c r="L971" i="3" s="1"/>
  <c r="L970" i="3" a="1"/>
  <c r="L970" i="3" s="1"/>
  <c r="L969" i="3" a="1"/>
  <c r="L969" i="3" s="1"/>
  <c r="L968" i="3" a="1"/>
  <c r="L968" i="3" s="1"/>
  <c r="L967" i="3" a="1"/>
  <c r="L967" i="3" s="1"/>
  <c r="L966" i="3" a="1"/>
  <c r="L966" i="3" s="1"/>
  <c r="L965" i="3" a="1"/>
  <c r="L965" i="3" s="1"/>
  <c r="L964" i="3" a="1"/>
  <c r="L964" i="3" s="1"/>
  <c r="L963" i="3" a="1"/>
  <c r="L963" i="3" s="1"/>
  <c r="L962" i="3" a="1"/>
  <c r="L962" i="3" s="1"/>
  <c r="L961" i="3" a="1"/>
  <c r="L961" i="3" s="1"/>
  <c r="L960" i="3" a="1"/>
  <c r="L960" i="3" s="1"/>
  <c r="L959" i="3" a="1"/>
  <c r="L959" i="3" s="1"/>
  <c r="L958" i="3" a="1"/>
  <c r="L958" i="3" s="1"/>
  <c r="L957" i="3" a="1"/>
  <c r="L957" i="3" s="1"/>
  <c r="L956" i="3" a="1"/>
  <c r="L956" i="3" s="1"/>
  <c r="L955" i="3" a="1"/>
  <c r="L955" i="3" s="1"/>
  <c r="L954" i="3" a="1"/>
  <c r="L954" i="3" s="1"/>
  <c r="L953" i="3" a="1"/>
  <c r="L953" i="3" s="1"/>
  <c r="L952" i="3" a="1"/>
  <c r="L952" i="3" s="1"/>
  <c r="L951" i="3" a="1"/>
  <c r="L951" i="3" s="1"/>
  <c r="L950" i="3" a="1"/>
  <c r="L950" i="3" s="1"/>
  <c r="L949" i="3" a="1"/>
  <c r="L949" i="3" s="1"/>
  <c r="L948" i="3" a="1"/>
  <c r="L948" i="3" s="1"/>
  <c r="L947" i="3" a="1"/>
  <c r="L947" i="3" s="1"/>
  <c r="L946" i="3" a="1"/>
  <c r="L946" i="3" s="1"/>
  <c r="L945" i="3" a="1"/>
  <c r="L945" i="3" s="1"/>
  <c r="L944" i="3" a="1"/>
  <c r="L944" i="3" s="1"/>
  <c r="L943" i="3" a="1"/>
  <c r="L943" i="3" s="1"/>
  <c r="L942" i="3" a="1"/>
  <c r="L942" i="3" s="1"/>
  <c r="L941" i="3" a="1"/>
  <c r="L941" i="3" s="1"/>
  <c r="L940" i="3" a="1"/>
  <c r="L940" i="3" s="1"/>
  <c r="L939" i="3" a="1"/>
  <c r="L939" i="3" s="1"/>
  <c r="L938" i="3" a="1"/>
  <c r="L938" i="3" s="1"/>
  <c r="L937" i="3" a="1"/>
  <c r="L937" i="3" s="1"/>
  <c r="L936" i="3" a="1"/>
  <c r="L936" i="3" s="1"/>
  <c r="L935" i="3" a="1"/>
  <c r="L935" i="3" s="1"/>
  <c r="L934" i="3" a="1"/>
  <c r="L934" i="3" s="1"/>
  <c r="L933" i="3" a="1"/>
  <c r="L933" i="3" s="1"/>
  <c r="L932" i="3" a="1"/>
  <c r="L932" i="3" s="1"/>
  <c r="L931" i="3" a="1"/>
  <c r="L931" i="3" s="1"/>
  <c r="L930" i="3" a="1"/>
  <c r="L930" i="3" s="1"/>
  <c r="L929" i="3" a="1"/>
  <c r="L929" i="3" s="1"/>
  <c r="L928" i="3" a="1"/>
  <c r="L928" i="3" s="1"/>
  <c r="L927" i="3" a="1"/>
  <c r="L927" i="3" s="1"/>
  <c r="L926" i="3" a="1"/>
  <c r="L926" i="3" s="1"/>
  <c r="L925" i="3" a="1"/>
  <c r="L925" i="3" s="1"/>
  <c r="L924" i="3" a="1"/>
  <c r="L924" i="3" s="1"/>
  <c r="L923" i="3" a="1"/>
  <c r="L923" i="3" s="1"/>
  <c r="L922" i="3" a="1"/>
  <c r="L922" i="3" s="1"/>
  <c r="L921" i="3" a="1"/>
  <c r="L921" i="3" s="1"/>
  <c r="L920" i="3" a="1"/>
  <c r="L920" i="3" s="1"/>
  <c r="L919" i="3" a="1"/>
  <c r="L919" i="3" s="1"/>
  <c r="L918" i="3" a="1"/>
  <c r="L918" i="3" s="1"/>
  <c r="L917" i="3" a="1"/>
  <c r="L917" i="3" s="1"/>
  <c r="L916" i="3" a="1"/>
  <c r="L916" i="3" s="1"/>
  <c r="L915" i="3" a="1"/>
  <c r="L915" i="3" s="1"/>
  <c r="L914" i="3" a="1"/>
  <c r="L914" i="3" s="1"/>
  <c r="L913" i="3" a="1"/>
  <c r="L913" i="3" s="1"/>
  <c r="L912" i="3" a="1"/>
  <c r="L912" i="3" s="1"/>
  <c r="L911" i="3" a="1"/>
  <c r="L911" i="3" s="1"/>
  <c r="L910" i="3" a="1"/>
  <c r="L910" i="3" s="1"/>
  <c r="L909" i="3" a="1"/>
  <c r="L909" i="3" s="1"/>
  <c r="L908" i="3" a="1"/>
  <c r="L908" i="3" s="1"/>
  <c r="L907" i="3" a="1"/>
  <c r="L907" i="3" s="1"/>
  <c r="L906" i="3" a="1"/>
  <c r="L906" i="3" s="1"/>
  <c r="L905" i="3" a="1"/>
  <c r="L905" i="3" s="1"/>
  <c r="L904" i="3" a="1"/>
  <c r="L904" i="3" s="1"/>
  <c r="L903" i="3" a="1"/>
  <c r="L903" i="3" s="1"/>
  <c r="L902" i="3" a="1"/>
  <c r="L902" i="3" s="1"/>
  <c r="L901" i="3" a="1"/>
  <c r="L901" i="3" s="1"/>
  <c r="L900" i="3" a="1"/>
  <c r="L900" i="3" s="1"/>
  <c r="L899" i="3" a="1"/>
  <c r="L899" i="3" s="1"/>
  <c r="L898" i="3" a="1"/>
  <c r="L898" i="3" s="1"/>
  <c r="L897" i="3" a="1"/>
  <c r="L897" i="3" s="1"/>
  <c r="L896" i="3" a="1"/>
  <c r="L896" i="3" s="1"/>
  <c r="L895" i="3" a="1"/>
  <c r="L895" i="3" s="1"/>
  <c r="L894" i="3" a="1"/>
  <c r="L894" i="3" s="1"/>
  <c r="L893" i="3" a="1"/>
  <c r="L893" i="3" s="1"/>
  <c r="L892" i="3" a="1"/>
  <c r="L892" i="3" s="1"/>
  <c r="L891" i="3" a="1"/>
  <c r="L891" i="3" s="1"/>
  <c r="L890" i="3" a="1"/>
  <c r="L890" i="3" s="1"/>
  <c r="L889" i="3" a="1"/>
  <c r="L889" i="3" s="1"/>
  <c r="L888" i="3" a="1"/>
  <c r="L888" i="3" s="1"/>
  <c r="L887" i="3" a="1"/>
  <c r="L887" i="3" s="1"/>
  <c r="L886" i="3" a="1"/>
  <c r="L886" i="3" s="1"/>
  <c r="L885" i="3" a="1"/>
  <c r="L885" i="3" s="1"/>
  <c r="L884" i="3" a="1"/>
  <c r="L884" i="3" s="1"/>
  <c r="L883" i="3" a="1"/>
  <c r="L883" i="3" s="1"/>
  <c r="L882" i="3" a="1"/>
  <c r="L882" i="3" s="1"/>
  <c r="L881" i="3" a="1"/>
  <c r="L881" i="3" s="1"/>
  <c r="L880" i="3" a="1"/>
  <c r="L880" i="3" s="1"/>
  <c r="L879" i="3" a="1"/>
  <c r="L879" i="3" s="1"/>
  <c r="L878" i="3" a="1"/>
  <c r="L878" i="3" s="1"/>
  <c r="L877" i="3" a="1"/>
  <c r="L877" i="3" s="1"/>
  <c r="L876" i="3" a="1"/>
  <c r="L876" i="3" s="1"/>
  <c r="L875" i="3" a="1"/>
  <c r="L875" i="3" s="1"/>
  <c r="L874" i="3" a="1"/>
  <c r="L874" i="3" s="1"/>
  <c r="L873" i="3" a="1"/>
  <c r="L873" i="3" s="1"/>
  <c r="L872" i="3" a="1"/>
  <c r="L872" i="3" s="1"/>
  <c r="L871" i="3" a="1"/>
  <c r="L871" i="3" s="1"/>
  <c r="L870" i="3" a="1"/>
  <c r="L870" i="3" s="1"/>
  <c r="L869" i="3" a="1"/>
  <c r="L869" i="3" s="1"/>
  <c r="L868" i="3" a="1"/>
  <c r="L868" i="3" s="1"/>
  <c r="L867" i="3" a="1"/>
  <c r="L867" i="3" s="1"/>
  <c r="L866" i="3" a="1"/>
  <c r="L866" i="3" s="1"/>
  <c r="L865" i="3" a="1"/>
  <c r="L865" i="3" s="1"/>
  <c r="L864" i="3" a="1"/>
  <c r="L864" i="3" s="1"/>
  <c r="L863" i="3" a="1"/>
  <c r="L863" i="3" s="1"/>
  <c r="L862" i="3" a="1"/>
  <c r="L862" i="3" s="1"/>
  <c r="L861" i="3" a="1"/>
  <c r="L861" i="3" s="1"/>
  <c r="L860" i="3" a="1"/>
  <c r="L860" i="3" s="1"/>
  <c r="L859" i="3" a="1"/>
  <c r="L859" i="3" s="1"/>
  <c r="L858" i="3" a="1"/>
  <c r="L858" i="3" s="1"/>
  <c r="L857" i="3" a="1"/>
  <c r="L857" i="3" s="1"/>
  <c r="L856" i="3" a="1"/>
  <c r="L856" i="3" s="1"/>
  <c r="L855" i="3" a="1"/>
  <c r="L855" i="3" s="1"/>
  <c r="L854" i="3" a="1"/>
  <c r="L854" i="3" s="1"/>
  <c r="L853" i="3" a="1"/>
  <c r="L853" i="3" s="1"/>
  <c r="L852" i="3" a="1"/>
  <c r="L852" i="3" s="1"/>
  <c r="L851" i="3" a="1"/>
  <c r="L851" i="3" s="1"/>
  <c r="L850" i="3" a="1"/>
  <c r="L850" i="3" s="1"/>
  <c r="L849" i="3" a="1"/>
  <c r="L849" i="3" s="1"/>
  <c r="L848" i="3" a="1"/>
  <c r="L848" i="3" s="1"/>
  <c r="L847" i="3" a="1"/>
  <c r="L847" i="3" s="1"/>
  <c r="L846" i="3" a="1"/>
  <c r="L846" i="3" s="1"/>
  <c r="L845" i="3" a="1"/>
  <c r="L845" i="3" s="1"/>
  <c r="L844" i="3" a="1"/>
  <c r="L844" i="3" s="1"/>
  <c r="L843" i="3" a="1"/>
  <c r="L843" i="3" s="1"/>
  <c r="L842" i="3" a="1"/>
  <c r="L842" i="3" s="1"/>
  <c r="L841" i="3" a="1"/>
  <c r="L841" i="3" s="1"/>
  <c r="L840" i="3" a="1"/>
  <c r="L840" i="3" s="1"/>
  <c r="L839" i="3" a="1"/>
  <c r="L839" i="3" s="1"/>
  <c r="L838" i="3" a="1"/>
  <c r="L838" i="3" s="1"/>
  <c r="L837" i="3" a="1"/>
  <c r="L837" i="3" s="1"/>
  <c r="L836" i="3" a="1"/>
  <c r="L836" i="3" s="1"/>
  <c r="L835" i="3" a="1"/>
  <c r="L835" i="3" s="1"/>
  <c r="L834" i="3" a="1"/>
  <c r="L834" i="3" s="1"/>
  <c r="L833" i="3" a="1"/>
  <c r="L833" i="3" s="1"/>
  <c r="L832" i="3" a="1"/>
  <c r="L832" i="3" s="1"/>
  <c r="L831" i="3" a="1"/>
  <c r="L831" i="3" s="1"/>
  <c r="L830" i="3" a="1"/>
  <c r="L830" i="3" s="1"/>
  <c r="L829" i="3" a="1"/>
  <c r="L829" i="3" s="1"/>
  <c r="L828" i="3" a="1"/>
  <c r="L828" i="3" s="1"/>
  <c r="L827" i="3" a="1"/>
  <c r="L827" i="3" s="1"/>
  <c r="L826" i="3" a="1"/>
  <c r="L826" i="3" s="1"/>
  <c r="L825" i="3" a="1"/>
  <c r="L825" i="3" s="1"/>
  <c r="L824" i="3" a="1"/>
  <c r="L824" i="3" s="1"/>
  <c r="L823" i="3" a="1"/>
  <c r="L823" i="3" s="1"/>
  <c r="L822" i="3" a="1"/>
  <c r="L822" i="3" s="1"/>
  <c r="L821" i="3" a="1"/>
  <c r="L821" i="3" s="1"/>
  <c r="L820" i="3" a="1"/>
  <c r="L820" i="3" s="1"/>
  <c r="L819" i="3" a="1"/>
  <c r="L819" i="3" s="1"/>
  <c r="L818" i="3" a="1"/>
  <c r="L818" i="3" s="1"/>
  <c r="L817" i="3" a="1"/>
  <c r="L817" i="3" s="1"/>
  <c r="L816" i="3" a="1"/>
  <c r="L816" i="3" s="1"/>
  <c r="L815" i="3" a="1"/>
  <c r="L815" i="3" s="1"/>
  <c r="L814" i="3" a="1"/>
  <c r="L814" i="3" s="1"/>
  <c r="L813" i="3" a="1"/>
  <c r="L813" i="3" s="1"/>
  <c r="L812" i="3" a="1"/>
  <c r="L812" i="3" s="1"/>
  <c r="L811" i="3" a="1"/>
  <c r="L811" i="3" s="1"/>
  <c r="L810" i="3" a="1"/>
  <c r="L810" i="3" s="1"/>
  <c r="L809" i="3" a="1"/>
  <c r="L809" i="3" s="1"/>
  <c r="L808" i="3" a="1"/>
  <c r="L808" i="3" s="1"/>
  <c r="L807" i="3" a="1"/>
  <c r="L807" i="3" s="1"/>
  <c r="L806" i="3" a="1"/>
  <c r="L806" i="3" s="1"/>
  <c r="L805" i="3" a="1"/>
  <c r="L805" i="3" s="1"/>
  <c r="L804" i="3" a="1"/>
  <c r="L804" i="3" s="1"/>
  <c r="L803" i="3" a="1"/>
  <c r="L803" i="3" s="1"/>
  <c r="L802" i="3" a="1"/>
  <c r="L802" i="3" s="1"/>
  <c r="L801" i="3" a="1"/>
  <c r="L801" i="3" s="1"/>
  <c r="L800" i="3" a="1"/>
  <c r="L800" i="3" s="1"/>
  <c r="L799" i="3" a="1"/>
  <c r="L799" i="3" s="1"/>
  <c r="L798" i="3" a="1"/>
  <c r="L798" i="3" s="1"/>
  <c r="L797" i="3" a="1"/>
  <c r="L797" i="3" s="1"/>
  <c r="L796" i="3" a="1"/>
  <c r="L796" i="3" s="1"/>
  <c r="L795" i="3" a="1"/>
  <c r="L795" i="3" s="1"/>
  <c r="L794" i="3" a="1"/>
  <c r="L794" i="3" s="1"/>
  <c r="L793" i="3" a="1"/>
  <c r="L793" i="3" s="1"/>
  <c r="L792" i="3" a="1"/>
  <c r="L792" i="3" s="1"/>
  <c r="L791" i="3" a="1"/>
  <c r="L791" i="3" s="1"/>
  <c r="L790" i="3" a="1"/>
  <c r="L790" i="3" s="1"/>
  <c r="L789" i="3" a="1"/>
  <c r="L789" i="3" s="1"/>
  <c r="L788" i="3" a="1"/>
  <c r="L788" i="3" s="1"/>
  <c r="L787" i="3" a="1"/>
  <c r="L787" i="3" s="1"/>
  <c r="L786" i="3" a="1"/>
  <c r="L786" i="3" s="1"/>
  <c r="L785" i="3" a="1"/>
  <c r="L785" i="3" s="1"/>
  <c r="L784" i="3" a="1"/>
  <c r="L784" i="3" s="1"/>
  <c r="L783" i="3" a="1"/>
  <c r="L783" i="3" s="1"/>
  <c r="L782" i="3" a="1"/>
  <c r="L782" i="3" s="1"/>
  <c r="L781" i="3" a="1"/>
  <c r="L781" i="3" s="1"/>
  <c r="L780" i="3" a="1"/>
  <c r="L780" i="3" s="1"/>
  <c r="L779" i="3" a="1"/>
  <c r="L779" i="3" s="1"/>
  <c r="L778" i="3" a="1"/>
  <c r="L778" i="3" s="1"/>
  <c r="L777" i="3" a="1"/>
  <c r="L777" i="3" s="1"/>
  <c r="L776" i="3" a="1"/>
  <c r="L776" i="3" s="1"/>
  <c r="L775" i="3" a="1"/>
  <c r="L775" i="3" s="1"/>
  <c r="L774" i="3" a="1"/>
  <c r="L774" i="3" s="1"/>
  <c r="L773" i="3" a="1"/>
  <c r="L773" i="3" s="1"/>
  <c r="L772" i="3" a="1"/>
  <c r="L772" i="3" s="1"/>
  <c r="L771" i="3" a="1"/>
  <c r="L771" i="3" s="1"/>
  <c r="L770" i="3" a="1"/>
  <c r="L770" i="3" s="1"/>
  <c r="L769" i="3" a="1"/>
  <c r="L769" i="3" s="1"/>
  <c r="L768" i="3" a="1"/>
  <c r="L768" i="3" s="1"/>
  <c r="L767" i="3" a="1"/>
  <c r="L767" i="3" s="1"/>
  <c r="L766" i="3" a="1"/>
  <c r="L766" i="3" s="1"/>
  <c r="L765" i="3" a="1"/>
  <c r="L765" i="3" s="1"/>
  <c r="L764" i="3" a="1"/>
  <c r="L764" i="3" s="1"/>
  <c r="L763" i="3" a="1"/>
  <c r="L763" i="3" s="1"/>
  <c r="L762" i="3" a="1"/>
  <c r="L762" i="3" s="1"/>
  <c r="L761" i="3" a="1"/>
  <c r="L761" i="3" s="1"/>
  <c r="L760" i="3" a="1"/>
  <c r="L760" i="3" s="1"/>
  <c r="L759" i="3" a="1"/>
  <c r="L759" i="3" s="1"/>
  <c r="L758" i="3" a="1"/>
  <c r="L758" i="3" s="1"/>
  <c r="L757" i="3" a="1"/>
  <c r="L757" i="3" s="1"/>
  <c r="L756" i="3" a="1"/>
  <c r="L756" i="3" s="1"/>
  <c r="L755" i="3" a="1"/>
  <c r="L755" i="3" s="1"/>
  <c r="L754" i="3" a="1"/>
  <c r="L754" i="3" s="1"/>
  <c r="L753" i="3" a="1"/>
  <c r="L753" i="3" s="1"/>
  <c r="L752" i="3" a="1"/>
  <c r="L752" i="3" s="1"/>
  <c r="L751" i="3" a="1"/>
  <c r="L751" i="3" s="1"/>
  <c r="L750" i="3" a="1"/>
  <c r="L750" i="3" s="1"/>
  <c r="L749" i="3" a="1"/>
  <c r="L749" i="3" s="1"/>
  <c r="L748" i="3" a="1"/>
  <c r="L748" i="3" s="1"/>
  <c r="L747" i="3" a="1"/>
  <c r="L747" i="3" s="1"/>
  <c r="L746" i="3" a="1"/>
  <c r="L746" i="3" s="1"/>
  <c r="L745" i="3" a="1"/>
  <c r="L745" i="3" s="1"/>
  <c r="L744" i="3" a="1"/>
  <c r="L744" i="3" s="1"/>
  <c r="L743" i="3" a="1"/>
  <c r="L743" i="3" s="1"/>
  <c r="L742" i="3" a="1"/>
  <c r="L742" i="3" s="1"/>
  <c r="L741" i="3" a="1"/>
  <c r="L741" i="3" s="1"/>
  <c r="L740" i="3" a="1"/>
  <c r="L740" i="3" s="1"/>
  <c r="L739" i="3" a="1"/>
  <c r="L739" i="3" s="1"/>
  <c r="L738" i="3" a="1"/>
  <c r="L738" i="3" s="1"/>
  <c r="L737" i="3" a="1"/>
  <c r="L737" i="3" s="1"/>
  <c r="L736" i="3" a="1"/>
  <c r="L736" i="3" s="1"/>
  <c r="L735" i="3" a="1"/>
  <c r="L735" i="3" s="1"/>
  <c r="L734" i="3" a="1"/>
  <c r="L734" i="3" s="1"/>
  <c r="L733" i="3" a="1"/>
  <c r="L733" i="3" s="1"/>
  <c r="L732" i="3" a="1"/>
  <c r="L732" i="3" s="1"/>
  <c r="L731" i="3" a="1"/>
  <c r="L731" i="3" s="1"/>
  <c r="L730" i="3" a="1"/>
  <c r="L730" i="3" s="1"/>
  <c r="L729" i="3" a="1"/>
  <c r="L729" i="3" s="1"/>
  <c r="L728" i="3" a="1"/>
  <c r="L728" i="3" s="1"/>
  <c r="L727" i="3" a="1"/>
  <c r="L727" i="3" s="1"/>
  <c r="L726" i="3" a="1"/>
  <c r="L726" i="3" s="1"/>
  <c r="L725" i="3" a="1"/>
  <c r="L725" i="3" s="1"/>
  <c r="L724" i="3" a="1"/>
  <c r="L724" i="3" s="1"/>
  <c r="L723" i="3" a="1"/>
  <c r="L723" i="3" s="1"/>
  <c r="L722" i="3" a="1"/>
  <c r="L722" i="3" s="1"/>
  <c r="L721" i="3" a="1"/>
  <c r="L721" i="3" s="1"/>
  <c r="L720" i="3" a="1"/>
  <c r="L720" i="3" s="1"/>
  <c r="L719" i="3" a="1"/>
  <c r="L719" i="3" s="1"/>
  <c r="L718" i="3" a="1"/>
  <c r="L718" i="3" s="1"/>
  <c r="L717" i="3" a="1"/>
  <c r="L717" i="3" s="1"/>
  <c r="L716" i="3" a="1"/>
  <c r="L716" i="3" s="1"/>
  <c r="L715" i="3" a="1"/>
  <c r="L715" i="3" s="1"/>
  <c r="L714" i="3" a="1"/>
  <c r="L714" i="3" s="1"/>
  <c r="L713" i="3" a="1"/>
  <c r="L713" i="3" s="1"/>
  <c r="L712" i="3" a="1"/>
  <c r="L712" i="3" s="1"/>
  <c r="L711" i="3" a="1"/>
  <c r="L711" i="3" s="1"/>
  <c r="L710" i="3" a="1"/>
  <c r="L710" i="3" s="1"/>
  <c r="L709" i="3" a="1"/>
  <c r="L709" i="3" s="1"/>
  <c r="L708" i="3" a="1"/>
  <c r="L708" i="3" s="1"/>
  <c r="L707" i="3" a="1"/>
  <c r="L707" i="3" s="1"/>
  <c r="L706" i="3" a="1"/>
  <c r="L706" i="3" s="1"/>
  <c r="L705" i="3" a="1"/>
  <c r="L705" i="3" s="1"/>
  <c r="L704" i="3" a="1"/>
  <c r="L704" i="3" s="1"/>
  <c r="L703" i="3" a="1"/>
  <c r="L703" i="3" s="1"/>
  <c r="L702" i="3" a="1"/>
  <c r="L702" i="3" s="1"/>
  <c r="L701" i="3" a="1"/>
  <c r="L701" i="3" s="1"/>
  <c r="L700" i="3" a="1"/>
  <c r="L700" i="3" s="1"/>
  <c r="L699" i="3" a="1"/>
  <c r="L699" i="3" s="1"/>
  <c r="L698" i="3" a="1"/>
  <c r="L698" i="3" s="1"/>
  <c r="L697" i="3" a="1"/>
  <c r="L697" i="3" s="1"/>
  <c r="L696" i="3" a="1"/>
  <c r="L696" i="3" s="1"/>
  <c r="L695" i="3" a="1"/>
  <c r="L695" i="3" s="1"/>
  <c r="L694" i="3" a="1"/>
  <c r="L694" i="3" s="1"/>
  <c r="L693" i="3" a="1"/>
  <c r="L693" i="3" s="1"/>
  <c r="L692" i="3" a="1"/>
  <c r="L692" i="3" s="1"/>
  <c r="L691" i="3" a="1"/>
  <c r="L691" i="3" s="1"/>
  <c r="L690" i="3" a="1"/>
  <c r="L690" i="3" s="1"/>
  <c r="L689" i="3" a="1"/>
  <c r="L689" i="3" s="1"/>
  <c r="L688" i="3" a="1"/>
  <c r="L688" i="3" s="1"/>
  <c r="L687" i="3" a="1"/>
  <c r="L687" i="3" s="1"/>
  <c r="L686" i="3" a="1"/>
  <c r="L686" i="3" s="1"/>
  <c r="L685" i="3" a="1"/>
  <c r="L685" i="3" s="1"/>
  <c r="L684" i="3" a="1"/>
  <c r="L684" i="3" s="1"/>
  <c r="L683" i="3" a="1"/>
  <c r="L683" i="3" s="1"/>
  <c r="L682" i="3" a="1"/>
  <c r="L682" i="3" s="1"/>
  <c r="L681" i="3" a="1"/>
  <c r="L681" i="3" s="1"/>
  <c r="L680" i="3" a="1"/>
  <c r="L680" i="3" s="1"/>
  <c r="L679" i="3" a="1"/>
  <c r="L679" i="3" s="1"/>
  <c r="L678" i="3" a="1"/>
  <c r="L678" i="3" s="1"/>
  <c r="L677" i="3" a="1"/>
  <c r="L677" i="3" s="1"/>
  <c r="L676" i="3" a="1"/>
  <c r="L676" i="3" s="1"/>
  <c r="L675" i="3" a="1"/>
  <c r="L675" i="3" s="1"/>
  <c r="L674" i="3" a="1"/>
  <c r="L674" i="3" s="1"/>
  <c r="L673" i="3" a="1"/>
  <c r="L673" i="3" s="1"/>
  <c r="L672" i="3" a="1"/>
  <c r="L672" i="3" s="1"/>
  <c r="L671" i="3" a="1"/>
  <c r="L671" i="3" s="1"/>
  <c r="L670" i="3" a="1"/>
  <c r="L670" i="3" s="1"/>
  <c r="L669" i="3" a="1"/>
  <c r="L669" i="3" s="1"/>
  <c r="L668" i="3" a="1"/>
  <c r="L668" i="3" s="1"/>
  <c r="L667" i="3" a="1"/>
  <c r="L667" i="3" s="1"/>
  <c r="L666" i="3" a="1"/>
  <c r="L666" i="3" s="1"/>
  <c r="L665" i="3" a="1"/>
  <c r="L665" i="3" s="1"/>
  <c r="L664" i="3" a="1"/>
  <c r="L664" i="3" s="1"/>
  <c r="L663" i="3" a="1"/>
  <c r="L663" i="3" s="1"/>
  <c r="L662" i="3" a="1"/>
  <c r="L662" i="3" s="1"/>
  <c r="L661" i="3" a="1"/>
  <c r="L661" i="3" s="1"/>
  <c r="L660" i="3" a="1"/>
  <c r="L660" i="3" s="1"/>
  <c r="L659" i="3" a="1"/>
  <c r="L659" i="3" s="1"/>
  <c r="L658" i="3" a="1"/>
  <c r="L658" i="3" s="1"/>
  <c r="L657" i="3" a="1"/>
  <c r="L657" i="3" s="1"/>
  <c r="L656" i="3" a="1"/>
  <c r="L656" i="3" s="1"/>
  <c r="L655" i="3" a="1"/>
  <c r="L655" i="3" s="1"/>
  <c r="L654" i="3" a="1"/>
  <c r="L654" i="3" s="1"/>
  <c r="L653" i="3" a="1"/>
  <c r="L653" i="3" s="1"/>
  <c r="L652" i="3" a="1"/>
  <c r="L652" i="3" s="1"/>
  <c r="L651" i="3" a="1"/>
  <c r="L651" i="3" s="1"/>
  <c r="L650" i="3" a="1"/>
  <c r="L650" i="3" s="1"/>
  <c r="L649" i="3" a="1"/>
  <c r="L649" i="3" s="1"/>
  <c r="L648" i="3" a="1"/>
  <c r="L648" i="3" s="1"/>
  <c r="L647" i="3" a="1"/>
  <c r="L647" i="3" s="1"/>
  <c r="L646" i="3" a="1"/>
  <c r="L646" i="3" s="1"/>
  <c r="L645" i="3" a="1"/>
  <c r="L645" i="3" s="1"/>
  <c r="L644" i="3" a="1"/>
  <c r="L644" i="3" s="1"/>
  <c r="L643" i="3" a="1"/>
  <c r="L643" i="3" s="1"/>
  <c r="L642" i="3" a="1"/>
  <c r="L642" i="3" s="1"/>
  <c r="L641" i="3" a="1"/>
  <c r="L641" i="3" s="1"/>
  <c r="L640" i="3" a="1"/>
  <c r="L640" i="3" s="1"/>
  <c r="L639" i="3" a="1"/>
  <c r="L639" i="3" s="1"/>
  <c r="L638" i="3" a="1"/>
  <c r="L638" i="3" s="1"/>
  <c r="L637" i="3" a="1"/>
  <c r="L637" i="3" s="1"/>
  <c r="L636" i="3" a="1"/>
  <c r="L636" i="3" s="1"/>
  <c r="L635" i="3" a="1"/>
  <c r="L635" i="3" s="1"/>
  <c r="L634" i="3" a="1"/>
  <c r="L634" i="3" s="1"/>
  <c r="L633" i="3" a="1"/>
  <c r="L633" i="3" s="1"/>
  <c r="L632" i="3" a="1"/>
  <c r="L632" i="3" s="1"/>
  <c r="L631" i="3" a="1"/>
  <c r="L631" i="3" s="1"/>
  <c r="L630" i="3" a="1"/>
  <c r="L630" i="3" s="1"/>
  <c r="L629" i="3" a="1"/>
  <c r="L629" i="3" s="1"/>
  <c r="L628" i="3" a="1"/>
  <c r="L628" i="3" s="1"/>
  <c r="L627" i="3" a="1"/>
  <c r="L627" i="3" s="1"/>
  <c r="L626" i="3" a="1"/>
  <c r="L626" i="3" s="1"/>
  <c r="L625" i="3" a="1"/>
  <c r="L625" i="3" s="1"/>
  <c r="L624" i="3" a="1"/>
  <c r="L624" i="3" s="1"/>
  <c r="L623" i="3" a="1"/>
  <c r="L623" i="3" s="1"/>
  <c r="L622" i="3" a="1"/>
  <c r="L622" i="3" s="1"/>
  <c r="L621" i="3" a="1"/>
  <c r="L621" i="3" s="1"/>
  <c r="L620" i="3" a="1"/>
  <c r="L620" i="3" s="1"/>
  <c r="L619" i="3" a="1"/>
  <c r="L619" i="3" s="1"/>
  <c r="L618" i="3" a="1"/>
  <c r="L618" i="3" s="1"/>
  <c r="L617" i="3" a="1"/>
  <c r="L617" i="3" s="1"/>
  <c r="L616" i="3" a="1"/>
  <c r="L616" i="3" s="1"/>
  <c r="L615" i="3" a="1"/>
  <c r="L615" i="3" s="1"/>
  <c r="L614" i="3" a="1"/>
  <c r="L614" i="3" s="1"/>
  <c r="L613" i="3" a="1"/>
  <c r="L613" i="3" s="1"/>
  <c r="L612" i="3" a="1"/>
  <c r="L612" i="3" s="1"/>
  <c r="L611" i="3" a="1"/>
  <c r="L611" i="3" s="1"/>
  <c r="L610" i="3" a="1"/>
  <c r="L610" i="3" s="1"/>
  <c r="L609" i="3" a="1"/>
  <c r="L609" i="3" s="1"/>
  <c r="L608" i="3" a="1"/>
  <c r="L608" i="3" s="1"/>
  <c r="L607" i="3" a="1"/>
  <c r="L607" i="3" s="1"/>
  <c r="L606" i="3" a="1"/>
  <c r="L606" i="3" s="1"/>
  <c r="L605" i="3" a="1"/>
  <c r="L605" i="3" s="1"/>
  <c r="L604" i="3" a="1"/>
  <c r="L604" i="3" s="1"/>
  <c r="L603" i="3" a="1"/>
  <c r="L603" i="3" s="1"/>
  <c r="L602" i="3" a="1"/>
  <c r="L602" i="3" s="1"/>
  <c r="L601" i="3" a="1"/>
  <c r="L601" i="3" s="1"/>
  <c r="L600" i="3" a="1"/>
  <c r="L600" i="3" s="1"/>
  <c r="L599" i="3" a="1"/>
  <c r="L599" i="3" s="1"/>
  <c r="L598" i="3" a="1"/>
  <c r="L598" i="3" s="1"/>
  <c r="L597" i="3" a="1"/>
  <c r="L597" i="3" s="1"/>
  <c r="L596" i="3" a="1"/>
  <c r="L596" i="3" s="1"/>
  <c r="L595" i="3" a="1"/>
  <c r="L595" i="3" s="1"/>
  <c r="L594" i="3" a="1"/>
  <c r="L594" i="3" s="1"/>
  <c r="L593" i="3" a="1"/>
  <c r="L593" i="3" s="1"/>
  <c r="L592" i="3" a="1"/>
  <c r="L592" i="3" s="1"/>
  <c r="L591" i="3" a="1"/>
  <c r="L591" i="3" s="1"/>
  <c r="L590" i="3" a="1"/>
  <c r="L590" i="3" s="1"/>
  <c r="L589" i="3" a="1"/>
  <c r="L589" i="3" s="1"/>
  <c r="L588" i="3" a="1"/>
  <c r="L588" i="3" s="1"/>
  <c r="L587" i="3" a="1"/>
  <c r="L587" i="3" s="1"/>
  <c r="L586" i="3" a="1"/>
  <c r="L586" i="3" s="1"/>
  <c r="L585" i="3" a="1"/>
  <c r="L585" i="3" s="1"/>
  <c r="L584" i="3" a="1"/>
  <c r="L584" i="3" s="1"/>
  <c r="L583" i="3" a="1"/>
  <c r="L583" i="3" s="1"/>
  <c r="L582" i="3" a="1"/>
  <c r="L582" i="3" s="1"/>
  <c r="L581" i="3" a="1"/>
  <c r="L581" i="3" s="1"/>
  <c r="L580" i="3" a="1"/>
  <c r="L580" i="3" s="1"/>
  <c r="L579" i="3" a="1"/>
  <c r="L579" i="3" s="1"/>
  <c r="L578" i="3" a="1"/>
  <c r="L578" i="3" s="1"/>
  <c r="L577" i="3" a="1"/>
  <c r="L577" i="3" s="1"/>
  <c r="L576" i="3" a="1"/>
  <c r="L576" i="3" s="1"/>
  <c r="L575" i="3" a="1"/>
  <c r="L575" i="3" s="1"/>
  <c r="L574" i="3" a="1"/>
  <c r="L574" i="3" s="1"/>
  <c r="L573" i="3" a="1"/>
  <c r="L573" i="3" s="1"/>
  <c r="L572" i="3" a="1"/>
  <c r="L572" i="3" s="1"/>
  <c r="L571" i="3" a="1"/>
  <c r="L571" i="3" s="1"/>
  <c r="L570" i="3" a="1"/>
  <c r="L570" i="3" s="1"/>
  <c r="L569" i="3" a="1"/>
  <c r="L569" i="3" s="1"/>
  <c r="L568" i="3" a="1"/>
  <c r="L568" i="3" s="1"/>
  <c r="L567" i="3" a="1"/>
  <c r="L567" i="3" s="1"/>
  <c r="L566" i="3" a="1"/>
  <c r="L566" i="3" s="1"/>
  <c r="L565" i="3" a="1"/>
  <c r="L565" i="3" s="1"/>
  <c r="L564" i="3" a="1"/>
  <c r="L564" i="3" s="1"/>
  <c r="L563" i="3" a="1"/>
  <c r="L563" i="3" s="1"/>
  <c r="L562" i="3" a="1"/>
  <c r="L562" i="3" s="1"/>
  <c r="L561" i="3" a="1"/>
  <c r="L561" i="3" s="1"/>
  <c r="L560" i="3" a="1"/>
  <c r="L560" i="3" s="1"/>
  <c r="L559" i="3" a="1"/>
  <c r="L559" i="3" s="1"/>
  <c r="L558" i="3" a="1"/>
  <c r="L558" i="3" s="1"/>
  <c r="L557" i="3" a="1"/>
  <c r="L557" i="3" s="1"/>
  <c r="L556" i="3" a="1"/>
  <c r="L556" i="3" s="1"/>
  <c r="L555" i="3" a="1"/>
  <c r="L555" i="3" s="1"/>
  <c r="L554" i="3" a="1"/>
  <c r="L554" i="3" s="1"/>
  <c r="L553" i="3" a="1"/>
  <c r="L553" i="3" s="1"/>
  <c r="L552" i="3" a="1"/>
  <c r="L552" i="3" s="1"/>
  <c r="L551" i="3" a="1"/>
  <c r="L551" i="3" s="1"/>
  <c r="L550" i="3" a="1"/>
  <c r="L550" i="3" s="1"/>
  <c r="L549" i="3" a="1"/>
  <c r="L549" i="3" s="1"/>
  <c r="L548" i="3" a="1"/>
  <c r="L548" i="3" s="1"/>
  <c r="L547" i="3" a="1"/>
  <c r="L547" i="3" s="1"/>
  <c r="L546" i="3" a="1"/>
  <c r="L546" i="3" s="1"/>
  <c r="L545" i="3" a="1"/>
  <c r="L545" i="3" s="1"/>
  <c r="L544" i="3" a="1"/>
  <c r="L544" i="3" s="1"/>
  <c r="L543" i="3" a="1"/>
  <c r="L543" i="3" s="1"/>
  <c r="L542" i="3" a="1"/>
  <c r="L542" i="3" s="1"/>
  <c r="L541" i="3" a="1"/>
  <c r="L541" i="3" s="1"/>
  <c r="L540" i="3" a="1"/>
  <c r="L540" i="3" s="1"/>
  <c r="L539" i="3" a="1"/>
  <c r="L539" i="3" s="1"/>
  <c r="L538" i="3" a="1"/>
  <c r="L538" i="3" s="1"/>
  <c r="L537" i="3" a="1"/>
  <c r="L537" i="3" s="1"/>
  <c r="L536" i="3" a="1"/>
  <c r="L536" i="3" s="1"/>
  <c r="L535" i="3" a="1"/>
  <c r="L535" i="3" s="1"/>
  <c r="L534" i="3" a="1"/>
  <c r="L534" i="3" s="1"/>
  <c r="L533" i="3" a="1"/>
  <c r="L533" i="3" s="1"/>
  <c r="L532" i="3" a="1"/>
  <c r="L532" i="3" s="1"/>
  <c r="L531" i="3" a="1"/>
  <c r="L531" i="3" s="1"/>
  <c r="L530" i="3" a="1"/>
  <c r="L530" i="3" s="1"/>
  <c r="L529" i="3" a="1"/>
  <c r="L529" i="3" s="1"/>
  <c r="L528" i="3" a="1"/>
  <c r="L528" i="3" s="1"/>
  <c r="L527" i="3" a="1"/>
  <c r="L527" i="3" s="1"/>
  <c r="L526" i="3" a="1"/>
  <c r="L526" i="3" s="1"/>
  <c r="L525" i="3" a="1"/>
  <c r="L525" i="3" s="1"/>
  <c r="L524" i="3" a="1"/>
  <c r="L524" i="3" s="1"/>
  <c r="L523" i="3" a="1"/>
  <c r="L523" i="3" s="1"/>
  <c r="L522" i="3" a="1"/>
  <c r="L522" i="3" s="1"/>
  <c r="L521" i="3" a="1"/>
  <c r="L521" i="3" s="1"/>
  <c r="L520" i="3" a="1"/>
  <c r="L520" i="3" s="1"/>
  <c r="L519" i="3" a="1"/>
  <c r="L519" i="3" s="1"/>
  <c r="L518" i="3" a="1"/>
  <c r="L518" i="3" s="1"/>
  <c r="L517" i="3" a="1"/>
  <c r="L517" i="3" s="1"/>
  <c r="L516" i="3" a="1"/>
  <c r="L516" i="3" s="1"/>
  <c r="L515" i="3" a="1"/>
  <c r="L515" i="3" s="1"/>
  <c r="L514" i="3" a="1"/>
  <c r="L514" i="3" s="1"/>
  <c r="L513" i="3" a="1"/>
  <c r="L513" i="3" s="1"/>
  <c r="L512" i="3" a="1"/>
  <c r="L512" i="3" s="1"/>
  <c r="L511" i="3" a="1"/>
  <c r="L511" i="3" s="1"/>
  <c r="L510" i="3" a="1"/>
  <c r="L510" i="3" s="1"/>
  <c r="L509" i="3" a="1"/>
  <c r="L509" i="3" s="1"/>
  <c r="L508" i="3" a="1"/>
  <c r="L508" i="3" s="1"/>
  <c r="L507" i="3" a="1"/>
  <c r="L507" i="3" s="1"/>
  <c r="L506" i="3" a="1"/>
  <c r="L506" i="3" s="1"/>
  <c r="L505" i="3" a="1"/>
  <c r="L505" i="3" s="1"/>
  <c r="L504" i="3" a="1"/>
  <c r="L504" i="3" s="1"/>
  <c r="L503" i="3" a="1"/>
  <c r="L503" i="3" s="1"/>
  <c r="L502" i="3" a="1"/>
  <c r="L502" i="3" s="1"/>
  <c r="L501" i="3" a="1"/>
  <c r="L501" i="3" s="1"/>
  <c r="L500" i="3" a="1"/>
  <c r="L500" i="3" s="1"/>
  <c r="L499" i="3" a="1"/>
  <c r="L499" i="3" s="1"/>
  <c r="L498" i="3" a="1"/>
  <c r="L498" i="3" s="1"/>
  <c r="L497" i="3" a="1"/>
  <c r="L497" i="3" s="1"/>
  <c r="L496" i="3" a="1"/>
  <c r="L496" i="3" s="1"/>
  <c r="L495" i="3" a="1"/>
  <c r="L495" i="3" s="1"/>
  <c r="L494" i="3" a="1"/>
  <c r="L494" i="3" s="1"/>
  <c r="L493" i="3" a="1"/>
  <c r="L493" i="3" s="1"/>
  <c r="L492" i="3" a="1"/>
  <c r="L492" i="3" s="1"/>
  <c r="L491" i="3" a="1"/>
  <c r="L491" i="3" s="1"/>
  <c r="L490" i="3" a="1"/>
  <c r="L490" i="3" s="1"/>
  <c r="L489" i="3" a="1"/>
  <c r="L489" i="3" s="1"/>
  <c r="L488" i="3" a="1"/>
  <c r="L488" i="3" s="1"/>
  <c r="L487" i="3"/>
  <c r="L487" i="3" a="1"/>
  <c r="L486" i="3" a="1"/>
  <c r="L486" i="3" s="1"/>
  <c r="L485" i="3" a="1"/>
  <c r="L485" i="3" s="1"/>
  <c r="L484" i="3" a="1"/>
  <c r="L484" i="3" s="1"/>
  <c r="L483" i="3" a="1"/>
  <c r="L483" i="3" s="1"/>
  <c r="L482" i="3" a="1"/>
  <c r="L482" i="3" s="1"/>
  <c r="L481" i="3" a="1"/>
  <c r="L481" i="3" s="1"/>
  <c r="L480" i="3" a="1"/>
  <c r="L480" i="3" s="1"/>
  <c r="L479" i="3" a="1"/>
  <c r="L479" i="3" s="1"/>
  <c r="L478" i="3" a="1"/>
  <c r="L478" i="3" s="1"/>
  <c r="L477" i="3" a="1"/>
  <c r="L477" i="3" s="1"/>
  <c r="L476" i="3" a="1"/>
  <c r="L476" i="3" s="1"/>
  <c r="L475" i="3" a="1"/>
  <c r="L475" i="3" s="1"/>
  <c r="L474" i="3" a="1"/>
  <c r="L474" i="3" s="1"/>
  <c r="L473" i="3" a="1"/>
  <c r="L473" i="3" s="1"/>
  <c r="L472" i="3" a="1"/>
  <c r="L472" i="3" s="1"/>
  <c r="L471" i="3" a="1"/>
  <c r="L471" i="3" s="1"/>
  <c r="L470" i="3" a="1"/>
  <c r="L470" i="3" s="1"/>
  <c r="L469" i="3"/>
  <c r="L469" i="3" a="1"/>
  <c r="L468" i="3" a="1"/>
  <c r="L468" i="3" s="1"/>
  <c r="L467" i="3" a="1"/>
  <c r="L467" i="3" s="1"/>
  <c r="L466" i="3" a="1"/>
  <c r="L466" i="3" s="1"/>
  <c r="L465" i="3" a="1"/>
  <c r="L465" i="3" s="1"/>
  <c r="L464" i="3" a="1"/>
  <c r="L464" i="3" s="1"/>
  <c r="L463" i="3" a="1"/>
  <c r="L463" i="3" s="1"/>
  <c r="L462" i="3" a="1"/>
  <c r="L462" i="3" s="1"/>
  <c r="L461" i="3" a="1"/>
  <c r="L461" i="3" s="1"/>
  <c r="L460" i="3" a="1"/>
  <c r="L460" i="3" s="1"/>
  <c r="L459" i="3" a="1"/>
  <c r="L459" i="3" s="1"/>
  <c r="L458" i="3" a="1"/>
  <c r="L458" i="3" s="1"/>
  <c r="L457" i="3" a="1"/>
  <c r="L457" i="3" s="1"/>
  <c r="L456" i="3" a="1"/>
  <c r="L456" i="3" s="1"/>
  <c r="L455" i="3" a="1"/>
  <c r="L455" i="3" s="1"/>
  <c r="L454" i="3" a="1"/>
  <c r="L454" i="3" s="1"/>
  <c r="L453" i="3"/>
  <c r="L453" i="3" a="1"/>
  <c r="L452" i="3" a="1"/>
  <c r="L452" i="3" s="1"/>
  <c r="L451" i="3" a="1"/>
  <c r="L451" i="3" s="1"/>
  <c r="L450" i="3" a="1"/>
  <c r="L450" i="3" s="1"/>
  <c r="L449" i="3" a="1"/>
  <c r="L449" i="3" s="1"/>
  <c r="L448" i="3" a="1"/>
  <c r="L448" i="3" s="1"/>
  <c r="L447" i="3" a="1"/>
  <c r="L447" i="3" s="1"/>
  <c r="L446" i="3" a="1"/>
  <c r="L446" i="3" s="1"/>
  <c r="L445" i="3" a="1"/>
  <c r="L445" i="3" s="1"/>
  <c r="L444" i="3" a="1"/>
  <c r="L444" i="3" s="1"/>
  <c r="L443" i="3" a="1"/>
  <c r="L443" i="3" s="1"/>
  <c r="L442" i="3" a="1"/>
  <c r="L442" i="3" s="1"/>
  <c r="L441" i="3" a="1"/>
  <c r="L441" i="3" s="1"/>
  <c r="L440" i="3" a="1"/>
  <c r="L440" i="3" s="1"/>
  <c r="L439" i="3" a="1"/>
  <c r="L439" i="3" s="1"/>
  <c r="L438" i="3" a="1"/>
  <c r="L438" i="3" s="1"/>
  <c r="L437" i="3"/>
  <c r="L437" i="3" a="1"/>
  <c r="L436" i="3" a="1"/>
  <c r="L436" i="3" s="1"/>
  <c r="L435" i="3" a="1"/>
  <c r="L435" i="3" s="1"/>
  <c r="L434" i="3" a="1"/>
  <c r="L434" i="3" s="1"/>
  <c r="L433" i="3" a="1"/>
  <c r="L433" i="3" s="1"/>
  <c r="L432" i="3" a="1"/>
  <c r="L432" i="3" s="1"/>
  <c r="L431" i="3" a="1"/>
  <c r="L431" i="3" s="1"/>
  <c r="L430" i="3" a="1"/>
  <c r="L430" i="3" s="1"/>
  <c r="L429" i="3" a="1"/>
  <c r="L429" i="3" s="1"/>
  <c r="L428" i="3" a="1"/>
  <c r="L428" i="3" s="1"/>
  <c r="L427" i="3" a="1"/>
  <c r="L427" i="3" s="1"/>
  <c r="L426" i="3" a="1"/>
  <c r="L426" i="3" s="1"/>
  <c r="L425" i="3" a="1"/>
  <c r="L425" i="3" s="1"/>
  <c r="L424" i="3" a="1"/>
  <c r="L424" i="3" s="1"/>
  <c r="L423" i="3" a="1"/>
  <c r="L423" i="3" s="1"/>
  <c r="L422" i="3" a="1"/>
  <c r="L422" i="3" s="1"/>
  <c r="L421" i="3"/>
  <c r="L421" i="3" a="1"/>
  <c r="L420" i="3" a="1"/>
  <c r="L420" i="3" s="1"/>
  <c r="L419" i="3" a="1"/>
  <c r="L419" i="3" s="1"/>
  <c r="L418" i="3" a="1"/>
  <c r="L418" i="3" s="1"/>
  <c r="L417" i="3" a="1"/>
  <c r="L417" i="3" s="1"/>
  <c r="L416" i="3" a="1"/>
  <c r="L416" i="3" s="1"/>
  <c r="L415" i="3" a="1"/>
  <c r="L415" i="3" s="1"/>
  <c r="L414" i="3" a="1"/>
  <c r="L414" i="3" s="1"/>
  <c r="L413" i="3" a="1"/>
  <c r="L413" i="3" s="1"/>
  <c r="L412" i="3" a="1"/>
  <c r="L412" i="3" s="1"/>
  <c r="L411" i="3" a="1"/>
  <c r="L411" i="3" s="1"/>
  <c r="L410" i="3" a="1"/>
  <c r="L410" i="3" s="1"/>
  <c r="L409" i="3" a="1"/>
  <c r="L409" i="3" s="1"/>
  <c r="L408" i="3" a="1"/>
  <c r="L408" i="3" s="1"/>
  <c r="L407" i="3" a="1"/>
  <c r="L407" i="3" s="1"/>
  <c r="L406" i="3" a="1"/>
  <c r="L406" i="3" s="1"/>
  <c r="L405" i="3"/>
  <c r="L405" i="3" a="1"/>
  <c r="L404" i="3" a="1"/>
  <c r="L404" i="3" s="1"/>
  <c r="L403" i="3" a="1"/>
  <c r="L403" i="3" s="1"/>
  <c r="L402" i="3" a="1"/>
  <c r="L402" i="3" s="1"/>
  <c r="L401" i="3" a="1"/>
  <c r="L401" i="3" s="1"/>
  <c r="L400" i="3" a="1"/>
  <c r="L400" i="3" s="1"/>
  <c r="L399" i="3" a="1"/>
  <c r="L399" i="3" s="1"/>
  <c r="L398" i="3" a="1"/>
  <c r="L398" i="3" s="1"/>
  <c r="L397" i="3" a="1"/>
  <c r="L397" i="3" s="1"/>
  <c r="L396" i="3" a="1"/>
  <c r="L396" i="3" s="1"/>
  <c r="L395" i="3" a="1"/>
  <c r="L395" i="3" s="1"/>
  <c r="L394" i="3" a="1"/>
  <c r="L394" i="3" s="1"/>
  <c r="L393" i="3" a="1"/>
  <c r="L393" i="3" s="1"/>
  <c r="L392" i="3" a="1"/>
  <c r="L392" i="3" s="1"/>
  <c r="L391" i="3" a="1"/>
  <c r="L391" i="3" s="1"/>
  <c r="L390" i="3" a="1"/>
  <c r="L390" i="3" s="1"/>
  <c r="L389" i="3"/>
  <c r="L389" i="3" a="1"/>
  <c r="L388" i="3" a="1"/>
  <c r="L388" i="3" s="1"/>
  <c r="L387" i="3" a="1"/>
  <c r="L387" i="3" s="1"/>
  <c r="L386" i="3" a="1"/>
  <c r="L386" i="3" s="1"/>
  <c r="L385" i="3" a="1"/>
  <c r="L385" i="3" s="1"/>
  <c r="L384" i="3" a="1"/>
  <c r="L384" i="3" s="1"/>
  <c r="L383" i="3" a="1"/>
  <c r="L383" i="3" s="1"/>
  <c r="L382" i="3" a="1"/>
  <c r="L382" i="3" s="1"/>
  <c r="L381" i="3" a="1"/>
  <c r="L381" i="3" s="1"/>
  <c r="L380" i="3" a="1"/>
  <c r="L380" i="3" s="1"/>
  <c r="L379" i="3" a="1"/>
  <c r="L379" i="3" s="1"/>
  <c r="L378" i="3" a="1"/>
  <c r="L378" i="3" s="1"/>
  <c r="L377" i="3" a="1"/>
  <c r="L377" i="3" s="1"/>
  <c r="L376" i="3" a="1"/>
  <c r="L376" i="3" s="1"/>
  <c r="L375" i="3" a="1"/>
  <c r="L375" i="3" s="1"/>
  <c r="L374" i="3" a="1"/>
  <c r="L374" i="3" s="1"/>
  <c r="L373" i="3"/>
  <c r="L373" i="3" a="1"/>
  <c r="L372" i="3" a="1"/>
  <c r="L372" i="3" s="1"/>
  <c r="L371" i="3" a="1"/>
  <c r="L371" i="3" s="1"/>
  <c r="L370" i="3" a="1"/>
  <c r="L370" i="3" s="1"/>
  <c r="L369" i="3" a="1"/>
  <c r="L369" i="3" s="1"/>
  <c r="L368" i="3" a="1"/>
  <c r="L368" i="3" s="1"/>
  <c r="L367" i="3" a="1"/>
  <c r="L367" i="3" s="1"/>
  <c r="L366" i="3" a="1"/>
  <c r="L366" i="3" s="1"/>
  <c r="L365" i="3" a="1"/>
  <c r="L365" i="3" s="1"/>
  <c r="L364" i="3" a="1"/>
  <c r="L364" i="3" s="1"/>
  <c r="L363" i="3" a="1"/>
  <c r="L363" i="3" s="1"/>
  <c r="L362" i="3" a="1"/>
  <c r="L362" i="3" s="1"/>
  <c r="L361" i="3" a="1"/>
  <c r="L361" i="3" s="1"/>
  <c r="L360" i="3" a="1"/>
  <c r="L360" i="3" s="1"/>
  <c r="L359" i="3" a="1"/>
  <c r="L359" i="3" s="1"/>
  <c r="L358" i="3" a="1"/>
  <c r="L358" i="3" s="1"/>
  <c r="L357" i="3"/>
  <c r="L357" i="3" a="1"/>
  <c r="L356" i="3" a="1"/>
  <c r="L356" i="3" s="1"/>
  <c r="L355" i="3" a="1"/>
  <c r="L355" i="3" s="1"/>
  <c r="L354" i="3" a="1"/>
  <c r="L354" i="3" s="1"/>
  <c r="L353" i="3" a="1"/>
  <c r="L353" i="3" s="1"/>
  <c r="L352" i="3" a="1"/>
  <c r="L352" i="3" s="1"/>
  <c r="L351" i="3" a="1"/>
  <c r="L351" i="3" s="1"/>
  <c r="L350" i="3" a="1"/>
  <c r="L350" i="3" s="1"/>
  <c r="L349" i="3" a="1"/>
  <c r="L349" i="3" s="1"/>
  <c r="L348" i="3" a="1"/>
  <c r="L348" i="3" s="1"/>
  <c r="L347" i="3" a="1"/>
  <c r="L347" i="3" s="1"/>
  <c r="L346" i="3" a="1"/>
  <c r="L346" i="3" s="1"/>
  <c r="L345" i="3" a="1"/>
  <c r="L345" i="3" s="1"/>
  <c r="L344" i="3" a="1"/>
  <c r="L344" i="3" s="1"/>
  <c r="L343" i="3" a="1"/>
  <c r="L343" i="3" s="1"/>
  <c r="L342" i="3" a="1"/>
  <c r="L342" i="3" s="1"/>
  <c r="L341" i="3"/>
  <c r="L341" i="3" a="1"/>
  <c r="L340" i="3" a="1"/>
  <c r="L340" i="3" s="1"/>
  <c r="L339" i="3" a="1"/>
  <c r="L339" i="3" s="1"/>
  <c r="L338" i="3" a="1"/>
  <c r="L338" i="3" s="1"/>
  <c r="L337" i="3" a="1"/>
  <c r="L337" i="3" s="1"/>
  <c r="L336" i="3" a="1"/>
  <c r="L336" i="3" s="1"/>
  <c r="L335" i="3" a="1"/>
  <c r="L335" i="3" s="1"/>
  <c r="L334" i="3" a="1"/>
  <c r="L334" i="3" s="1"/>
  <c r="L333" i="3" a="1"/>
  <c r="L333" i="3" s="1"/>
  <c r="L332" i="3" a="1"/>
  <c r="L332" i="3" s="1"/>
  <c r="L331" i="3" a="1"/>
  <c r="L331" i="3" s="1"/>
  <c r="L330" i="3" a="1"/>
  <c r="L330" i="3" s="1"/>
  <c r="L329" i="3" a="1"/>
  <c r="L329" i="3" s="1"/>
  <c r="L328" i="3" a="1"/>
  <c r="L328" i="3" s="1"/>
  <c r="L327" i="3" a="1"/>
  <c r="L327" i="3" s="1"/>
  <c r="L326" i="3" a="1"/>
  <c r="L326" i="3" s="1"/>
  <c r="L325" i="3"/>
  <c r="L325" i="3" a="1"/>
  <c r="L324" i="3" a="1"/>
  <c r="L324" i="3" s="1"/>
  <c r="L323" i="3" a="1"/>
  <c r="L323" i="3" s="1"/>
  <c r="L322" i="3" a="1"/>
  <c r="L322" i="3" s="1"/>
  <c r="L321" i="3" a="1"/>
  <c r="L321" i="3" s="1"/>
  <c r="L320" i="3" a="1"/>
  <c r="L320" i="3" s="1"/>
  <c r="L319" i="3" a="1"/>
  <c r="L319" i="3" s="1"/>
  <c r="L318" i="3" a="1"/>
  <c r="L318" i="3" s="1"/>
  <c r="L317" i="3" a="1"/>
  <c r="L317" i="3" s="1"/>
  <c r="L316" i="3" a="1"/>
  <c r="L316" i="3" s="1"/>
  <c r="L315" i="3" a="1"/>
  <c r="L315" i="3" s="1"/>
  <c r="L314" i="3" a="1"/>
  <c r="L314" i="3" s="1"/>
  <c r="L313" i="3" a="1"/>
  <c r="L313" i="3" s="1"/>
  <c r="L312" i="3" a="1"/>
  <c r="L312" i="3" s="1"/>
  <c r="L311" i="3" a="1"/>
  <c r="L311" i="3" s="1"/>
  <c r="L310" i="3" a="1"/>
  <c r="L310" i="3" s="1"/>
  <c r="L309" i="3" a="1"/>
  <c r="L309" i="3" s="1"/>
  <c r="L308" i="3" a="1"/>
  <c r="L308" i="3" s="1"/>
  <c r="L307" i="3" a="1"/>
  <c r="L307" i="3" s="1"/>
  <c r="L306" i="3" a="1"/>
  <c r="L306" i="3" s="1"/>
  <c r="L305" i="3" a="1"/>
  <c r="L305" i="3" s="1"/>
  <c r="L304" i="3" a="1"/>
  <c r="L304" i="3" s="1"/>
  <c r="L303" i="3" a="1"/>
  <c r="L303" i="3" s="1"/>
  <c r="L302" i="3" a="1"/>
  <c r="L302" i="3" s="1"/>
  <c r="L301" i="3" a="1"/>
  <c r="L301" i="3" s="1"/>
  <c r="L300" i="3" a="1"/>
  <c r="L300" i="3" s="1"/>
  <c r="L299" i="3" a="1"/>
  <c r="L299" i="3" s="1"/>
  <c r="L298" i="3" a="1"/>
  <c r="L298" i="3" s="1"/>
  <c r="L297" i="3" a="1"/>
  <c r="L297" i="3" s="1"/>
  <c r="L296" i="3" a="1"/>
  <c r="L296" i="3" s="1"/>
  <c r="L295" i="3" a="1"/>
  <c r="L295" i="3" s="1"/>
  <c r="L294" i="3" a="1"/>
  <c r="L294" i="3" s="1"/>
  <c r="L293" i="3" a="1"/>
  <c r="L293" i="3" s="1"/>
  <c r="L292" i="3" a="1"/>
  <c r="L292" i="3" s="1"/>
  <c r="L291" i="3" a="1"/>
  <c r="L291" i="3" s="1"/>
  <c r="L290" i="3" a="1"/>
  <c r="L290" i="3" s="1"/>
  <c r="L289" i="3" a="1"/>
  <c r="L289" i="3" s="1"/>
  <c r="L288" i="3" a="1"/>
  <c r="L288" i="3" s="1"/>
  <c r="L287" i="3" a="1"/>
  <c r="L287" i="3" s="1"/>
  <c r="L286" i="3" a="1"/>
  <c r="L286" i="3" s="1"/>
  <c r="L285" i="3" a="1"/>
  <c r="L285" i="3" s="1"/>
  <c r="L284" i="3" a="1"/>
  <c r="L284" i="3" s="1"/>
  <c r="L283" i="3" a="1"/>
  <c r="L283" i="3" s="1"/>
  <c r="L282" i="3" a="1"/>
  <c r="L282" i="3" s="1"/>
  <c r="L281" i="3" a="1"/>
  <c r="L281" i="3" s="1"/>
  <c r="L280" i="3" a="1"/>
  <c r="L280" i="3" s="1"/>
  <c r="L279" i="3" a="1"/>
  <c r="L279" i="3" s="1"/>
  <c r="L278" i="3" a="1"/>
  <c r="L278" i="3" s="1"/>
  <c r="L277" i="3" a="1"/>
  <c r="L277" i="3" s="1"/>
  <c r="L276" i="3" a="1"/>
  <c r="L276" i="3" s="1"/>
  <c r="L275" i="3" a="1"/>
  <c r="L275" i="3" s="1"/>
  <c r="L274" i="3" a="1"/>
  <c r="L274" i="3" s="1"/>
  <c r="L273" i="3" a="1"/>
  <c r="L273" i="3" s="1"/>
  <c r="L272" i="3" a="1"/>
  <c r="L272" i="3" s="1"/>
  <c r="L271" i="3" a="1"/>
  <c r="L271" i="3" s="1"/>
  <c r="L270" i="3" a="1"/>
  <c r="L270" i="3" s="1"/>
  <c r="L269" i="3" a="1"/>
  <c r="L269" i="3" s="1"/>
  <c r="L268" i="3" a="1"/>
  <c r="L268" i="3" s="1"/>
  <c r="L267" i="3" a="1"/>
  <c r="L267" i="3" s="1"/>
  <c r="L266" i="3" a="1"/>
  <c r="L266" i="3" s="1"/>
  <c r="L265" i="3" a="1"/>
  <c r="L265" i="3" s="1"/>
  <c r="L264" i="3" a="1"/>
  <c r="L264" i="3" s="1"/>
  <c r="L263" i="3" a="1"/>
  <c r="L263" i="3" s="1"/>
  <c r="L262" i="3" a="1"/>
  <c r="L262" i="3" s="1"/>
  <c r="L261" i="3" a="1"/>
  <c r="L261" i="3" s="1"/>
  <c r="L260" i="3" a="1"/>
  <c r="L260" i="3" s="1"/>
  <c r="L259" i="3" a="1"/>
  <c r="L259" i="3" s="1"/>
  <c r="L258" i="3" a="1"/>
  <c r="L258" i="3" s="1"/>
  <c r="L257" i="3" a="1"/>
  <c r="L257" i="3" s="1"/>
  <c r="L256" i="3" a="1"/>
  <c r="L256" i="3" s="1"/>
  <c r="L255" i="3" a="1"/>
  <c r="L255" i="3" s="1"/>
  <c r="L254" i="3" a="1"/>
  <c r="L254" i="3" s="1"/>
  <c r="L253" i="3" a="1"/>
  <c r="L253" i="3" s="1"/>
  <c r="L252" i="3" a="1"/>
  <c r="L252" i="3" s="1"/>
  <c r="L251" i="3" a="1"/>
  <c r="L251" i="3" s="1"/>
  <c r="L250" i="3" a="1"/>
  <c r="L250" i="3" s="1"/>
  <c r="L249" i="3" a="1"/>
  <c r="L249" i="3" s="1"/>
  <c r="L248" i="3" a="1"/>
  <c r="L248" i="3" s="1"/>
  <c r="L247" i="3" a="1"/>
  <c r="L247" i="3" s="1"/>
  <c r="L246" i="3" a="1"/>
  <c r="L246" i="3" s="1"/>
  <c r="L245" i="3" a="1"/>
  <c r="L245" i="3" s="1"/>
  <c r="L244" i="3" a="1"/>
  <c r="L244" i="3" s="1"/>
  <c r="L243" i="3" a="1"/>
  <c r="L243" i="3" s="1"/>
  <c r="L242" i="3" a="1"/>
  <c r="L242" i="3" s="1"/>
  <c r="L241" i="3" a="1"/>
  <c r="L241" i="3" s="1"/>
  <c r="L240" i="3" a="1"/>
  <c r="L240" i="3" s="1"/>
  <c r="L239" i="3" a="1"/>
  <c r="L239" i="3" s="1"/>
  <c r="L238" i="3" a="1"/>
  <c r="L238" i="3" s="1"/>
  <c r="L237" i="3" a="1"/>
  <c r="L237" i="3" s="1"/>
  <c r="L236" i="3" a="1"/>
  <c r="L236" i="3" s="1"/>
  <c r="L235" i="3" a="1"/>
  <c r="L235" i="3" s="1"/>
  <c r="L234" i="3" a="1"/>
  <c r="L234" i="3" s="1"/>
  <c r="L233" i="3" a="1"/>
  <c r="L233" i="3" s="1"/>
  <c r="L232" i="3" a="1"/>
  <c r="L232" i="3" s="1"/>
  <c r="L231" i="3" a="1"/>
  <c r="L231" i="3" s="1"/>
  <c r="L230" i="3" a="1"/>
  <c r="L230" i="3" s="1"/>
  <c r="L229" i="3" a="1"/>
  <c r="L229" i="3" s="1"/>
  <c r="L228" i="3" a="1"/>
  <c r="L228" i="3" s="1"/>
  <c r="L227" i="3" a="1"/>
  <c r="L227" i="3" s="1"/>
  <c r="L226" i="3" a="1"/>
  <c r="L226" i="3" s="1"/>
  <c r="L225" i="3" a="1"/>
  <c r="L225" i="3" s="1"/>
  <c r="L224" i="3" a="1"/>
  <c r="L224" i="3" s="1"/>
  <c r="L223" i="3" a="1"/>
  <c r="L223" i="3" s="1"/>
  <c r="L222" i="3" a="1"/>
  <c r="L222" i="3" s="1"/>
  <c r="L221" i="3" a="1"/>
  <c r="L221" i="3" s="1"/>
  <c r="L220" i="3" a="1"/>
  <c r="L220" i="3" s="1"/>
  <c r="L219" i="3" a="1"/>
  <c r="L219" i="3" s="1"/>
  <c r="L218" i="3" a="1"/>
  <c r="L218" i="3" s="1"/>
  <c r="L217" i="3" a="1"/>
  <c r="L217" i="3" s="1"/>
  <c r="L216" i="3" a="1"/>
  <c r="L216" i="3" s="1"/>
  <c r="L215" i="3" a="1"/>
  <c r="L215" i="3" s="1"/>
  <c r="L214" i="3" a="1"/>
  <c r="L214" i="3" s="1"/>
  <c r="L213" i="3" a="1"/>
  <c r="L213" i="3" s="1"/>
  <c r="L212" i="3" a="1"/>
  <c r="L212" i="3" s="1"/>
  <c r="L211" i="3" a="1"/>
  <c r="L211" i="3" s="1"/>
  <c r="L210" i="3" a="1"/>
  <c r="L210" i="3" s="1"/>
  <c r="L209" i="3" a="1"/>
  <c r="L209" i="3" s="1"/>
  <c r="L208" i="3" a="1"/>
  <c r="L208" i="3" s="1"/>
  <c r="L207" i="3" a="1"/>
  <c r="L207" i="3" s="1"/>
  <c r="L206" i="3" a="1"/>
  <c r="L206" i="3" s="1"/>
  <c r="L205" i="3" a="1"/>
  <c r="L205" i="3" s="1"/>
  <c r="L204" i="3" a="1"/>
  <c r="L204" i="3" s="1"/>
  <c r="L203" i="3" a="1"/>
  <c r="L203" i="3" s="1"/>
  <c r="L202" i="3" a="1"/>
  <c r="L202" i="3" s="1"/>
  <c r="L201" i="3" a="1"/>
  <c r="L201" i="3" s="1"/>
  <c r="L200" i="3" a="1"/>
  <c r="L200" i="3" s="1"/>
  <c r="L199" i="3" a="1"/>
  <c r="L199" i="3" s="1"/>
  <c r="L198" i="3" a="1"/>
  <c r="L198" i="3" s="1"/>
  <c r="L197" i="3" a="1"/>
  <c r="L197" i="3" s="1"/>
  <c r="L196" i="3" a="1"/>
  <c r="L196" i="3" s="1"/>
  <c r="L195" i="3" a="1"/>
  <c r="L195" i="3" s="1"/>
  <c r="L194" i="3" a="1"/>
  <c r="L194" i="3" s="1"/>
  <c r="L193" i="3" a="1"/>
  <c r="L193" i="3" s="1"/>
  <c r="L192" i="3" a="1"/>
  <c r="L192" i="3" s="1"/>
  <c r="L191" i="3" a="1"/>
  <c r="L191" i="3" s="1"/>
  <c r="L190" i="3" a="1"/>
  <c r="L190" i="3" s="1"/>
  <c r="L189" i="3" a="1"/>
  <c r="L189" i="3" s="1"/>
  <c r="L188" i="3" a="1"/>
  <c r="L188" i="3" s="1"/>
  <c r="L187" i="3" a="1"/>
  <c r="L187" i="3" s="1"/>
  <c r="L186" i="3" a="1"/>
  <c r="L186" i="3" s="1"/>
  <c r="L185" i="3" a="1"/>
  <c r="L185" i="3" s="1"/>
  <c r="L184" i="3" a="1"/>
  <c r="L184" i="3" s="1"/>
  <c r="L183" i="3" a="1"/>
  <c r="L183" i="3" s="1"/>
  <c r="L182" i="3" a="1"/>
  <c r="L182" i="3" s="1"/>
  <c r="L181" i="3" a="1"/>
  <c r="L181" i="3" s="1"/>
  <c r="L180" i="3" a="1"/>
  <c r="L180" i="3" s="1"/>
  <c r="L179" i="3" a="1"/>
  <c r="L179" i="3" s="1"/>
  <c r="L178" i="3" a="1"/>
  <c r="L178" i="3" s="1"/>
  <c r="L177" i="3" a="1"/>
  <c r="L177" i="3" s="1"/>
  <c r="L176" i="3" a="1"/>
  <c r="L176" i="3" s="1"/>
  <c r="L175" i="3" a="1"/>
  <c r="L175" i="3" s="1"/>
  <c r="L174" i="3" a="1"/>
  <c r="L174" i="3" s="1"/>
  <c r="L173" i="3" a="1"/>
  <c r="L173" i="3" s="1"/>
  <c r="L172" i="3" a="1"/>
  <c r="L172" i="3" s="1"/>
  <c r="L171" i="3" a="1"/>
  <c r="L171" i="3" s="1"/>
  <c r="L170" i="3" a="1"/>
  <c r="L170" i="3" s="1"/>
  <c r="L169" i="3" a="1"/>
  <c r="L169" i="3" s="1"/>
  <c r="L168" i="3" a="1"/>
  <c r="L168" i="3" s="1"/>
  <c r="L167" i="3" a="1"/>
  <c r="L167" i="3" s="1"/>
  <c r="L166" i="3" a="1"/>
  <c r="L166" i="3" s="1"/>
  <c r="L165" i="3" a="1"/>
  <c r="L165" i="3" s="1"/>
  <c r="L164" i="3" a="1"/>
  <c r="L164" i="3" s="1"/>
  <c r="L163" i="3" a="1"/>
  <c r="L163" i="3" s="1"/>
  <c r="L162" i="3" a="1"/>
  <c r="L162" i="3" s="1"/>
  <c r="L161" i="3" a="1"/>
  <c r="L161" i="3" s="1"/>
  <c r="L160" i="3" a="1"/>
  <c r="L160" i="3" s="1"/>
  <c r="L159" i="3" a="1"/>
  <c r="L159" i="3" s="1"/>
  <c r="L158" i="3" a="1"/>
  <c r="L158" i="3" s="1"/>
  <c r="L157" i="3" a="1"/>
  <c r="L157" i="3" s="1"/>
  <c r="L156" i="3" a="1"/>
  <c r="L156" i="3" s="1"/>
  <c r="L155" i="3" a="1"/>
  <c r="L155" i="3" s="1"/>
  <c r="L154" i="3" a="1"/>
  <c r="L154" i="3" s="1"/>
  <c r="L153" i="3" a="1"/>
  <c r="L153" i="3" s="1"/>
  <c r="L152" i="3" a="1"/>
  <c r="L152" i="3" s="1"/>
  <c r="L151" i="3" a="1"/>
  <c r="L151" i="3" s="1"/>
  <c r="L150" i="3" a="1"/>
  <c r="L150" i="3" s="1"/>
  <c r="L149" i="3" a="1"/>
  <c r="L149" i="3" s="1"/>
  <c r="L148" i="3" a="1"/>
  <c r="L148" i="3" s="1"/>
  <c r="L147" i="3" a="1"/>
  <c r="L147" i="3" s="1"/>
  <c r="L146" i="3" a="1"/>
  <c r="L146" i="3" s="1"/>
  <c r="L145" i="3" a="1"/>
  <c r="L145" i="3" s="1"/>
  <c r="L144" i="3" a="1"/>
  <c r="L144" i="3" s="1"/>
  <c r="L143" i="3" a="1"/>
  <c r="L143" i="3" s="1"/>
  <c r="L142" i="3" a="1"/>
  <c r="L142" i="3" s="1"/>
  <c r="L141" i="3" a="1"/>
  <c r="L141" i="3" s="1"/>
  <c r="L140" i="3" a="1"/>
  <c r="L140" i="3" s="1"/>
  <c r="L139" i="3" a="1"/>
  <c r="L139" i="3" s="1"/>
  <c r="L138" i="3" a="1"/>
  <c r="L138" i="3" s="1"/>
  <c r="L137" i="3" a="1"/>
  <c r="L137" i="3" s="1"/>
  <c r="L136" i="3" a="1"/>
  <c r="L136" i="3" s="1"/>
  <c r="L135" i="3" a="1"/>
  <c r="L135" i="3" s="1"/>
  <c r="L134" i="3" a="1"/>
  <c r="L134" i="3" s="1"/>
  <c r="L133" i="3" a="1"/>
  <c r="L133" i="3" s="1"/>
  <c r="L132" i="3" a="1"/>
  <c r="L132" i="3" s="1"/>
  <c r="L131" i="3" a="1"/>
  <c r="L131" i="3" s="1"/>
  <c r="L130" i="3" a="1"/>
  <c r="L130" i="3" s="1"/>
  <c r="L129" i="3" a="1"/>
  <c r="L129" i="3" s="1"/>
  <c r="L128" i="3" a="1"/>
  <c r="L128" i="3" s="1"/>
  <c r="L127" i="3" a="1"/>
  <c r="L127" i="3" s="1"/>
  <c r="L126" i="3" a="1"/>
  <c r="L126" i="3" s="1"/>
  <c r="L125" i="3" a="1"/>
  <c r="L125" i="3" s="1"/>
  <c r="L124" i="3" a="1"/>
  <c r="L124" i="3" s="1"/>
  <c r="L123" i="3" a="1"/>
  <c r="L123" i="3" s="1"/>
  <c r="L122" i="3" a="1"/>
  <c r="L122" i="3" s="1"/>
  <c r="L121" i="3" a="1"/>
  <c r="L121" i="3" s="1"/>
  <c r="L120" i="3" a="1"/>
  <c r="L120" i="3" s="1"/>
  <c r="L119" i="3" a="1"/>
  <c r="L119" i="3" s="1"/>
  <c r="L118" i="3" a="1"/>
  <c r="L118" i="3" s="1"/>
  <c r="L117" i="3" a="1"/>
  <c r="L117" i="3" s="1"/>
  <c r="L116" i="3" a="1"/>
  <c r="L116" i="3" s="1"/>
  <c r="L115" i="3" a="1"/>
  <c r="L115" i="3" s="1"/>
  <c r="L114" i="3" a="1"/>
  <c r="L114" i="3" s="1"/>
  <c r="L113" i="3" a="1"/>
  <c r="L113" i="3" s="1"/>
  <c r="L112" i="3" a="1"/>
  <c r="L112" i="3" s="1"/>
  <c r="L111" i="3" a="1"/>
  <c r="L111" i="3" s="1"/>
  <c r="L110" i="3" a="1"/>
  <c r="L110" i="3" s="1"/>
  <c r="L109" i="3" a="1"/>
  <c r="L109" i="3" s="1"/>
  <c r="L108" i="3" a="1"/>
  <c r="L108" i="3" s="1"/>
  <c r="L107" i="3" a="1"/>
  <c r="L107" i="3" s="1"/>
  <c r="L106" i="3" a="1"/>
  <c r="L106" i="3" s="1"/>
  <c r="L105" i="3" a="1"/>
  <c r="L105" i="3" s="1"/>
  <c r="L104" i="3" a="1"/>
  <c r="L104" i="3" s="1"/>
  <c r="L103" i="3" a="1"/>
  <c r="L103" i="3" s="1"/>
  <c r="L102" i="3" a="1"/>
  <c r="L102" i="3" s="1"/>
  <c r="L101" i="3" a="1"/>
  <c r="L101" i="3" s="1"/>
  <c r="L100" i="3" a="1"/>
  <c r="L100" i="3" s="1"/>
  <c r="L99" i="3" a="1"/>
  <c r="L99" i="3" s="1"/>
  <c r="L98" i="3" a="1"/>
  <c r="L98" i="3" s="1"/>
  <c r="L97" i="3" a="1"/>
  <c r="L97" i="3" s="1"/>
  <c r="L96" i="3" a="1"/>
  <c r="L96" i="3" s="1"/>
  <c r="L95" i="3" a="1"/>
  <c r="L95" i="3" s="1"/>
  <c r="L94" i="3" a="1"/>
  <c r="L94" i="3" s="1"/>
  <c r="L93" i="3" a="1"/>
  <c r="L93" i="3" s="1"/>
  <c r="L92" i="3" a="1"/>
  <c r="L92" i="3" s="1"/>
  <c r="L91" i="3" a="1"/>
  <c r="L91" i="3" s="1"/>
  <c r="L90" i="3" a="1"/>
  <c r="L90" i="3" s="1"/>
  <c r="L89" i="3" a="1"/>
  <c r="L89" i="3" s="1"/>
  <c r="L88" i="3" a="1"/>
  <c r="L88" i="3" s="1"/>
  <c r="L87" i="3" a="1"/>
  <c r="L87" i="3" s="1"/>
  <c r="L86" i="3" a="1"/>
  <c r="L86" i="3" s="1"/>
  <c r="L85" i="3" a="1"/>
  <c r="L85" i="3" s="1"/>
  <c r="L84" i="3" a="1"/>
  <c r="L84" i="3" s="1"/>
  <c r="L83" i="3" a="1"/>
  <c r="L83" i="3" s="1"/>
  <c r="L82" i="3" a="1"/>
  <c r="L82" i="3" s="1"/>
  <c r="L81" i="3" a="1"/>
  <c r="L81" i="3" s="1"/>
  <c r="L80" i="3" a="1"/>
  <c r="L80" i="3" s="1"/>
  <c r="L79" i="3" a="1"/>
  <c r="L79" i="3" s="1"/>
  <c r="L78" i="3" a="1"/>
  <c r="L78" i="3" s="1"/>
  <c r="L77" i="3" a="1"/>
  <c r="L77" i="3" s="1"/>
  <c r="L76" i="3" a="1"/>
  <c r="L76" i="3" s="1"/>
  <c r="L75" i="3" a="1"/>
  <c r="L75" i="3" s="1"/>
  <c r="L74" i="3" a="1"/>
  <c r="L74" i="3" s="1"/>
  <c r="L73" i="3" a="1"/>
  <c r="L73" i="3" s="1"/>
  <c r="L72" i="3" a="1"/>
  <c r="L72" i="3" s="1"/>
  <c r="L71" i="3" a="1"/>
  <c r="L71" i="3" s="1"/>
  <c r="L70" i="3" a="1"/>
  <c r="L70" i="3" s="1"/>
  <c r="L69" i="3" a="1"/>
  <c r="L69" i="3" s="1"/>
  <c r="L68" i="3" a="1"/>
  <c r="L68" i="3" s="1"/>
  <c r="L67" i="3" a="1"/>
  <c r="L67" i="3" s="1"/>
  <c r="L66" i="3" a="1"/>
  <c r="L66" i="3" s="1"/>
  <c r="L65" i="3" a="1"/>
  <c r="L65" i="3" s="1"/>
  <c r="L64" i="3" a="1"/>
  <c r="L64" i="3" s="1"/>
  <c r="L63" i="3" a="1"/>
  <c r="L63" i="3" s="1"/>
  <c r="L62" i="3" a="1"/>
  <c r="L62" i="3" s="1"/>
  <c r="L61" i="3" a="1"/>
  <c r="L61" i="3" s="1"/>
  <c r="L60" i="3" a="1"/>
  <c r="L60" i="3" s="1"/>
  <c r="L59" i="3" a="1"/>
  <c r="L59" i="3" s="1"/>
  <c r="L58" i="3" a="1"/>
  <c r="L58" i="3" s="1"/>
  <c r="L57" i="3" a="1"/>
  <c r="L57" i="3" s="1"/>
  <c r="L56" i="3" a="1"/>
  <c r="L56" i="3" s="1"/>
  <c r="L55" i="3" a="1"/>
  <c r="L55" i="3" s="1"/>
  <c r="L54" i="3" a="1"/>
  <c r="L54" i="3" s="1"/>
  <c r="L53" i="3" a="1"/>
  <c r="L53" i="3" s="1"/>
  <c r="L52" i="3" a="1"/>
  <c r="L52" i="3" s="1"/>
  <c r="L51" i="3" a="1"/>
  <c r="L51" i="3" s="1"/>
  <c r="L50" i="3" a="1"/>
  <c r="L50" i="3" s="1"/>
  <c r="L49" i="3" a="1"/>
  <c r="L49" i="3" s="1"/>
  <c r="L48" i="3" a="1"/>
  <c r="L48" i="3" s="1"/>
  <c r="L47" i="3" a="1"/>
  <c r="L47" i="3" s="1"/>
  <c r="L46" i="3" a="1"/>
  <c r="L46" i="3" s="1"/>
  <c r="L45" i="3" a="1"/>
  <c r="L45" i="3" s="1"/>
  <c r="L44" i="3" a="1"/>
  <c r="L44" i="3" s="1"/>
  <c r="L43" i="3" a="1"/>
  <c r="L43" i="3" s="1"/>
  <c r="L42" i="3" a="1"/>
  <c r="L42" i="3" s="1"/>
  <c r="L41" i="3" a="1"/>
  <c r="L41" i="3" s="1"/>
  <c r="L40" i="3" a="1"/>
  <c r="L40" i="3" s="1"/>
  <c r="L39" i="3" a="1"/>
  <c r="L39" i="3" s="1"/>
  <c r="L38" i="3" a="1"/>
  <c r="L38" i="3" s="1"/>
  <c r="L37" i="3" a="1"/>
  <c r="L37" i="3" s="1"/>
  <c r="L36" i="3" a="1"/>
  <c r="L36" i="3" s="1"/>
  <c r="L35" i="3" a="1"/>
  <c r="L35" i="3" s="1"/>
  <c r="L34" i="3" a="1"/>
  <c r="L34" i="3" s="1"/>
  <c r="L33" i="3" a="1"/>
  <c r="L33" i="3" s="1"/>
  <c r="L32" i="3" a="1"/>
  <c r="L32" i="3" s="1"/>
  <c r="L31" i="3" a="1"/>
  <c r="L31" i="3" s="1"/>
  <c r="L30" i="3" a="1"/>
  <c r="L30" i="3" s="1"/>
  <c r="L29" i="3" a="1"/>
  <c r="L29" i="3" s="1"/>
  <c r="L28" i="3" a="1"/>
  <c r="L28" i="3" s="1"/>
  <c r="L27" i="3" a="1"/>
  <c r="L27" i="3" s="1"/>
  <c r="L26" i="3" a="1"/>
  <c r="L26" i="3" s="1"/>
  <c r="L25" i="3" a="1"/>
  <c r="L25" i="3" s="1"/>
  <c r="L24" i="3" a="1"/>
  <c r="L24" i="3" s="1"/>
  <c r="L23" i="3" a="1"/>
  <c r="L23" i="3" s="1"/>
  <c r="L22" i="3" a="1"/>
  <c r="L22" i="3" s="1"/>
  <c r="L21" i="3" a="1"/>
  <c r="L21" i="3" s="1"/>
  <c r="L20" i="3" a="1"/>
  <c r="L20" i="3" s="1"/>
  <c r="L19" i="3" a="1"/>
  <c r="L19" i="3" s="1"/>
  <c r="L18" i="3" a="1"/>
  <c r="L18" i="3" s="1"/>
  <c r="L17" i="3" a="1"/>
  <c r="L17" i="3" s="1"/>
  <c r="L16" i="3" a="1"/>
  <c r="L16" i="3" s="1"/>
  <c r="L15" i="3" a="1"/>
  <c r="L15" i="3" s="1"/>
  <c r="L14" i="3" a="1"/>
  <c r="L14" i="3" s="1"/>
  <c r="L13" i="3" a="1"/>
  <c r="L13" i="3" s="1"/>
  <c r="L12" i="3" a="1"/>
  <c r="L12" i="3" s="1"/>
  <c r="L11" i="3" a="1"/>
  <c r="L11" i="3" s="1"/>
  <c r="L10" i="3" a="1"/>
  <c r="L10" i="3" s="1"/>
  <c r="L9" i="3" a="1"/>
  <c r="L9" i="3" s="1"/>
  <c r="L8" i="3" a="1"/>
  <c r="L8" i="3" s="1"/>
  <c r="L7" i="3" a="1"/>
  <c r="L7" i="3" s="1"/>
  <c r="L6" i="3" a="1"/>
  <c r="L6" i="3" s="1"/>
  <c r="L5" i="3" a="1"/>
  <c r="L5" i="3" s="1"/>
  <c r="L4" i="3" a="1"/>
  <c r="L4" i="3" s="1"/>
  <c r="L3" i="3" a="1"/>
  <c r="L3" i="3" s="1"/>
  <c r="L1001" i="4" a="1"/>
  <c r="L1001" i="4" s="1"/>
  <c r="K1001" i="4"/>
  <c r="L1000" i="4" a="1"/>
  <c r="L1000" i="4" s="1"/>
  <c r="K1000" i="4"/>
  <c r="L999" i="4" a="1"/>
  <c r="L999" i="4" s="1"/>
  <c r="K999" i="4"/>
  <c r="L998" i="4" a="1"/>
  <c r="L998" i="4" s="1"/>
  <c r="K998" i="4"/>
  <c r="L997" i="4" a="1"/>
  <c r="L997" i="4" s="1"/>
  <c r="K997" i="4"/>
  <c r="L996" i="4" a="1"/>
  <c r="L996" i="4" s="1"/>
  <c r="K996" i="4"/>
  <c r="L995" i="4" a="1"/>
  <c r="L995" i="4" s="1"/>
  <c r="K995" i="4"/>
  <c r="L994" i="4" a="1"/>
  <c r="L994" i="4" s="1"/>
  <c r="K994" i="4"/>
  <c r="L993" i="4" a="1"/>
  <c r="L993" i="4" s="1"/>
  <c r="K993" i="4"/>
  <c r="L992" i="4" a="1"/>
  <c r="L992" i="4" s="1"/>
  <c r="K992" i="4"/>
  <c r="L991" i="4" a="1"/>
  <c r="L991" i="4" s="1"/>
  <c r="K991" i="4"/>
  <c r="L990" i="4" a="1"/>
  <c r="L990" i="4" s="1"/>
  <c r="K990" i="4"/>
  <c r="L989" i="4" a="1"/>
  <c r="L989" i="4" s="1"/>
  <c r="K989" i="4"/>
  <c r="L988" i="4" a="1"/>
  <c r="L988" i="4" s="1"/>
  <c r="K988" i="4"/>
  <c r="L987" i="4" a="1"/>
  <c r="L987" i="4" s="1"/>
  <c r="K987" i="4"/>
  <c r="L986" i="4" a="1"/>
  <c r="L986" i="4" s="1"/>
  <c r="K986" i="4"/>
  <c r="L985" i="4" a="1"/>
  <c r="L985" i="4" s="1"/>
  <c r="K985" i="4"/>
  <c r="L984" i="4" a="1"/>
  <c r="L984" i="4" s="1"/>
  <c r="K984" i="4"/>
  <c r="L983" i="4" a="1"/>
  <c r="L983" i="4" s="1"/>
  <c r="K983" i="4"/>
  <c r="L982" i="4" a="1"/>
  <c r="L982" i="4" s="1"/>
  <c r="K982" i="4"/>
  <c r="L981" i="4" a="1"/>
  <c r="L981" i="4" s="1"/>
  <c r="K981" i="4"/>
  <c r="L980" i="4" a="1"/>
  <c r="L980" i="4" s="1"/>
  <c r="K980" i="4"/>
  <c r="L979" i="4" a="1"/>
  <c r="L979" i="4" s="1"/>
  <c r="K979" i="4"/>
  <c r="L978" i="4" a="1"/>
  <c r="L978" i="4" s="1"/>
  <c r="K978" i="4"/>
  <c r="L977" i="4" a="1"/>
  <c r="L977" i="4" s="1"/>
  <c r="K977" i="4"/>
  <c r="L976" i="4" a="1"/>
  <c r="L976" i="4" s="1"/>
  <c r="K976" i="4"/>
  <c r="L975" i="4" a="1"/>
  <c r="L975" i="4" s="1"/>
  <c r="K975" i="4"/>
  <c r="L974" i="4" a="1"/>
  <c r="L974" i="4" s="1"/>
  <c r="K974" i="4"/>
  <c r="L973" i="4" a="1"/>
  <c r="L973" i="4" s="1"/>
  <c r="K973" i="4"/>
  <c r="L972" i="4" a="1"/>
  <c r="L972" i="4" s="1"/>
  <c r="K972" i="4"/>
  <c r="L971" i="4" a="1"/>
  <c r="L971" i="4" s="1"/>
  <c r="K971" i="4"/>
  <c r="L970" i="4" a="1"/>
  <c r="L970" i="4" s="1"/>
  <c r="K970" i="4"/>
  <c r="L969" i="4" a="1"/>
  <c r="L969" i="4" s="1"/>
  <c r="K969" i="4"/>
  <c r="L968" i="4" a="1"/>
  <c r="L968" i="4" s="1"/>
  <c r="K968" i="4"/>
  <c r="L967" i="4" a="1"/>
  <c r="L967" i="4" s="1"/>
  <c r="K967" i="4"/>
  <c r="L966" i="4" a="1"/>
  <c r="L966" i="4" s="1"/>
  <c r="K966" i="4"/>
  <c r="L965" i="4" a="1"/>
  <c r="L965" i="4" s="1"/>
  <c r="K965" i="4"/>
  <c r="L964" i="4" a="1"/>
  <c r="L964" i="4" s="1"/>
  <c r="K964" i="4"/>
  <c r="L963" i="4" a="1"/>
  <c r="L963" i="4" s="1"/>
  <c r="K963" i="4"/>
  <c r="L962" i="4" a="1"/>
  <c r="L962" i="4" s="1"/>
  <c r="K962" i="4"/>
  <c r="L961" i="4" a="1"/>
  <c r="L961" i="4" s="1"/>
  <c r="K961" i="4"/>
  <c r="L960" i="4" a="1"/>
  <c r="L960" i="4" s="1"/>
  <c r="K960" i="4"/>
  <c r="L959" i="4" a="1"/>
  <c r="L959" i="4" s="1"/>
  <c r="K959" i="4"/>
  <c r="L958" i="4" a="1"/>
  <c r="L958" i="4" s="1"/>
  <c r="K958" i="4"/>
  <c r="L957" i="4" a="1"/>
  <c r="L957" i="4" s="1"/>
  <c r="K957" i="4"/>
  <c r="L956" i="4" a="1"/>
  <c r="L956" i="4" s="1"/>
  <c r="K956" i="4"/>
  <c r="L955" i="4" a="1"/>
  <c r="L955" i="4" s="1"/>
  <c r="K955" i="4"/>
  <c r="L954" i="4" a="1"/>
  <c r="L954" i="4" s="1"/>
  <c r="K954" i="4"/>
  <c r="L953" i="4" a="1"/>
  <c r="L953" i="4" s="1"/>
  <c r="K953" i="4"/>
  <c r="L952" i="4" a="1"/>
  <c r="L952" i="4" s="1"/>
  <c r="K952" i="4"/>
  <c r="L951" i="4" a="1"/>
  <c r="L951" i="4" s="1"/>
  <c r="K951" i="4"/>
  <c r="L950" i="4" a="1"/>
  <c r="L950" i="4" s="1"/>
  <c r="K950" i="4"/>
  <c r="L949" i="4" a="1"/>
  <c r="L949" i="4" s="1"/>
  <c r="K949" i="4"/>
  <c r="L948" i="4" a="1"/>
  <c r="L948" i="4" s="1"/>
  <c r="K948" i="4"/>
  <c r="L947" i="4" a="1"/>
  <c r="L947" i="4" s="1"/>
  <c r="K947" i="4"/>
  <c r="L946" i="4" a="1"/>
  <c r="L946" i="4" s="1"/>
  <c r="K946" i="4"/>
  <c r="L945" i="4" a="1"/>
  <c r="L945" i="4" s="1"/>
  <c r="K945" i="4"/>
  <c r="L944" i="4" a="1"/>
  <c r="L944" i="4" s="1"/>
  <c r="K944" i="4"/>
  <c r="L943" i="4" a="1"/>
  <c r="L943" i="4" s="1"/>
  <c r="K943" i="4"/>
  <c r="L942" i="4" a="1"/>
  <c r="L942" i="4" s="1"/>
  <c r="K942" i="4"/>
  <c r="L941" i="4" a="1"/>
  <c r="L941" i="4" s="1"/>
  <c r="K941" i="4"/>
  <c r="L940" i="4" a="1"/>
  <c r="L940" i="4" s="1"/>
  <c r="K940" i="4"/>
  <c r="L939" i="4" a="1"/>
  <c r="L939" i="4" s="1"/>
  <c r="K939" i="4"/>
  <c r="L938" i="4" a="1"/>
  <c r="L938" i="4" s="1"/>
  <c r="K938" i="4"/>
  <c r="L937" i="4" a="1"/>
  <c r="L937" i="4" s="1"/>
  <c r="K937" i="4"/>
  <c r="L936" i="4" a="1"/>
  <c r="L936" i="4" s="1"/>
  <c r="K936" i="4"/>
  <c r="L935" i="4" a="1"/>
  <c r="L935" i="4" s="1"/>
  <c r="K935" i="4"/>
  <c r="L934" i="4" a="1"/>
  <c r="L934" i="4" s="1"/>
  <c r="K934" i="4"/>
  <c r="L933" i="4" a="1"/>
  <c r="L933" i="4" s="1"/>
  <c r="K933" i="4"/>
  <c r="L932" i="4" a="1"/>
  <c r="L932" i="4" s="1"/>
  <c r="K932" i="4"/>
  <c r="L931" i="4" a="1"/>
  <c r="L931" i="4" s="1"/>
  <c r="K931" i="4"/>
  <c r="L930" i="4" a="1"/>
  <c r="L930" i="4" s="1"/>
  <c r="K930" i="4"/>
  <c r="L929" i="4" a="1"/>
  <c r="L929" i="4" s="1"/>
  <c r="K929" i="4"/>
  <c r="L928" i="4" a="1"/>
  <c r="L928" i="4" s="1"/>
  <c r="K928" i="4"/>
  <c r="L927" i="4" a="1"/>
  <c r="L927" i="4" s="1"/>
  <c r="K927" i="4"/>
  <c r="L926" i="4" a="1"/>
  <c r="L926" i="4" s="1"/>
  <c r="K926" i="4"/>
  <c r="L925" i="4" a="1"/>
  <c r="L925" i="4" s="1"/>
  <c r="K925" i="4"/>
  <c r="L924" i="4" a="1"/>
  <c r="L924" i="4" s="1"/>
  <c r="K924" i="4"/>
  <c r="L923" i="4" a="1"/>
  <c r="L923" i="4" s="1"/>
  <c r="K923" i="4"/>
  <c r="L922" i="4" a="1"/>
  <c r="L922" i="4" s="1"/>
  <c r="K922" i="4"/>
  <c r="L921" i="4" a="1"/>
  <c r="L921" i="4" s="1"/>
  <c r="K921" i="4"/>
  <c r="L920" i="4" a="1"/>
  <c r="L920" i="4" s="1"/>
  <c r="K920" i="4"/>
  <c r="L919" i="4" a="1"/>
  <c r="L919" i="4" s="1"/>
  <c r="K919" i="4"/>
  <c r="L918" i="4" a="1"/>
  <c r="L918" i="4" s="1"/>
  <c r="K918" i="4"/>
  <c r="L917" i="4" a="1"/>
  <c r="L917" i="4" s="1"/>
  <c r="K917" i="4"/>
  <c r="L916" i="4" a="1"/>
  <c r="L916" i="4" s="1"/>
  <c r="K916" i="4"/>
  <c r="L915" i="4" a="1"/>
  <c r="L915" i="4" s="1"/>
  <c r="K915" i="4"/>
  <c r="L914" i="4" a="1"/>
  <c r="L914" i="4" s="1"/>
  <c r="K914" i="4"/>
  <c r="L913" i="4" a="1"/>
  <c r="L913" i="4" s="1"/>
  <c r="K913" i="4"/>
  <c r="L912" i="4" a="1"/>
  <c r="L912" i="4" s="1"/>
  <c r="K912" i="4"/>
  <c r="L911" i="4" a="1"/>
  <c r="L911" i="4" s="1"/>
  <c r="K911" i="4"/>
  <c r="L910" i="4" a="1"/>
  <c r="L910" i="4" s="1"/>
  <c r="K910" i="4"/>
  <c r="L909" i="4" a="1"/>
  <c r="L909" i="4" s="1"/>
  <c r="K909" i="4"/>
  <c r="L908" i="4" a="1"/>
  <c r="L908" i="4" s="1"/>
  <c r="K908" i="4"/>
  <c r="L907" i="4" a="1"/>
  <c r="L907" i="4" s="1"/>
  <c r="K907" i="4"/>
  <c r="L906" i="4" a="1"/>
  <c r="L906" i="4" s="1"/>
  <c r="K906" i="4"/>
  <c r="L905" i="4" a="1"/>
  <c r="L905" i="4" s="1"/>
  <c r="K905" i="4"/>
  <c r="L904" i="4" a="1"/>
  <c r="L904" i="4" s="1"/>
  <c r="K904" i="4"/>
  <c r="L903" i="4" a="1"/>
  <c r="L903" i="4" s="1"/>
  <c r="K903" i="4"/>
  <c r="L902" i="4" a="1"/>
  <c r="L902" i="4" s="1"/>
  <c r="K902" i="4"/>
  <c r="L901" i="4" a="1"/>
  <c r="L901" i="4" s="1"/>
  <c r="K901" i="4"/>
  <c r="L900" i="4" a="1"/>
  <c r="L900" i="4" s="1"/>
  <c r="K900" i="4"/>
  <c r="L899" i="4" a="1"/>
  <c r="L899" i="4" s="1"/>
  <c r="K899" i="4"/>
  <c r="L898" i="4" a="1"/>
  <c r="L898" i="4" s="1"/>
  <c r="K898" i="4"/>
  <c r="L897" i="4" a="1"/>
  <c r="L897" i="4" s="1"/>
  <c r="K897" i="4"/>
  <c r="L896" i="4" a="1"/>
  <c r="L896" i="4" s="1"/>
  <c r="K896" i="4"/>
  <c r="L895" i="4" a="1"/>
  <c r="L895" i="4" s="1"/>
  <c r="K895" i="4"/>
  <c r="L894" i="4" a="1"/>
  <c r="L894" i="4" s="1"/>
  <c r="K894" i="4"/>
  <c r="L893" i="4" a="1"/>
  <c r="L893" i="4" s="1"/>
  <c r="K893" i="4"/>
  <c r="L892" i="4" a="1"/>
  <c r="L892" i="4" s="1"/>
  <c r="K892" i="4"/>
  <c r="L891" i="4" a="1"/>
  <c r="L891" i="4" s="1"/>
  <c r="K891" i="4"/>
  <c r="L890" i="4" a="1"/>
  <c r="L890" i="4" s="1"/>
  <c r="K890" i="4"/>
  <c r="L889" i="4" a="1"/>
  <c r="L889" i="4" s="1"/>
  <c r="K889" i="4"/>
  <c r="L888" i="4" a="1"/>
  <c r="L888" i="4" s="1"/>
  <c r="K888" i="4"/>
  <c r="L887" i="4" a="1"/>
  <c r="L887" i="4" s="1"/>
  <c r="K887" i="4"/>
  <c r="L886" i="4" a="1"/>
  <c r="L886" i="4" s="1"/>
  <c r="K886" i="4"/>
  <c r="L885" i="4" a="1"/>
  <c r="L885" i="4" s="1"/>
  <c r="K885" i="4"/>
  <c r="L884" i="4" a="1"/>
  <c r="L884" i="4" s="1"/>
  <c r="K884" i="4"/>
  <c r="L883" i="4" a="1"/>
  <c r="L883" i="4" s="1"/>
  <c r="K883" i="4"/>
  <c r="L882" i="4" a="1"/>
  <c r="L882" i="4" s="1"/>
  <c r="K882" i="4"/>
  <c r="L881" i="4" a="1"/>
  <c r="L881" i="4" s="1"/>
  <c r="K881" i="4"/>
  <c r="L880" i="4" a="1"/>
  <c r="L880" i="4" s="1"/>
  <c r="K880" i="4"/>
  <c r="L879" i="4" a="1"/>
  <c r="L879" i="4" s="1"/>
  <c r="K879" i="4"/>
  <c r="L878" i="4" a="1"/>
  <c r="L878" i="4" s="1"/>
  <c r="K878" i="4"/>
  <c r="L877" i="4" a="1"/>
  <c r="L877" i="4" s="1"/>
  <c r="K877" i="4"/>
  <c r="L876" i="4" a="1"/>
  <c r="L876" i="4" s="1"/>
  <c r="K876" i="4"/>
  <c r="L875" i="4" a="1"/>
  <c r="L875" i="4" s="1"/>
  <c r="K875" i="4"/>
  <c r="L874" i="4" a="1"/>
  <c r="L874" i="4" s="1"/>
  <c r="K874" i="4"/>
  <c r="L873" i="4" a="1"/>
  <c r="L873" i="4" s="1"/>
  <c r="K873" i="4"/>
  <c r="L872" i="4" a="1"/>
  <c r="L872" i="4" s="1"/>
  <c r="K872" i="4"/>
  <c r="L871" i="4" a="1"/>
  <c r="L871" i="4" s="1"/>
  <c r="K871" i="4"/>
  <c r="L870" i="4" a="1"/>
  <c r="L870" i="4" s="1"/>
  <c r="K870" i="4"/>
  <c r="L869" i="4" a="1"/>
  <c r="L869" i="4" s="1"/>
  <c r="K869" i="4"/>
  <c r="L868" i="4" a="1"/>
  <c r="L868" i="4" s="1"/>
  <c r="K868" i="4"/>
  <c r="L867" i="4" a="1"/>
  <c r="L867" i="4" s="1"/>
  <c r="K867" i="4"/>
  <c r="L866" i="4" a="1"/>
  <c r="L866" i="4" s="1"/>
  <c r="K866" i="4"/>
  <c r="L865" i="4" a="1"/>
  <c r="L865" i="4" s="1"/>
  <c r="K865" i="4"/>
  <c r="L864" i="4" a="1"/>
  <c r="L864" i="4" s="1"/>
  <c r="K864" i="4"/>
  <c r="L863" i="4" a="1"/>
  <c r="L863" i="4" s="1"/>
  <c r="K863" i="4"/>
  <c r="L862" i="4" a="1"/>
  <c r="L862" i="4" s="1"/>
  <c r="K862" i="4"/>
  <c r="L861" i="4" a="1"/>
  <c r="L861" i="4" s="1"/>
  <c r="K861" i="4"/>
  <c r="L860" i="4" a="1"/>
  <c r="L860" i="4" s="1"/>
  <c r="K860" i="4"/>
  <c r="L859" i="4" a="1"/>
  <c r="L859" i="4" s="1"/>
  <c r="K859" i="4"/>
  <c r="L858" i="4" a="1"/>
  <c r="L858" i="4" s="1"/>
  <c r="K858" i="4"/>
  <c r="L857" i="4" a="1"/>
  <c r="L857" i="4" s="1"/>
  <c r="K857" i="4"/>
  <c r="L856" i="4" a="1"/>
  <c r="L856" i="4" s="1"/>
  <c r="K856" i="4"/>
  <c r="L855" i="4" a="1"/>
  <c r="L855" i="4" s="1"/>
  <c r="K855" i="4"/>
  <c r="L854" i="4" a="1"/>
  <c r="L854" i="4" s="1"/>
  <c r="K854" i="4"/>
  <c r="L853" i="4" a="1"/>
  <c r="L853" i="4" s="1"/>
  <c r="K853" i="4"/>
  <c r="L852" i="4" a="1"/>
  <c r="L852" i="4" s="1"/>
  <c r="K852" i="4"/>
  <c r="L851" i="4" a="1"/>
  <c r="L851" i="4" s="1"/>
  <c r="K851" i="4"/>
  <c r="L850" i="4" a="1"/>
  <c r="L850" i="4" s="1"/>
  <c r="K850" i="4"/>
  <c r="L849" i="4" a="1"/>
  <c r="L849" i="4" s="1"/>
  <c r="K849" i="4"/>
  <c r="L848" i="4" a="1"/>
  <c r="L848" i="4" s="1"/>
  <c r="K848" i="4"/>
  <c r="L847" i="4" a="1"/>
  <c r="L847" i="4" s="1"/>
  <c r="K847" i="4"/>
  <c r="L846" i="4" a="1"/>
  <c r="L846" i="4" s="1"/>
  <c r="K846" i="4"/>
  <c r="L845" i="4" a="1"/>
  <c r="L845" i="4" s="1"/>
  <c r="K845" i="4"/>
  <c r="L844" i="4" a="1"/>
  <c r="L844" i="4" s="1"/>
  <c r="K844" i="4"/>
  <c r="L843" i="4" a="1"/>
  <c r="L843" i="4" s="1"/>
  <c r="K843" i="4"/>
  <c r="L842" i="4" a="1"/>
  <c r="L842" i="4" s="1"/>
  <c r="K842" i="4"/>
  <c r="L841" i="4" a="1"/>
  <c r="L841" i="4" s="1"/>
  <c r="K841" i="4"/>
  <c r="L840" i="4" a="1"/>
  <c r="L840" i="4" s="1"/>
  <c r="K840" i="4"/>
  <c r="L839" i="4" a="1"/>
  <c r="L839" i="4" s="1"/>
  <c r="K839" i="4"/>
  <c r="L838" i="4" a="1"/>
  <c r="L838" i="4" s="1"/>
  <c r="K838" i="4"/>
  <c r="L837" i="4" a="1"/>
  <c r="L837" i="4" s="1"/>
  <c r="K837" i="4"/>
  <c r="L836" i="4" a="1"/>
  <c r="L836" i="4" s="1"/>
  <c r="K836" i="4"/>
  <c r="L835" i="4" a="1"/>
  <c r="L835" i="4" s="1"/>
  <c r="K835" i="4"/>
  <c r="L834" i="4" a="1"/>
  <c r="L834" i="4" s="1"/>
  <c r="K834" i="4"/>
  <c r="L833" i="4" a="1"/>
  <c r="L833" i="4" s="1"/>
  <c r="K833" i="4"/>
  <c r="L832" i="4" a="1"/>
  <c r="L832" i="4" s="1"/>
  <c r="K832" i="4"/>
  <c r="L831" i="4" a="1"/>
  <c r="L831" i="4" s="1"/>
  <c r="K831" i="4"/>
  <c r="L830" i="4" a="1"/>
  <c r="L830" i="4" s="1"/>
  <c r="K830" i="4"/>
  <c r="L829" i="4" a="1"/>
  <c r="L829" i="4" s="1"/>
  <c r="K829" i="4"/>
  <c r="L828" i="4" a="1"/>
  <c r="L828" i="4" s="1"/>
  <c r="K828" i="4"/>
  <c r="L827" i="4" a="1"/>
  <c r="L827" i="4" s="1"/>
  <c r="K827" i="4"/>
  <c r="L826" i="4" a="1"/>
  <c r="L826" i="4" s="1"/>
  <c r="K826" i="4"/>
  <c r="L825" i="4" a="1"/>
  <c r="L825" i="4" s="1"/>
  <c r="K825" i="4"/>
  <c r="L824" i="4" a="1"/>
  <c r="L824" i="4" s="1"/>
  <c r="K824" i="4"/>
  <c r="L823" i="4" a="1"/>
  <c r="L823" i="4" s="1"/>
  <c r="K823" i="4"/>
  <c r="L822" i="4" a="1"/>
  <c r="L822" i="4" s="1"/>
  <c r="K822" i="4"/>
  <c r="L821" i="4" a="1"/>
  <c r="L821" i="4" s="1"/>
  <c r="K821" i="4"/>
  <c r="L820" i="4" a="1"/>
  <c r="L820" i="4" s="1"/>
  <c r="K820" i="4"/>
  <c r="L819" i="4" a="1"/>
  <c r="L819" i="4" s="1"/>
  <c r="K819" i="4"/>
  <c r="L818" i="4" a="1"/>
  <c r="L818" i="4" s="1"/>
  <c r="K818" i="4"/>
  <c r="L817" i="4" a="1"/>
  <c r="L817" i="4" s="1"/>
  <c r="K817" i="4"/>
  <c r="L816" i="4" a="1"/>
  <c r="L816" i="4" s="1"/>
  <c r="K816" i="4"/>
  <c r="L815" i="4" a="1"/>
  <c r="L815" i="4" s="1"/>
  <c r="K815" i="4"/>
  <c r="L814" i="4" a="1"/>
  <c r="L814" i="4" s="1"/>
  <c r="K814" i="4"/>
  <c r="L813" i="4" a="1"/>
  <c r="L813" i="4" s="1"/>
  <c r="K813" i="4"/>
  <c r="L812" i="4" a="1"/>
  <c r="L812" i="4" s="1"/>
  <c r="K812" i="4"/>
  <c r="L811" i="4" a="1"/>
  <c r="L811" i="4" s="1"/>
  <c r="K811" i="4"/>
  <c r="L810" i="4" a="1"/>
  <c r="L810" i="4" s="1"/>
  <c r="K810" i="4"/>
  <c r="L809" i="4" a="1"/>
  <c r="L809" i="4" s="1"/>
  <c r="K809" i="4"/>
  <c r="L808" i="4" a="1"/>
  <c r="L808" i="4" s="1"/>
  <c r="K808" i="4"/>
  <c r="L807" i="4" a="1"/>
  <c r="L807" i="4" s="1"/>
  <c r="K807" i="4"/>
  <c r="L806" i="4" a="1"/>
  <c r="L806" i="4" s="1"/>
  <c r="K806" i="4"/>
  <c r="L805" i="4" a="1"/>
  <c r="L805" i="4" s="1"/>
  <c r="K805" i="4"/>
  <c r="L804" i="4" a="1"/>
  <c r="L804" i="4" s="1"/>
  <c r="K804" i="4"/>
  <c r="L803" i="4" a="1"/>
  <c r="L803" i="4" s="1"/>
  <c r="K803" i="4"/>
  <c r="L802" i="4" a="1"/>
  <c r="L802" i="4" s="1"/>
  <c r="K802" i="4"/>
  <c r="L801" i="4" a="1"/>
  <c r="L801" i="4" s="1"/>
  <c r="K801" i="4"/>
  <c r="L800" i="4" a="1"/>
  <c r="L800" i="4" s="1"/>
  <c r="K800" i="4"/>
  <c r="L799" i="4" a="1"/>
  <c r="L799" i="4" s="1"/>
  <c r="K799" i="4"/>
  <c r="L798" i="4" a="1"/>
  <c r="L798" i="4" s="1"/>
  <c r="K798" i="4"/>
  <c r="L797" i="4" a="1"/>
  <c r="L797" i="4" s="1"/>
  <c r="K797" i="4"/>
  <c r="L796" i="4" a="1"/>
  <c r="L796" i="4" s="1"/>
  <c r="K796" i="4"/>
  <c r="L795" i="4" a="1"/>
  <c r="L795" i="4" s="1"/>
  <c r="K795" i="4"/>
  <c r="L794" i="4" a="1"/>
  <c r="L794" i="4" s="1"/>
  <c r="K794" i="4"/>
  <c r="L793" i="4" a="1"/>
  <c r="L793" i="4" s="1"/>
  <c r="K793" i="4"/>
  <c r="L792" i="4" a="1"/>
  <c r="L792" i="4" s="1"/>
  <c r="K792" i="4"/>
  <c r="L791" i="4" a="1"/>
  <c r="L791" i="4" s="1"/>
  <c r="K791" i="4"/>
  <c r="L790" i="4" a="1"/>
  <c r="L790" i="4" s="1"/>
  <c r="K790" i="4"/>
  <c r="L789" i="4" a="1"/>
  <c r="L789" i="4" s="1"/>
  <c r="K789" i="4"/>
  <c r="L788" i="4" a="1"/>
  <c r="L788" i="4" s="1"/>
  <c r="K788" i="4"/>
  <c r="L787" i="4" a="1"/>
  <c r="L787" i="4" s="1"/>
  <c r="K787" i="4"/>
  <c r="L786" i="4" a="1"/>
  <c r="L786" i="4" s="1"/>
  <c r="K786" i="4"/>
  <c r="L785" i="4" a="1"/>
  <c r="L785" i="4" s="1"/>
  <c r="K785" i="4"/>
  <c r="L784" i="4" a="1"/>
  <c r="L784" i="4" s="1"/>
  <c r="K784" i="4"/>
  <c r="L783" i="4" a="1"/>
  <c r="L783" i="4" s="1"/>
  <c r="K783" i="4"/>
  <c r="L782" i="4" a="1"/>
  <c r="L782" i="4" s="1"/>
  <c r="K782" i="4"/>
  <c r="L781" i="4" a="1"/>
  <c r="L781" i="4" s="1"/>
  <c r="K781" i="4"/>
  <c r="L780" i="4" a="1"/>
  <c r="L780" i="4" s="1"/>
  <c r="K780" i="4"/>
  <c r="L779" i="4" a="1"/>
  <c r="L779" i="4" s="1"/>
  <c r="K779" i="4"/>
  <c r="L778" i="4" a="1"/>
  <c r="L778" i="4" s="1"/>
  <c r="K778" i="4"/>
  <c r="L777" i="4" a="1"/>
  <c r="L777" i="4" s="1"/>
  <c r="K777" i="4"/>
  <c r="L776" i="4" a="1"/>
  <c r="L776" i="4" s="1"/>
  <c r="K776" i="4"/>
  <c r="L775" i="4" a="1"/>
  <c r="L775" i="4" s="1"/>
  <c r="K775" i="4"/>
  <c r="L774" i="4" a="1"/>
  <c r="L774" i="4" s="1"/>
  <c r="K774" i="4"/>
  <c r="L773" i="4" a="1"/>
  <c r="L773" i="4" s="1"/>
  <c r="K773" i="4"/>
  <c r="L772" i="4" a="1"/>
  <c r="L772" i="4" s="1"/>
  <c r="K772" i="4"/>
  <c r="L771" i="4" a="1"/>
  <c r="L771" i="4" s="1"/>
  <c r="K771" i="4"/>
  <c r="L770" i="4" a="1"/>
  <c r="L770" i="4" s="1"/>
  <c r="K770" i="4"/>
  <c r="L769" i="4" a="1"/>
  <c r="L769" i="4" s="1"/>
  <c r="K769" i="4"/>
  <c r="L768" i="4" a="1"/>
  <c r="L768" i="4" s="1"/>
  <c r="K768" i="4"/>
  <c r="L767" i="4" a="1"/>
  <c r="L767" i="4" s="1"/>
  <c r="K767" i="4"/>
  <c r="L766" i="4" a="1"/>
  <c r="L766" i="4" s="1"/>
  <c r="K766" i="4"/>
  <c r="L765" i="4" a="1"/>
  <c r="L765" i="4" s="1"/>
  <c r="K765" i="4"/>
  <c r="L764" i="4" a="1"/>
  <c r="L764" i="4" s="1"/>
  <c r="K764" i="4"/>
  <c r="L763" i="4" a="1"/>
  <c r="L763" i="4" s="1"/>
  <c r="K763" i="4"/>
  <c r="L762" i="4" a="1"/>
  <c r="L762" i="4" s="1"/>
  <c r="K762" i="4"/>
  <c r="L761" i="4" a="1"/>
  <c r="L761" i="4" s="1"/>
  <c r="K761" i="4"/>
  <c r="L760" i="4" a="1"/>
  <c r="L760" i="4" s="1"/>
  <c r="K760" i="4"/>
  <c r="L759" i="4" a="1"/>
  <c r="L759" i="4" s="1"/>
  <c r="K759" i="4"/>
  <c r="L758" i="4" a="1"/>
  <c r="L758" i="4" s="1"/>
  <c r="K758" i="4"/>
  <c r="L757" i="4" a="1"/>
  <c r="L757" i="4" s="1"/>
  <c r="K757" i="4"/>
  <c r="L756" i="4" a="1"/>
  <c r="L756" i="4" s="1"/>
  <c r="K756" i="4"/>
  <c r="L755" i="4" a="1"/>
  <c r="L755" i="4" s="1"/>
  <c r="K755" i="4"/>
  <c r="L754" i="4" a="1"/>
  <c r="L754" i="4" s="1"/>
  <c r="K754" i="4"/>
  <c r="L753" i="4" a="1"/>
  <c r="L753" i="4" s="1"/>
  <c r="K753" i="4"/>
  <c r="L752" i="4" a="1"/>
  <c r="L752" i="4" s="1"/>
  <c r="K752" i="4"/>
  <c r="L751" i="4" a="1"/>
  <c r="L751" i="4" s="1"/>
  <c r="K751" i="4"/>
  <c r="L750" i="4" a="1"/>
  <c r="L750" i="4" s="1"/>
  <c r="K750" i="4"/>
  <c r="L749" i="4" a="1"/>
  <c r="L749" i="4" s="1"/>
  <c r="K749" i="4"/>
  <c r="L748" i="4" a="1"/>
  <c r="L748" i="4" s="1"/>
  <c r="K748" i="4"/>
  <c r="L747" i="4" a="1"/>
  <c r="L747" i="4" s="1"/>
  <c r="K747" i="4"/>
  <c r="L746" i="4" a="1"/>
  <c r="L746" i="4" s="1"/>
  <c r="K746" i="4"/>
  <c r="L745" i="4" a="1"/>
  <c r="L745" i="4" s="1"/>
  <c r="K745" i="4"/>
  <c r="L744" i="4" a="1"/>
  <c r="L744" i="4" s="1"/>
  <c r="K744" i="4"/>
  <c r="L743" i="4" a="1"/>
  <c r="L743" i="4" s="1"/>
  <c r="K743" i="4"/>
  <c r="L742" i="4" a="1"/>
  <c r="L742" i="4" s="1"/>
  <c r="K742" i="4"/>
  <c r="L741" i="4" a="1"/>
  <c r="L741" i="4" s="1"/>
  <c r="K741" i="4"/>
  <c r="L740" i="4" a="1"/>
  <c r="L740" i="4" s="1"/>
  <c r="K740" i="4"/>
  <c r="L739" i="4" a="1"/>
  <c r="L739" i="4" s="1"/>
  <c r="K739" i="4"/>
  <c r="L738" i="4" a="1"/>
  <c r="L738" i="4" s="1"/>
  <c r="K738" i="4"/>
  <c r="L737" i="4" a="1"/>
  <c r="L737" i="4" s="1"/>
  <c r="K737" i="4"/>
  <c r="L736" i="4" a="1"/>
  <c r="L736" i="4" s="1"/>
  <c r="K736" i="4"/>
  <c r="L735" i="4" a="1"/>
  <c r="L735" i="4" s="1"/>
  <c r="K735" i="4"/>
  <c r="L734" i="4" a="1"/>
  <c r="L734" i="4" s="1"/>
  <c r="K734" i="4"/>
  <c r="L733" i="4" a="1"/>
  <c r="L733" i="4" s="1"/>
  <c r="K733" i="4"/>
  <c r="L732" i="4" a="1"/>
  <c r="L732" i="4" s="1"/>
  <c r="K732" i="4"/>
  <c r="L731" i="4" a="1"/>
  <c r="L731" i="4" s="1"/>
  <c r="K731" i="4"/>
  <c r="L730" i="4" a="1"/>
  <c r="L730" i="4" s="1"/>
  <c r="K730" i="4"/>
  <c r="L729" i="4" a="1"/>
  <c r="L729" i="4" s="1"/>
  <c r="K729" i="4"/>
  <c r="L728" i="4" a="1"/>
  <c r="L728" i="4" s="1"/>
  <c r="K728" i="4"/>
  <c r="L727" i="4" a="1"/>
  <c r="L727" i="4" s="1"/>
  <c r="K727" i="4"/>
  <c r="L726" i="4" a="1"/>
  <c r="L726" i="4" s="1"/>
  <c r="K726" i="4"/>
  <c r="L725" i="4" a="1"/>
  <c r="L725" i="4" s="1"/>
  <c r="K725" i="4"/>
  <c r="L724" i="4" a="1"/>
  <c r="L724" i="4" s="1"/>
  <c r="K724" i="4"/>
  <c r="L723" i="4" a="1"/>
  <c r="L723" i="4" s="1"/>
  <c r="K723" i="4"/>
  <c r="L722" i="4" a="1"/>
  <c r="L722" i="4" s="1"/>
  <c r="K722" i="4"/>
  <c r="L721" i="4" a="1"/>
  <c r="L721" i="4" s="1"/>
  <c r="K721" i="4"/>
  <c r="L720" i="4" a="1"/>
  <c r="L720" i="4" s="1"/>
  <c r="K720" i="4"/>
  <c r="L719" i="4" a="1"/>
  <c r="L719" i="4" s="1"/>
  <c r="K719" i="4"/>
  <c r="L718" i="4" a="1"/>
  <c r="L718" i="4" s="1"/>
  <c r="K718" i="4"/>
  <c r="L717" i="4" a="1"/>
  <c r="L717" i="4" s="1"/>
  <c r="K717" i="4"/>
  <c r="L716" i="4" a="1"/>
  <c r="L716" i="4" s="1"/>
  <c r="K716" i="4"/>
  <c r="L715" i="4" a="1"/>
  <c r="L715" i="4" s="1"/>
  <c r="K715" i="4"/>
  <c r="L714" i="4" a="1"/>
  <c r="L714" i="4" s="1"/>
  <c r="K714" i="4"/>
  <c r="L713" i="4" a="1"/>
  <c r="L713" i="4" s="1"/>
  <c r="K713" i="4"/>
  <c r="L712" i="4" a="1"/>
  <c r="L712" i="4" s="1"/>
  <c r="K712" i="4"/>
  <c r="L711" i="4" a="1"/>
  <c r="L711" i="4" s="1"/>
  <c r="K711" i="4"/>
  <c r="L710" i="4" a="1"/>
  <c r="L710" i="4" s="1"/>
  <c r="K710" i="4"/>
  <c r="L709" i="4" a="1"/>
  <c r="L709" i="4" s="1"/>
  <c r="K709" i="4"/>
  <c r="L708" i="4" a="1"/>
  <c r="L708" i="4" s="1"/>
  <c r="K708" i="4"/>
  <c r="L707" i="4" a="1"/>
  <c r="L707" i="4" s="1"/>
  <c r="K707" i="4"/>
  <c r="L706" i="4" a="1"/>
  <c r="L706" i="4" s="1"/>
  <c r="K706" i="4"/>
  <c r="L705" i="4" a="1"/>
  <c r="L705" i="4" s="1"/>
  <c r="K705" i="4"/>
  <c r="L704" i="4" a="1"/>
  <c r="L704" i="4" s="1"/>
  <c r="K704" i="4"/>
  <c r="L703" i="4" a="1"/>
  <c r="L703" i="4" s="1"/>
  <c r="K703" i="4"/>
  <c r="L702" i="4" a="1"/>
  <c r="L702" i="4" s="1"/>
  <c r="K702" i="4"/>
  <c r="L701" i="4" a="1"/>
  <c r="L701" i="4" s="1"/>
  <c r="K701" i="4"/>
  <c r="L700" i="4" a="1"/>
  <c r="L700" i="4" s="1"/>
  <c r="K700" i="4"/>
  <c r="L699" i="4" a="1"/>
  <c r="L699" i="4" s="1"/>
  <c r="K699" i="4"/>
  <c r="L698" i="4" a="1"/>
  <c r="L698" i="4" s="1"/>
  <c r="K698" i="4"/>
  <c r="L697" i="4" a="1"/>
  <c r="L697" i="4" s="1"/>
  <c r="K697" i="4"/>
  <c r="L696" i="4" a="1"/>
  <c r="L696" i="4" s="1"/>
  <c r="K696" i="4"/>
  <c r="L695" i="4" a="1"/>
  <c r="L695" i="4" s="1"/>
  <c r="K695" i="4"/>
  <c r="L694" i="4" a="1"/>
  <c r="L694" i="4" s="1"/>
  <c r="K694" i="4"/>
  <c r="L693" i="4" a="1"/>
  <c r="L693" i="4" s="1"/>
  <c r="K693" i="4"/>
  <c r="L692" i="4" a="1"/>
  <c r="L692" i="4" s="1"/>
  <c r="K692" i="4"/>
  <c r="L691" i="4" a="1"/>
  <c r="L691" i="4" s="1"/>
  <c r="K691" i="4"/>
  <c r="L690" i="4" a="1"/>
  <c r="L690" i="4" s="1"/>
  <c r="K690" i="4"/>
  <c r="L689" i="4" a="1"/>
  <c r="L689" i="4" s="1"/>
  <c r="K689" i="4"/>
  <c r="L688" i="4" a="1"/>
  <c r="L688" i="4" s="1"/>
  <c r="K688" i="4"/>
  <c r="L687" i="4" a="1"/>
  <c r="L687" i="4" s="1"/>
  <c r="K687" i="4"/>
  <c r="L686" i="4" a="1"/>
  <c r="L686" i="4" s="1"/>
  <c r="K686" i="4"/>
  <c r="L685" i="4" a="1"/>
  <c r="L685" i="4" s="1"/>
  <c r="K685" i="4"/>
  <c r="L684" i="4" a="1"/>
  <c r="L684" i="4" s="1"/>
  <c r="K684" i="4"/>
  <c r="L683" i="4" a="1"/>
  <c r="L683" i="4" s="1"/>
  <c r="K683" i="4"/>
  <c r="L682" i="4" a="1"/>
  <c r="L682" i="4" s="1"/>
  <c r="K682" i="4"/>
  <c r="L681" i="4" a="1"/>
  <c r="L681" i="4" s="1"/>
  <c r="K681" i="4"/>
  <c r="L680" i="4" a="1"/>
  <c r="L680" i="4" s="1"/>
  <c r="K680" i="4"/>
  <c r="L679" i="4" a="1"/>
  <c r="L679" i="4" s="1"/>
  <c r="K679" i="4"/>
  <c r="L678" i="4" a="1"/>
  <c r="L678" i="4" s="1"/>
  <c r="K678" i="4"/>
  <c r="L677" i="4" a="1"/>
  <c r="L677" i="4" s="1"/>
  <c r="K677" i="4"/>
  <c r="L676" i="4" a="1"/>
  <c r="L676" i="4" s="1"/>
  <c r="K676" i="4"/>
  <c r="L675" i="4" a="1"/>
  <c r="L675" i="4" s="1"/>
  <c r="K675" i="4"/>
  <c r="L674" i="4" a="1"/>
  <c r="L674" i="4" s="1"/>
  <c r="K674" i="4"/>
  <c r="L673" i="4" a="1"/>
  <c r="L673" i="4" s="1"/>
  <c r="K673" i="4"/>
  <c r="L672" i="4" a="1"/>
  <c r="L672" i="4" s="1"/>
  <c r="K672" i="4"/>
  <c r="L671" i="4" a="1"/>
  <c r="L671" i="4" s="1"/>
  <c r="K671" i="4"/>
  <c r="L670" i="4" a="1"/>
  <c r="L670" i="4" s="1"/>
  <c r="K670" i="4"/>
  <c r="L669" i="4" a="1"/>
  <c r="L669" i="4" s="1"/>
  <c r="K669" i="4"/>
  <c r="L668" i="4" a="1"/>
  <c r="L668" i="4" s="1"/>
  <c r="K668" i="4"/>
  <c r="L667" i="4" a="1"/>
  <c r="L667" i="4" s="1"/>
  <c r="K667" i="4"/>
  <c r="L666" i="4" a="1"/>
  <c r="L666" i="4" s="1"/>
  <c r="K666" i="4"/>
  <c r="L665" i="4" a="1"/>
  <c r="L665" i="4" s="1"/>
  <c r="K665" i="4"/>
  <c r="L664" i="4" a="1"/>
  <c r="L664" i="4" s="1"/>
  <c r="K664" i="4"/>
  <c r="L663" i="4" a="1"/>
  <c r="L663" i="4" s="1"/>
  <c r="K663" i="4"/>
  <c r="L662" i="4" a="1"/>
  <c r="L662" i="4" s="1"/>
  <c r="K662" i="4"/>
  <c r="L661" i="4" a="1"/>
  <c r="L661" i="4" s="1"/>
  <c r="K661" i="4"/>
  <c r="L660" i="4" a="1"/>
  <c r="L660" i="4" s="1"/>
  <c r="K660" i="4"/>
  <c r="L659" i="4" a="1"/>
  <c r="L659" i="4" s="1"/>
  <c r="K659" i="4"/>
  <c r="L658" i="4" a="1"/>
  <c r="L658" i="4" s="1"/>
  <c r="K658" i="4"/>
  <c r="L657" i="4" a="1"/>
  <c r="L657" i="4" s="1"/>
  <c r="K657" i="4"/>
  <c r="L656" i="4" a="1"/>
  <c r="L656" i="4" s="1"/>
  <c r="K656" i="4"/>
  <c r="L655" i="4" a="1"/>
  <c r="L655" i="4" s="1"/>
  <c r="K655" i="4"/>
  <c r="L654" i="4" a="1"/>
  <c r="L654" i="4" s="1"/>
  <c r="K654" i="4"/>
  <c r="L653" i="4" a="1"/>
  <c r="L653" i="4" s="1"/>
  <c r="K653" i="4"/>
  <c r="L652" i="4" a="1"/>
  <c r="L652" i="4" s="1"/>
  <c r="K652" i="4"/>
  <c r="L651" i="4" a="1"/>
  <c r="L651" i="4" s="1"/>
  <c r="K651" i="4"/>
  <c r="L650" i="4" a="1"/>
  <c r="L650" i="4" s="1"/>
  <c r="K650" i="4"/>
  <c r="L649" i="4" a="1"/>
  <c r="L649" i="4" s="1"/>
  <c r="K649" i="4"/>
  <c r="L648" i="4" a="1"/>
  <c r="L648" i="4" s="1"/>
  <c r="K648" i="4"/>
  <c r="L647" i="4" a="1"/>
  <c r="L647" i="4" s="1"/>
  <c r="K647" i="4"/>
  <c r="L646" i="4" a="1"/>
  <c r="L646" i="4" s="1"/>
  <c r="K646" i="4"/>
  <c r="L645" i="4" a="1"/>
  <c r="L645" i="4" s="1"/>
  <c r="K645" i="4"/>
  <c r="L644" i="4" a="1"/>
  <c r="L644" i="4" s="1"/>
  <c r="K644" i="4"/>
  <c r="L643" i="4" a="1"/>
  <c r="L643" i="4" s="1"/>
  <c r="K643" i="4"/>
  <c r="L642" i="4" a="1"/>
  <c r="L642" i="4" s="1"/>
  <c r="K642" i="4"/>
  <c r="L641" i="4" a="1"/>
  <c r="L641" i="4" s="1"/>
  <c r="K641" i="4"/>
  <c r="L640" i="4" a="1"/>
  <c r="L640" i="4" s="1"/>
  <c r="K640" i="4"/>
  <c r="L639" i="4" a="1"/>
  <c r="L639" i="4" s="1"/>
  <c r="K639" i="4"/>
  <c r="L638" i="4" a="1"/>
  <c r="L638" i="4" s="1"/>
  <c r="K638" i="4"/>
  <c r="L637" i="4" a="1"/>
  <c r="L637" i="4" s="1"/>
  <c r="K637" i="4"/>
  <c r="L636" i="4" a="1"/>
  <c r="L636" i="4" s="1"/>
  <c r="K636" i="4"/>
  <c r="L635" i="4" a="1"/>
  <c r="L635" i="4" s="1"/>
  <c r="K635" i="4"/>
  <c r="L634" i="4" a="1"/>
  <c r="L634" i="4" s="1"/>
  <c r="K634" i="4"/>
  <c r="L633" i="4" a="1"/>
  <c r="L633" i="4" s="1"/>
  <c r="K633" i="4"/>
  <c r="L632" i="4" a="1"/>
  <c r="L632" i="4" s="1"/>
  <c r="K632" i="4"/>
  <c r="L631" i="4" a="1"/>
  <c r="L631" i="4" s="1"/>
  <c r="K631" i="4"/>
  <c r="L630" i="4" a="1"/>
  <c r="L630" i="4" s="1"/>
  <c r="K630" i="4"/>
  <c r="L629" i="4" a="1"/>
  <c r="L629" i="4" s="1"/>
  <c r="K629" i="4"/>
  <c r="L628" i="4" a="1"/>
  <c r="L628" i="4" s="1"/>
  <c r="K628" i="4"/>
  <c r="L627" i="4" a="1"/>
  <c r="L627" i="4" s="1"/>
  <c r="K627" i="4"/>
  <c r="L626" i="4" a="1"/>
  <c r="L626" i="4" s="1"/>
  <c r="K626" i="4"/>
  <c r="L625" i="4" a="1"/>
  <c r="L625" i="4" s="1"/>
  <c r="K625" i="4"/>
  <c r="L624" i="4" a="1"/>
  <c r="L624" i="4" s="1"/>
  <c r="K624" i="4"/>
  <c r="L623" i="4" a="1"/>
  <c r="L623" i="4" s="1"/>
  <c r="K623" i="4"/>
  <c r="L622" i="4" a="1"/>
  <c r="L622" i="4" s="1"/>
  <c r="K622" i="4"/>
  <c r="L621" i="4" a="1"/>
  <c r="L621" i="4" s="1"/>
  <c r="K621" i="4"/>
  <c r="L620" i="4" a="1"/>
  <c r="L620" i="4" s="1"/>
  <c r="K620" i="4"/>
  <c r="L619" i="4" a="1"/>
  <c r="L619" i="4" s="1"/>
  <c r="K619" i="4"/>
  <c r="L618" i="4" a="1"/>
  <c r="L618" i="4" s="1"/>
  <c r="K618" i="4"/>
  <c r="L617" i="4" a="1"/>
  <c r="L617" i="4" s="1"/>
  <c r="K617" i="4"/>
  <c r="L616" i="4" a="1"/>
  <c r="L616" i="4" s="1"/>
  <c r="K616" i="4"/>
  <c r="L615" i="4" a="1"/>
  <c r="L615" i="4" s="1"/>
  <c r="K615" i="4"/>
  <c r="L614" i="4" a="1"/>
  <c r="L614" i="4" s="1"/>
  <c r="K614" i="4"/>
  <c r="L613" i="4" a="1"/>
  <c r="L613" i="4" s="1"/>
  <c r="K613" i="4"/>
  <c r="L612" i="4" a="1"/>
  <c r="L612" i="4" s="1"/>
  <c r="K612" i="4"/>
  <c r="L611" i="4" a="1"/>
  <c r="L611" i="4" s="1"/>
  <c r="K611" i="4"/>
  <c r="L610" i="4" a="1"/>
  <c r="L610" i="4" s="1"/>
  <c r="K610" i="4"/>
  <c r="L609" i="4" a="1"/>
  <c r="L609" i="4" s="1"/>
  <c r="K609" i="4"/>
  <c r="L608" i="4" a="1"/>
  <c r="L608" i="4" s="1"/>
  <c r="K608" i="4"/>
  <c r="L607" i="4" a="1"/>
  <c r="L607" i="4" s="1"/>
  <c r="K607" i="4"/>
  <c r="L606" i="4" a="1"/>
  <c r="L606" i="4" s="1"/>
  <c r="K606" i="4"/>
  <c r="L605" i="4" a="1"/>
  <c r="L605" i="4" s="1"/>
  <c r="K605" i="4"/>
  <c r="L604" i="4" a="1"/>
  <c r="L604" i="4" s="1"/>
  <c r="K604" i="4"/>
  <c r="L603" i="4" a="1"/>
  <c r="L603" i="4" s="1"/>
  <c r="K603" i="4"/>
  <c r="L602" i="4" a="1"/>
  <c r="L602" i="4" s="1"/>
  <c r="K602" i="4"/>
  <c r="L601" i="4" a="1"/>
  <c r="L601" i="4" s="1"/>
  <c r="K601" i="4"/>
  <c r="L600" i="4" a="1"/>
  <c r="L600" i="4" s="1"/>
  <c r="K600" i="4"/>
  <c r="L599" i="4" a="1"/>
  <c r="L599" i="4" s="1"/>
  <c r="K599" i="4"/>
  <c r="L598" i="4" a="1"/>
  <c r="L598" i="4" s="1"/>
  <c r="K598" i="4"/>
  <c r="L597" i="4" a="1"/>
  <c r="L597" i="4" s="1"/>
  <c r="K597" i="4"/>
  <c r="L596" i="4" a="1"/>
  <c r="L596" i="4" s="1"/>
  <c r="K596" i="4"/>
  <c r="L595" i="4" a="1"/>
  <c r="L595" i="4" s="1"/>
  <c r="K595" i="4"/>
  <c r="L594" i="4" a="1"/>
  <c r="L594" i="4" s="1"/>
  <c r="K594" i="4"/>
  <c r="L593" i="4" a="1"/>
  <c r="L593" i="4" s="1"/>
  <c r="K593" i="4"/>
  <c r="L592" i="4" a="1"/>
  <c r="L592" i="4" s="1"/>
  <c r="K592" i="4"/>
  <c r="L591" i="4" a="1"/>
  <c r="L591" i="4" s="1"/>
  <c r="K591" i="4"/>
  <c r="L590" i="4" a="1"/>
  <c r="L590" i="4" s="1"/>
  <c r="K590" i="4"/>
  <c r="L589" i="4" a="1"/>
  <c r="L589" i="4" s="1"/>
  <c r="K589" i="4"/>
  <c r="L588" i="4" a="1"/>
  <c r="L588" i="4" s="1"/>
  <c r="K588" i="4"/>
  <c r="L587" i="4" a="1"/>
  <c r="L587" i="4" s="1"/>
  <c r="K587" i="4"/>
  <c r="L586" i="4" a="1"/>
  <c r="L586" i="4" s="1"/>
  <c r="K586" i="4"/>
  <c r="L585" i="4" a="1"/>
  <c r="L585" i="4" s="1"/>
  <c r="K585" i="4"/>
  <c r="L584" i="4" a="1"/>
  <c r="L584" i="4" s="1"/>
  <c r="K584" i="4"/>
  <c r="L583" i="4" a="1"/>
  <c r="L583" i="4" s="1"/>
  <c r="K583" i="4"/>
  <c r="L582" i="4" a="1"/>
  <c r="L582" i="4" s="1"/>
  <c r="K582" i="4"/>
  <c r="L581" i="4" a="1"/>
  <c r="L581" i="4" s="1"/>
  <c r="K581" i="4"/>
  <c r="L580" i="4" a="1"/>
  <c r="L580" i="4" s="1"/>
  <c r="K580" i="4"/>
  <c r="L579" i="4" a="1"/>
  <c r="L579" i="4" s="1"/>
  <c r="K579" i="4"/>
  <c r="L578" i="4" a="1"/>
  <c r="L578" i="4" s="1"/>
  <c r="K578" i="4"/>
  <c r="L577" i="4" a="1"/>
  <c r="L577" i="4" s="1"/>
  <c r="K577" i="4"/>
  <c r="L576" i="4" a="1"/>
  <c r="L576" i="4" s="1"/>
  <c r="K576" i="4"/>
  <c r="L575" i="4" a="1"/>
  <c r="L575" i="4" s="1"/>
  <c r="K575" i="4"/>
  <c r="L574" i="4" a="1"/>
  <c r="L574" i="4" s="1"/>
  <c r="K574" i="4"/>
  <c r="L573" i="4" a="1"/>
  <c r="L573" i="4" s="1"/>
  <c r="K573" i="4"/>
  <c r="L572" i="4" a="1"/>
  <c r="L572" i="4" s="1"/>
  <c r="K572" i="4"/>
  <c r="L571" i="4" a="1"/>
  <c r="L571" i="4" s="1"/>
  <c r="K571" i="4"/>
  <c r="L570" i="4" a="1"/>
  <c r="L570" i="4" s="1"/>
  <c r="K570" i="4"/>
  <c r="L569" i="4" a="1"/>
  <c r="L569" i="4" s="1"/>
  <c r="K569" i="4"/>
  <c r="L568" i="4" a="1"/>
  <c r="L568" i="4" s="1"/>
  <c r="K568" i="4"/>
  <c r="L567" i="4" a="1"/>
  <c r="L567" i="4" s="1"/>
  <c r="K567" i="4"/>
  <c r="L566" i="4" a="1"/>
  <c r="L566" i="4" s="1"/>
  <c r="K566" i="4"/>
  <c r="L565" i="4" a="1"/>
  <c r="L565" i="4" s="1"/>
  <c r="K565" i="4"/>
  <c r="L564" i="4" a="1"/>
  <c r="L564" i="4" s="1"/>
  <c r="K564" i="4"/>
  <c r="L563" i="4" a="1"/>
  <c r="L563" i="4" s="1"/>
  <c r="K563" i="4"/>
  <c r="L562" i="4" a="1"/>
  <c r="L562" i="4" s="1"/>
  <c r="K562" i="4"/>
  <c r="L561" i="4" a="1"/>
  <c r="L561" i="4" s="1"/>
  <c r="K561" i="4"/>
  <c r="L560" i="4" a="1"/>
  <c r="L560" i="4" s="1"/>
  <c r="K560" i="4"/>
  <c r="L559" i="4" a="1"/>
  <c r="L559" i="4" s="1"/>
  <c r="K559" i="4"/>
  <c r="L558" i="4" a="1"/>
  <c r="L558" i="4" s="1"/>
  <c r="K558" i="4"/>
  <c r="L557" i="4" a="1"/>
  <c r="L557" i="4" s="1"/>
  <c r="K557" i="4"/>
  <c r="L556" i="4" a="1"/>
  <c r="L556" i="4" s="1"/>
  <c r="K556" i="4"/>
  <c r="L555" i="4" a="1"/>
  <c r="L555" i="4" s="1"/>
  <c r="K555" i="4"/>
  <c r="L554" i="4" a="1"/>
  <c r="L554" i="4" s="1"/>
  <c r="K554" i="4"/>
  <c r="L553" i="4" a="1"/>
  <c r="L553" i="4" s="1"/>
  <c r="K553" i="4"/>
  <c r="L552" i="4" a="1"/>
  <c r="L552" i="4" s="1"/>
  <c r="K552" i="4"/>
  <c r="L551" i="4" a="1"/>
  <c r="L551" i="4" s="1"/>
  <c r="K551" i="4"/>
  <c r="L550" i="4" a="1"/>
  <c r="L550" i="4" s="1"/>
  <c r="K550" i="4"/>
  <c r="L549" i="4" a="1"/>
  <c r="L549" i="4" s="1"/>
  <c r="K549" i="4"/>
  <c r="L548" i="4" a="1"/>
  <c r="L548" i="4" s="1"/>
  <c r="K548" i="4"/>
  <c r="L547" i="4" a="1"/>
  <c r="L547" i="4" s="1"/>
  <c r="K547" i="4"/>
  <c r="L546" i="4" a="1"/>
  <c r="L546" i="4" s="1"/>
  <c r="K546" i="4"/>
  <c r="L545" i="4" a="1"/>
  <c r="L545" i="4" s="1"/>
  <c r="K545" i="4"/>
  <c r="L544" i="4" a="1"/>
  <c r="L544" i="4" s="1"/>
  <c r="K544" i="4"/>
  <c r="L543" i="4" a="1"/>
  <c r="L543" i="4" s="1"/>
  <c r="K543" i="4"/>
  <c r="L542" i="4" a="1"/>
  <c r="L542" i="4" s="1"/>
  <c r="K542" i="4"/>
  <c r="L541" i="4" a="1"/>
  <c r="L541" i="4" s="1"/>
  <c r="K541" i="4"/>
  <c r="L540" i="4" a="1"/>
  <c r="L540" i="4" s="1"/>
  <c r="K540" i="4"/>
  <c r="L539" i="4" a="1"/>
  <c r="L539" i="4" s="1"/>
  <c r="K539" i="4"/>
  <c r="L538" i="4" a="1"/>
  <c r="L538" i="4" s="1"/>
  <c r="K538" i="4"/>
  <c r="L537" i="4" a="1"/>
  <c r="L537" i="4" s="1"/>
  <c r="K537" i="4"/>
  <c r="L536" i="4" a="1"/>
  <c r="L536" i="4" s="1"/>
  <c r="K536" i="4"/>
  <c r="L535" i="4" a="1"/>
  <c r="L535" i="4" s="1"/>
  <c r="K535" i="4"/>
  <c r="L534" i="4" a="1"/>
  <c r="L534" i="4" s="1"/>
  <c r="K534" i="4"/>
  <c r="L533" i="4" a="1"/>
  <c r="L533" i="4" s="1"/>
  <c r="K533" i="4"/>
  <c r="L532" i="4" a="1"/>
  <c r="L532" i="4" s="1"/>
  <c r="K532" i="4"/>
  <c r="L531" i="4" a="1"/>
  <c r="L531" i="4" s="1"/>
  <c r="K531" i="4"/>
  <c r="L530" i="4" a="1"/>
  <c r="L530" i="4" s="1"/>
  <c r="K530" i="4"/>
  <c r="L529" i="4" a="1"/>
  <c r="L529" i="4" s="1"/>
  <c r="K529" i="4"/>
  <c r="L528" i="4" a="1"/>
  <c r="L528" i="4" s="1"/>
  <c r="K528" i="4"/>
  <c r="L527" i="4" a="1"/>
  <c r="L527" i="4" s="1"/>
  <c r="K527" i="4"/>
  <c r="L526" i="4" a="1"/>
  <c r="L526" i="4" s="1"/>
  <c r="K526" i="4"/>
  <c r="L525" i="4" a="1"/>
  <c r="L525" i="4" s="1"/>
  <c r="K525" i="4"/>
  <c r="L524" i="4" a="1"/>
  <c r="L524" i="4" s="1"/>
  <c r="K524" i="4"/>
  <c r="L523" i="4" a="1"/>
  <c r="L523" i="4" s="1"/>
  <c r="K523" i="4"/>
  <c r="L522" i="4" a="1"/>
  <c r="L522" i="4" s="1"/>
  <c r="K522" i="4"/>
  <c r="L521" i="4" a="1"/>
  <c r="L521" i="4" s="1"/>
  <c r="K521" i="4"/>
  <c r="L520" i="4" a="1"/>
  <c r="L520" i="4" s="1"/>
  <c r="K520" i="4"/>
  <c r="L519" i="4" a="1"/>
  <c r="L519" i="4" s="1"/>
  <c r="K519" i="4"/>
  <c r="L518" i="4" a="1"/>
  <c r="L518" i="4" s="1"/>
  <c r="K518" i="4"/>
  <c r="L517" i="4" a="1"/>
  <c r="L517" i="4" s="1"/>
  <c r="K517" i="4"/>
  <c r="L516" i="4" a="1"/>
  <c r="L516" i="4" s="1"/>
  <c r="K516" i="4"/>
  <c r="L515" i="4" a="1"/>
  <c r="L515" i="4" s="1"/>
  <c r="K515" i="4"/>
  <c r="L514" i="4" a="1"/>
  <c r="L514" i="4" s="1"/>
  <c r="K514" i="4"/>
  <c r="L513" i="4" a="1"/>
  <c r="L513" i="4" s="1"/>
  <c r="K513" i="4"/>
  <c r="L512" i="4" a="1"/>
  <c r="L512" i="4" s="1"/>
  <c r="K512" i="4"/>
  <c r="L511" i="4" a="1"/>
  <c r="L511" i="4" s="1"/>
  <c r="K511" i="4"/>
  <c r="L510" i="4" a="1"/>
  <c r="L510" i="4" s="1"/>
  <c r="K510" i="4"/>
  <c r="L509" i="4" a="1"/>
  <c r="L509" i="4" s="1"/>
  <c r="K509" i="4"/>
  <c r="L508" i="4" a="1"/>
  <c r="L508" i="4" s="1"/>
  <c r="K508" i="4"/>
  <c r="L507" i="4" a="1"/>
  <c r="L507" i="4" s="1"/>
  <c r="K507" i="4"/>
  <c r="L506" i="4" a="1"/>
  <c r="L506" i="4" s="1"/>
  <c r="K506" i="4"/>
  <c r="L505" i="4" a="1"/>
  <c r="L505" i="4" s="1"/>
  <c r="K505" i="4"/>
  <c r="L504" i="4" a="1"/>
  <c r="L504" i="4" s="1"/>
  <c r="K504" i="4"/>
  <c r="L503" i="4" a="1"/>
  <c r="L503" i="4" s="1"/>
  <c r="K503" i="4"/>
  <c r="L502" i="4" a="1"/>
  <c r="L502" i="4" s="1"/>
  <c r="K502" i="4"/>
  <c r="L501" i="4" a="1"/>
  <c r="L501" i="4" s="1"/>
  <c r="K501" i="4"/>
  <c r="L500" i="4" a="1"/>
  <c r="L500" i="4" s="1"/>
  <c r="K500" i="4"/>
  <c r="L499" i="4" a="1"/>
  <c r="L499" i="4" s="1"/>
  <c r="K499" i="4"/>
  <c r="L498" i="4" a="1"/>
  <c r="L498" i="4" s="1"/>
  <c r="K498" i="4"/>
  <c r="L497" i="4" a="1"/>
  <c r="L497" i="4" s="1"/>
  <c r="K497" i="4"/>
  <c r="L496" i="4" a="1"/>
  <c r="L496" i="4" s="1"/>
  <c r="K496" i="4"/>
  <c r="L495" i="4" a="1"/>
  <c r="L495" i="4" s="1"/>
  <c r="K495" i="4"/>
  <c r="L494" i="4" a="1"/>
  <c r="L494" i="4" s="1"/>
  <c r="K494" i="4"/>
  <c r="L493" i="4" a="1"/>
  <c r="L493" i="4" s="1"/>
  <c r="K493" i="4"/>
  <c r="L492" i="4" a="1"/>
  <c r="L492" i="4" s="1"/>
  <c r="K492" i="4"/>
  <c r="L491" i="4" a="1"/>
  <c r="L491" i="4" s="1"/>
  <c r="K491" i="4"/>
  <c r="L490" i="4" a="1"/>
  <c r="L490" i="4" s="1"/>
  <c r="K490" i="4"/>
  <c r="L489" i="4" a="1"/>
  <c r="L489" i="4" s="1"/>
  <c r="K489" i="4"/>
  <c r="L488" i="4" a="1"/>
  <c r="L488" i="4" s="1"/>
  <c r="K488" i="4"/>
  <c r="L487" i="4" a="1"/>
  <c r="L487" i="4" s="1"/>
  <c r="K487" i="4"/>
  <c r="L486" i="4" a="1"/>
  <c r="L486" i="4" s="1"/>
  <c r="K486" i="4"/>
  <c r="L485" i="4" a="1"/>
  <c r="L485" i="4" s="1"/>
  <c r="K485" i="4"/>
  <c r="L484" i="4" a="1"/>
  <c r="L484" i="4" s="1"/>
  <c r="K484" i="4"/>
  <c r="L483" i="4" a="1"/>
  <c r="L483" i="4" s="1"/>
  <c r="K483" i="4"/>
  <c r="L482" i="4" a="1"/>
  <c r="L482" i="4" s="1"/>
  <c r="K482" i="4"/>
  <c r="L481" i="4" a="1"/>
  <c r="L481" i="4" s="1"/>
  <c r="K481" i="4"/>
  <c r="L480" i="4" a="1"/>
  <c r="L480" i="4" s="1"/>
  <c r="K480" i="4"/>
  <c r="L479" i="4" a="1"/>
  <c r="L479" i="4" s="1"/>
  <c r="K479" i="4"/>
  <c r="L478" i="4" a="1"/>
  <c r="L478" i="4" s="1"/>
  <c r="K478" i="4"/>
  <c r="L477" i="4" a="1"/>
  <c r="L477" i="4" s="1"/>
  <c r="K477" i="4"/>
  <c r="L476" i="4" a="1"/>
  <c r="L476" i="4" s="1"/>
  <c r="K476" i="4"/>
  <c r="L475" i="4" a="1"/>
  <c r="L475" i="4" s="1"/>
  <c r="K475" i="4"/>
  <c r="L474" i="4" a="1"/>
  <c r="L474" i="4" s="1"/>
  <c r="K474" i="4"/>
  <c r="L473" i="4" a="1"/>
  <c r="L473" i="4" s="1"/>
  <c r="K473" i="4"/>
  <c r="L472" i="4" a="1"/>
  <c r="L472" i="4" s="1"/>
  <c r="K472" i="4"/>
  <c r="L471" i="4" a="1"/>
  <c r="L471" i="4" s="1"/>
  <c r="K471" i="4"/>
  <c r="L470" i="4" a="1"/>
  <c r="L470" i="4" s="1"/>
  <c r="K470" i="4"/>
  <c r="L469" i="4" a="1"/>
  <c r="L469" i="4" s="1"/>
  <c r="K469" i="4"/>
  <c r="L468" i="4" a="1"/>
  <c r="L468" i="4" s="1"/>
  <c r="K468" i="4"/>
  <c r="L467" i="4" a="1"/>
  <c r="L467" i="4" s="1"/>
  <c r="K467" i="4"/>
  <c r="L466" i="4" a="1"/>
  <c r="L466" i="4" s="1"/>
  <c r="K466" i="4"/>
  <c r="L465" i="4" a="1"/>
  <c r="L465" i="4" s="1"/>
  <c r="K465" i="4"/>
  <c r="L464" i="4" a="1"/>
  <c r="L464" i="4" s="1"/>
  <c r="K464" i="4"/>
  <c r="L463" i="4" a="1"/>
  <c r="L463" i="4" s="1"/>
  <c r="K463" i="4"/>
  <c r="L462" i="4" a="1"/>
  <c r="L462" i="4" s="1"/>
  <c r="K462" i="4"/>
  <c r="L461" i="4" a="1"/>
  <c r="L461" i="4" s="1"/>
  <c r="K461" i="4"/>
  <c r="L460" i="4" a="1"/>
  <c r="L460" i="4" s="1"/>
  <c r="K460" i="4"/>
  <c r="L459" i="4" a="1"/>
  <c r="L459" i="4" s="1"/>
  <c r="K459" i="4"/>
  <c r="L458" i="4" a="1"/>
  <c r="L458" i="4" s="1"/>
  <c r="K458" i="4"/>
  <c r="L457" i="4" a="1"/>
  <c r="L457" i="4" s="1"/>
  <c r="K457" i="4"/>
  <c r="L456" i="4" a="1"/>
  <c r="L456" i="4" s="1"/>
  <c r="K456" i="4"/>
  <c r="L455" i="4" a="1"/>
  <c r="L455" i="4" s="1"/>
  <c r="K455" i="4"/>
  <c r="L454" i="4" a="1"/>
  <c r="L454" i="4" s="1"/>
  <c r="K454" i="4"/>
  <c r="L453" i="4" a="1"/>
  <c r="L453" i="4" s="1"/>
  <c r="K453" i="4"/>
  <c r="L452" i="4" a="1"/>
  <c r="L452" i="4" s="1"/>
  <c r="K452" i="4"/>
  <c r="L451" i="4" a="1"/>
  <c r="L451" i="4" s="1"/>
  <c r="K451" i="4"/>
  <c r="L450" i="4" a="1"/>
  <c r="L450" i="4" s="1"/>
  <c r="K450" i="4"/>
  <c r="L449" i="4" a="1"/>
  <c r="L449" i="4" s="1"/>
  <c r="K449" i="4"/>
  <c r="L448" i="4" a="1"/>
  <c r="L448" i="4" s="1"/>
  <c r="K448" i="4"/>
  <c r="L447" i="4" a="1"/>
  <c r="L447" i="4" s="1"/>
  <c r="K447" i="4"/>
  <c r="L446" i="4" a="1"/>
  <c r="L446" i="4" s="1"/>
  <c r="K446" i="4"/>
  <c r="L445" i="4" a="1"/>
  <c r="L445" i="4" s="1"/>
  <c r="K445" i="4"/>
  <c r="L444" i="4" a="1"/>
  <c r="L444" i="4" s="1"/>
  <c r="K444" i="4"/>
  <c r="L443" i="4" a="1"/>
  <c r="L443" i="4" s="1"/>
  <c r="K443" i="4"/>
  <c r="L442" i="4" a="1"/>
  <c r="L442" i="4" s="1"/>
  <c r="K442" i="4"/>
  <c r="L441" i="4" a="1"/>
  <c r="L441" i="4" s="1"/>
  <c r="K441" i="4"/>
  <c r="L440" i="4" a="1"/>
  <c r="L440" i="4" s="1"/>
  <c r="K440" i="4"/>
  <c r="L439" i="4" a="1"/>
  <c r="L439" i="4" s="1"/>
  <c r="K439" i="4"/>
  <c r="L438" i="4" a="1"/>
  <c r="L438" i="4" s="1"/>
  <c r="K438" i="4"/>
  <c r="L437" i="4" a="1"/>
  <c r="L437" i="4" s="1"/>
  <c r="K437" i="4"/>
  <c r="L436" i="4" a="1"/>
  <c r="L436" i="4" s="1"/>
  <c r="K436" i="4"/>
  <c r="L435" i="4" a="1"/>
  <c r="L435" i="4" s="1"/>
  <c r="K435" i="4"/>
  <c r="L434" i="4" a="1"/>
  <c r="L434" i="4" s="1"/>
  <c r="K434" i="4"/>
  <c r="L433" i="4" a="1"/>
  <c r="L433" i="4" s="1"/>
  <c r="K433" i="4"/>
  <c r="L432" i="4" a="1"/>
  <c r="L432" i="4" s="1"/>
  <c r="K432" i="4"/>
  <c r="L431" i="4" a="1"/>
  <c r="L431" i="4" s="1"/>
  <c r="K431" i="4"/>
  <c r="L430" i="4" a="1"/>
  <c r="L430" i="4" s="1"/>
  <c r="K430" i="4"/>
  <c r="L429" i="4" a="1"/>
  <c r="L429" i="4" s="1"/>
  <c r="K429" i="4"/>
  <c r="L428" i="4" a="1"/>
  <c r="L428" i="4" s="1"/>
  <c r="K428" i="4"/>
  <c r="L427" i="4" a="1"/>
  <c r="L427" i="4" s="1"/>
  <c r="K427" i="4"/>
  <c r="L426" i="4" a="1"/>
  <c r="L426" i="4" s="1"/>
  <c r="K426" i="4"/>
  <c r="L425" i="4" a="1"/>
  <c r="L425" i="4" s="1"/>
  <c r="K425" i="4"/>
  <c r="L424" i="4" a="1"/>
  <c r="L424" i="4" s="1"/>
  <c r="K424" i="4"/>
  <c r="L423" i="4" a="1"/>
  <c r="L423" i="4" s="1"/>
  <c r="K423" i="4"/>
  <c r="L422" i="4" a="1"/>
  <c r="L422" i="4" s="1"/>
  <c r="K422" i="4"/>
  <c r="L421" i="4" a="1"/>
  <c r="L421" i="4" s="1"/>
  <c r="K421" i="4"/>
  <c r="L420" i="4" a="1"/>
  <c r="L420" i="4" s="1"/>
  <c r="K420" i="4"/>
  <c r="L419" i="4" a="1"/>
  <c r="L419" i="4" s="1"/>
  <c r="K419" i="4"/>
  <c r="L418" i="4" a="1"/>
  <c r="L418" i="4" s="1"/>
  <c r="K418" i="4"/>
  <c r="L417" i="4" a="1"/>
  <c r="L417" i="4" s="1"/>
  <c r="K417" i="4"/>
  <c r="L416" i="4" a="1"/>
  <c r="L416" i="4" s="1"/>
  <c r="K416" i="4"/>
  <c r="L415" i="4" a="1"/>
  <c r="L415" i="4" s="1"/>
  <c r="K415" i="4"/>
  <c r="L414" i="4" a="1"/>
  <c r="L414" i="4" s="1"/>
  <c r="K414" i="4"/>
  <c r="L413" i="4" a="1"/>
  <c r="L413" i="4" s="1"/>
  <c r="K413" i="4"/>
  <c r="L412" i="4" a="1"/>
  <c r="L412" i="4" s="1"/>
  <c r="K412" i="4"/>
  <c r="L411" i="4" a="1"/>
  <c r="L411" i="4" s="1"/>
  <c r="K411" i="4"/>
  <c r="L410" i="4" a="1"/>
  <c r="L410" i="4" s="1"/>
  <c r="K410" i="4"/>
  <c r="L409" i="4" a="1"/>
  <c r="L409" i="4" s="1"/>
  <c r="K409" i="4"/>
  <c r="L408" i="4" a="1"/>
  <c r="L408" i="4" s="1"/>
  <c r="K408" i="4"/>
  <c r="L407" i="4" a="1"/>
  <c r="L407" i="4" s="1"/>
  <c r="K407" i="4"/>
  <c r="L406" i="4" a="1"/>
  <c r="L406" i="4" s="1"/>
  <c r="K406" i="4"/>
  <c r="L405" i="4" a="1"/>
  <c r="L405" i="4" s="1"/>
  <c r="K405" i="4"/>
  <c r="L404" i="4" a="1"/>
  <c r="L404" i="4" s="1"/>
  <c r="K404" i="4"/>
  <c r="L403" i="4" a="1"/>
  <c r="L403" i="4" s="1"/>
  <c r="K403" i="4"/>
  <c r="L402" i="4" a="1"/>
  <c r="L402" i="4" s="1"/>
  <c r="K402" i="4"/>
  <c r="L401" i="4" a="1"/>
  <c r="L401" i="4" s="1"/>
  <c r="K401" i="4"/>
  <c r="L400" i="4" a="1"/>
  <c r="L400" i="4" s="1"/>
  <c r="K400" i="4"/>
  <c r="L399" i="4" a="1"/>
  <c r="L399" i="4" s="1"/>
  <c r="K399" i="4"/>
  <c r="L398" i="4" a="1"/>
  <c r="L398" i="4" s="1"/>
  <c r="K398" i="4"/>
  <c r="L397" i="4" a="1"/>
  <c r="L397" i="4" s="1"/>
  <c r="K397" i="4"/>
  <c r="L396" i="4" a="1"/>
  <c r="L396" i="4" s="1"/>
  <c r="K396" i="4"/>
  <c r="L395" i="4" a="1"/>
  <c r="L395" i="4" s="1"/>
  <c r="K395" i="4"/>
  <c r="L394" i="4" a="1"/>
  <c r="L394" i="4" s="1"/>
  <c r="K394" i="4"/>
  <c r="L393" i="4" a="1"/>
  <c r="L393" i="4" s="1"/>
  <c r="K393" i="4"/>
  <c r="L392" i="4" a="1"/>
  <c r="L392" i="4" s="1"/>
  <c r="K392" i="4"/>
  <c r="L391" i="4" a="1"/>
  <c r="L391" i="4" s="1"/>
  <c r="K391" i="4"/>
  <c r="L390" i="4" a="1"/>
  <c r="L390" i="4" s="1"/>
  <c r="K390" i="4"/>
  <c r="L389" i="4" a="1"/>
  <c r="L389" i="4" s="1"/>
  <c r="K389" i="4"/>
  <c r="L388" i="4" a="1"/>
  <c r="L388" i="4" s="1"/>
  <c r="K388" i="4"/>
  <c r="L387" i="4" a="1"/>
  <c r="L387" i="4" s="1"/>
  <c r="K387" i="4"/>
  <c r="L386" i="4" a="1"/>
  <c r="L386" i="4" s="1"/>
  <c r="K386" i="4"/>
  <c r="L385" i="4" a="1"/>
  <c r="L385" i="4" s="1"/>
  <c r="K385" i="4"/>
  <c r="L384" i="4" a="1"/>
  <c r="L384" i="4" s="1"/>
  <c r="K384" i="4"/>
  <c r="L383" i="4" a="1"/>
  <c r="L383" i="4" s="1"/>
  <c r="K383" i="4"/>
  <c r="L382" i="4" a="1"/>
  <c r="L382" i="4" s="1"/>
  <c r="K382" i="4"/>
  <c r="L381" i="4" a="1"/>
  <c r="L381" i="4" s="1"/>
  <c r="K381" i="4"/>
  <c r="L380" i="4" a="1"/>
  <c r="L380" i="4" s="1"/>
  <c r="K380" i="4"/>
  <c r="L379" i="4" a="1"/>
  <c r="L379" i="4" s="1"/>
  <c r="K379" i="4"/>
  <c r="L378" i="4" a="1"/>
  <c r="L378" i="4" s="1"/>
  <c r="K378" i="4"/>
  <c r="L377" i="4" a="1"/>
  <c r="L377" i="4" s="1"/>
  <c r="K377" i="4"/>
  <c r="L376" i="4" a="1"/>
  <c r="L376" i="4" s="1"/>
  <c r="K376" i="4"/>
  <c r="L375" i="4" a="1"/>
  <c r="L375" i="4" s="1"/>
  <c r="K375" i="4"/>
  <c r="L374" i="4" a="1"/>
  <c r="L374" i="4" s="1"/>
  <c r="K374" i="4"/>
  <c r="L373" i="4" a="1"/>
  <c r="L373" i="4" s="1"/>
  <c r="K373" i="4"/>
  <c r="L372" i="4" a="1"/>
  <c r="L372" i="4" s="1"/>
  <c r="K372" i="4"/>
  <c r="L371" i="4" a="1"/>
  <c r="L371" i="4" s="1"/>
  <c r="K371" i="4"/>
  <c r="L370" i="4" a="1"/>
  <c r="L370" i="4" s="1"/>
  <c r="K370" i="4"/>
  <c r="L369" i="4" a="1"/>
  <c r="L369" i="4" s="1"/>
  <c r="K369" i="4"/>
  <c r="L368" i="4" a="1"/>
  <c r="L368" i="4" s="1"/>
  <c r="K368" i="4"/>
  <c r="L367" i="4" a="1"/>
  <c r="L367" i="4" s="1"/>
  <c r="K367" i="4"/>
  <c r="L366" i="4" a="1"/>
  <c r="L366" i="4" s="1"/>
  <c r="K366" i="4"/>
  <c r="L365" i="4" a="1"/>
  <c r="L365" i="4" s="1"/>
  <c r="K365" i="4"/>
  <c r="L364" i="4" a="1"/>
  <c r="L364" i="4" s="1"/>
  <c r="K364" i="4"/>
  <c r="L363" i="4" a="1"/>
  <c r="L363" i="4" s="1"/>
  <c r="K363" i="4"/>
  <c r="L362" i="4" a="1"/>
  <c r="L362" i="4" s="1"/>
  <c r="K362" i="4"/>
  <c r="L361" i="4" a="1"/>
  <c r="L361" i="4" s="1"/>
  <c r="K361" i="4"/>
  <c r="L360" i="4" a="1"/>
  <c r="L360" i="4" s="1"/>
  <c r="K360" i="4"/>
  <c r="L359" i="4" a="1"/>
  <c r="L359" i="4" s="1"/>
  <c r="K359" i="4"/>
  <c r="L358" i="4" a="1"/>
  <c r="L358" i="4" s="1"/>
  <c r="K358" i="4"/>
  <c r="L357" i="4" a="1"/>
  <c r="L357" i="4" s="1"/>
  <c r="K357" i="4"/>
  <c r="L356" i="4" a="1"/>
  <c r="L356" i="4" s="1"/>
  <c r="K356" i="4"/>
  <c r="L355" i="4" a="1"/>
  <c r="L355" i="4" s="1"/>
  <c r="K355" i="4"/>
  <c r="L354" i="4" a="1"/>
  <c r="L354" i="4" s="1"/>
  <c r="K354" i="4"/>
  <c r="L353" i="4" a="1"/>
  <c r="L353" i="4" s="1"/>
  <c r="K353" i="4"/>
  <c r="L352" i="4" a="1"/>
  <c r="L352" i="4" s="1"/>
  <c r="K352" i="4"/>
  <c r="L351" i="4" a="1"/>
  <c r="L351" i="4" s="1"/>
  <c r="K351" i="4"/>
  <c r="L350" i="4" a="1"/>
  <c r="L350" i="4" s="1"/>
  <c r="K350" i="4"/>
  <c r="L349" i="4" a="1"/>
  <c r="L349" i="4" s="1"/>
  <c r="K349" i="4"/>
  <c r="L348" i="4" a="1"/>
  <c r="L348" i="4" s="1"/>
  <c r="K348" i="4"/>
  <c r="L347" i="4" a="1"/>
  <c r="L347" i="4" s="1"/>
  <c r="K347" i="4"/>
  <c r="L346" i="4" a="1"/>
  <c r="L346" i="4" s="1"/>
  <c r="K346" i="4"/>
  <c r="L345" i="4" a="1"/>
  <c r="L345" i="4" s="1"/>
  <c r="K345" i="4"/>
  <c r="L344" i="4" a="1"/>
  <c r="L344" i="4" s="1"/>
  <c r="K344" i="4"/>
  <c r="L343" i="4" a="1"/>
  <c r="L343" i="4" s="1"/>
  <c r="K343" i="4"/>
  <c r="L342" i="4" a="1"/>
  <c r="L342" i="4" s="1"/>
  <c r="K342" i="4"/>
  <c r="L341" i="4" a="1"/>
  <c r="L341" i="4" s="1"/>
  <c r="K341" i="4"/>
  <c r="L340" i="4" a="1"/>
  <c r="L340" i="4" s="1"/>
  <c r="K340" i="4"/>
  <c r="L339" i="4" a="1"/>
  <c r="L339" i="4" s="1"/>
  <c r="K339" i="4"/>
  <c r="L338" i="4" a="1"/>
  <c r="L338" i="4" s="1"/>
  <c r="K338" i="4"/>
  <c r="L337" i="4" a="1"/>
  <c r="L337" i="4" s="1"/>
  <c r="K337" i="4"/>
  <c r="L336" i="4" a="1"/>
  <c r="L336" i="4" s="1"/>
  <c r="K336" i="4"/>
  <c r="L335" i="4" a="1"/>
  <c r="L335" i="4" s="1"/>
  <c r="K335" i="4"/>
  <c r="L334" i="4" a="1"/>
  <c r="L334" i="4" s="1"/>
  <c r="K334" i="4"/>
  <c r="L333" i="4" a="1"/>
  <c r="L333" i="4" s="1"/>
  <c r="K333" i="4"/>
  <c r="L332" i="4" a="1"/>
  <c r="L332" i="4" s="1"/>
  <c r="K332" i="4"/>
  <c r="L331" i="4" a="1"/>
  <c r="L331" i="4" s="1"/>
  <c r="K331" i="4"/>
  <c r="L330" i="4" a="1"/>
  <c r="L330" i="4" s="1"/>
  <c r="K330" i="4"/>
  <c r="L329" i="4" a="1"/>
  <c r="L329" i="4" s="1"/>
  <c r="K329" i="4"/>
  <c r="L328" i="4" a="1"/>
  <c r="L328" i="4" s="1"/>
  <c r="K328" i="4"/>
  <c r="L327" i="4" a="1"/>
  <c r="L327" i="4" s="1"/>
  <c r="K327" i="4"/>
  <c r="L326" i="4" a="1"/>
  <c r="L326" i="4" s="1"/>
  <c r="K326" i="4"/>
  <c r="L325" i="4" a="1"/>
  <c r="L325" i="4" s="1"/>
  <c r="K325" i="4"/>
  <c r="L324" i="4" a="1"/>
  <c r="L324" i="4" s="1"/>
  <c r="K324" i="4"/>
  <c r="L323" i="4" a="1"/>
  <c r="L323" i="4" s="1"/>
  <c r="K323" i="4"/>
  <c r="L322" i="4" a="1"/>
  <c r="L322" i="4" s="1"/>
  <c r="K322" i="4"/>
  <c r="L321" i="4" a="1"/>
  <c r="L321" i="4" s="1"/>
  <c r="K321" i="4"/>
  <c r="L320" i="4" a="1"/>
  <c r="L320" i="4" s="1"/>
  <c r="K320" i="4"/>
  <c r="L319" i="4" a="1"/>
  <c r="L319" i="4" s="1"/>
  <c r="K319" i="4"/>
  <c r="L318" i="4" a="1"/>
  <c r="L318" i="4" s="1"/>
  <c r="K318" i="4"/>
  <c r="L317" i="4" a="1"/>
  <c r="L317" i="4" s="1"/>
  <c r="K317" i="4"/>
  <c r="L316" i="4" a="1"/>
  <c r="L316" i="4" s="1"/>
  <c r="K316" i="4"/>
  <c r="L315" i="4" a="1"/>
  <c r="L315" i="4" s="1"/>
  <c r="K315" i="4"/>
  <c r="L314" i="4" a="1"/>
  <c r="L314" i="4" s="1"/>
  <c r="K314" i="4"/>
  <c r="L313" i="4" a="1"/>
  <c r="L313" i="4" s="1"/>
  <c r="K313" i="4"/>
  <c r="L312" i="4" a="1"/>
  <c r="L312" i="4" s="1"/>
  <c r="K312" i="4"/>
  <c r="L311" i="4" a="1"/>
  <c r="L311" i="4" s="1"/>
  <c r="K311" i="4"/>
  <c r="L310" i="4" a="1"/>
  <c r="L310" i="4" s="1"/>
  <c r="K310" i="4"/>
  <c r="L309" i="4" a="1"/>
  <c r="L309" i="4" s="1"/>
  <c r="K309" i="4"/>
  <c r="L308" i="4" a="1"/>
  <c r="L308" i="4" s="1"/>
  <c r="K308" i="4"/>
  <c r="L307" i="4" a="1"/>
  <c r="L307" i="4" s="1"/>
  <c r="K307" i="4"/>
  <c r="L306" i="4" a="1"/>
  <c r="L306" i="4" s="1"/>
  <c r="K306" i="4"/>
  <c r="L305" i="4" a="1"/>
  <c r="L305" i="4" s="1"/>
  <c r="K305" i="4"/>
  <c r="L304" i="4" a="1"/>
  <c r="L304" i="4" s="1"/>
  <c r="K304" i="4"/>
  <c r="L303" i="4" a="1"/>
  <c r="L303" i="4" s="1"/>
  <c r="K303" i="4"/>
  <c r="L302" i="4" a="1"/>
  <c r="L302" i="4" s="1"/>
  <c r="K302" i="4"/>
  <c r="L301" i="4" a="1"/>
  <c r="L301" i="4" s="1"/>
  <c r="K301" i="4"/>
  <c r="L300" i="4" a="1"/>
  <c r="L300" i="4" s="1"/>
  <c r="K300" i="4"/>
  <c r="L299" i="4" a="1"/>
  <c r="L299" i="4" s="1"/>
  <c r="K299" i="4"/>
  <c r="L298" i="4" a="1"/>
  <c r="L298" i="4" s="1"/>
  <c r="K298" i="4"/>
  <c r="L297" i="4" a="1"/>
  <c r="L297" i="4" s="1"/>
  <c r="K297" i="4"/>
  <c r="L296" i="4" a="1"/>
  <c r="L296" i="4" s="1"/>
  <c r="K296" i="4"/>
  <c r="L295" i="4" a="1"/>
  <c r="L295" i="4" s="1"/>
  <c r="K295" i="4"/>
  <c r="L294" i="4" a="1"/>
  <c r="L294" i="4" s="1"/>
  <c r="K294" i="4"/>
  <c r="L293" i="4" a="1"/>
  <c r="L293" i="4" s="1"/>
  <c r="K293" i="4"/>
  <c r="L292" i="4" a="1"/>
  <c r="L292" i="4" s="1"/>
  <c r="K292" i="4"/>
  <c r="L291" i="4" a="1"/>
  <c r="L291" i="4" s="1"/>
  <c r="K291" i="4"/>
  <c r="L290" i="4" a="1"/>
  <c r="L290" i="4" s="1"/>
  <c r="K290" i="4"/>
  <c r="L289" i="4" a="1"/>
  <c r="L289" i="4" s="1"/>
  <c r="K289" i="4"/>
  <c r="L288" i="4" a="1"/>
  <c r="L288" i="4" s="1"/>
  <c r="K288" i="4"/>
  <c r="L287" i="4" a="1"/>
  <c r="L287" i="4" s="1"/>
  <c r="K287" i="4"/>
  <c r="L286" i="4" a="1"/>
  <c r="L286" i="4" s="1"/>
  <c r="K286" i="4"/>
  <c r="L285" i="4" a="1"/>
  <c r="L285" i="4" s="1"/>
  <c r="K285" i="4"/>
  <c r="L284" i="4" a="1"/>
  <c r="L284" i="4" s="1"/>
  <c r="K284" i="4"/>
  <c r="L283" i="4" a="1"/>
  <c r="L283" i="4" s="1"/>
  <c r="K283" i="4"/>
  <c r="L282" i="4" a="1"/>
  <c r="L282" i="4" s="1"/>
  <c r="K282" i="4"/>
  <c r="L281" i="4" a="1"/>
  <c r="L281" i="4" s="1"/>
  <c r="K281" i="4"/>
  <c r="L280" i="4" a="1"/>
  <c r="L280" i="4" s="1"/>
  <c r="K280" i="4"/>
  <c r="L279" i="4" a="1"/>
  <c r="L279" i="4" s="1"/>
  <c r="K279" i="4"/>
  <c r="L278" i="4" a="1"/>
  <c r="L278" i="4" s="1"/>
  <c r="K278" i="4"/>
  <c r="L277" i="4" a="1"/>
  <c r="L277" i="4" s="1"/>
  <c r="K277" i="4"/>
  <c r="L276" i="4" a="1"/>
  <c r="L276" i="4" s="1"/>
  <c r="K276" i="4"/>
  <c r="L275" i="4" a="1"/>
  <c r="L275" i="4" s="1"/>
  <c r="K275" i="4"/>
  <c r="L274" i="4" a="1"/>
  <c r="L274" i="4" s="1"/>
  <c r="K274" i="4"/>
  <c r="L273" i="4" a="1"/>
  <c r="L273" i="4" s="1"/>
  <c r="K273" i="4"/>
  <c r="L272" i="4" a="1"/>
  <c r="L272" i="4" s="1"/>
  <c r="K272" i="4"/>
  <c r="L271" i="4" a="1"/>
  <c r="L271" i="4" s="1"/>
  <c r="K271" i="4"/>
  <c r="L270" i="4" a="1"/>
  <c r="L270" i="4" s="1"/>
  <c r="K270" i="4"/>
  <c r="L269" i="4" a="1"/>
  <c r="L269" i="4" s="1"/>
  <c r="K269" i="4"/>
  <c r="L268" i="4" a="1"/>
  <c r="L268" i="4" s="1"/>
  <c r="K268" i="4"/>
  <c r="L267" i="4" a="1"/>
  <c r="L267" i="4" s="1"/>
  <c r="K267" i="4"/>
  <c r="L266" i="4" a="1"/>
  <c r="L266" i="4" s="1"/>
  <c r="K266" i="4"/>
  <c r="L265" i="4" a="1"/>
  <c r="L265" i="4" s="1"/>
  <c r="K265" i="4"/>
  <c r="L264" i="4" a="1"/>
  <c r="L264" i="4" s="1"/>
  <c r="K264" i="4"/>
  <c r="L263" i="4" a="1"/>
  <c r="L263" i="4" s="1"/>
  <c r="K263" i="4"/>
  <c r="L262" i="4" a="1"/>
  <c r="L262" i="4" s="1"/>
  <c r="K262" i="4"/>
  <c r="L261" i="4" a="1"/>
  <c r="L261" i="4" s="1"/>
  <c r="K261" i="4"/>
  <c r="L260" i="4" a="1"/>
  <c r="L260" i="4" s="1"/>
  <c r="K260" i="4"/>
  <c r="L259" i="4" a="1"/>
  <c r="L259" i="4" s="1"/>
  <c r="K259" i="4"/>
  <c r="L258" i="4" a="1"/>
  <c r="L258" i="4" s="1"/>
  <c r="K258" i="4"/>
  <c r="L257" i="4" a="1"/>
  <c r="L257" i="4" s="1"/>
  <c r="K257" i="4"/>
  <c r="L256" i="4" a="1"/>
  <c r="L256" i="4" s="1"/>
  <c r="K256" i="4"/>
  <c r="L255" i="4" a="1"/>
  <c r="L255" i="4" s="1"/>
  <c r="K255" i="4"/>
  <c r="L254" i="4" a="1"/>
  <c r="L254" i="4" s="1"/>
  <c r="K254" i="4"/>
  <c r="L253" i="4" a="1"/>
  <c r="L253" i="4" s="1"/>
  <c r="K253" i="4"/>
  <c r="L252" i="4" a="1"/>
  <c r="L252" i="4" s="1"/>
  <c r="K252" i="4"/>
  <c r="L251" i="4" a="1"/>
  <c r="L251" i="4" s="1"/>
  <c r="K251" i="4"/>
  <c r="L250" i="4" a="1"/>
  <c r="L250" i="4" s="1"/>
  <c r="K250" i="4"/>
  <c r="L249" i="4" a="1"/>
  <c r="L249" i="4" s="1"/>
  <c r="K249" i="4"/>
  <c r="L248" i="4" a="1"/>
  <c r="L248" i="4" s="1"/>
  <c r="K248" i="4"/>
  <c r="L247" i="4" a="1"/>
  <c r="L247" i="4" s="1"/>
  <c r="K247" i="4"/>
  <c r="L246" i="4" a="1"/>
  <c r="L246" i="4" s="1"/>
  <c r="K246" i="4"/>
  <c r="L245" i="4" a="1"/>
  <c r="L245" i="4" s="1"/>
  <c r="K245" i="4"/>
  <c r="L244" i="4" a="1"/>
  <c r="L244" i="4" s="1"/>
  <c r="K244" i="4"/>
  <c r="L243" i="4" a="1"/>
  <c r="L243" i="4" s="1"/>
  <c r="K243" i="4"/>
  <c r="L242" i="4" a="1"/>
  <c r="L242" i="4" s="1"/>
  <c r="K242" i="4"/>
  <c r="L241" i="4" a="1"/>
  <c r="L241" i="4" s="1"/>
  <c r="K241" i="4"/>
  <c r="L240" i="4" a="1"/>
  <c r="L240" i="4" s="1"/>
  <c r="K240" i="4"/>
  <c r="L239" i="4" a="1"/>
  <c r="L239" i="4" s="1"/>
  <c r="K239" i="4"/>
  <c r="L238" i="4" a="1"/>
  <c r="L238" i="4" s="1"/>
  <c r="K238" i="4"/>
  <c r="L237" i="4" a="1"/>
  <c r="L237" i="4" s="1"/>
  <c r="K237" i="4"/>
  <c r="L236" i="4" a="1"/>
  <c r="L236" i="4" s="1"/>
  <c r="K236" i="4"/>
  <c r="L235" i="4" a="1"/>
  <c r="L235" i="4" s="1"/>
  <c r="K235" i="4"/>
  <c r="L234" i="4" a="1"/>
  <c r="L234" i="4" s="1"/>
  <c r="K234" i="4"/>
  <c r="L233" i="4" a="1"/>
  <c r="L233" i="4" s="1"/>
  <c r="K233" i="4"/>
  <c r="L232" i="4" a="1"/>
  <c r="L232" i="4" s="1"/>
  <c r="K232" i="4"/>
  <c r="L231" i="4" a="1"/>
  <c r="L231" i="4" s="1"/>
  <c r="K231" i="4"/>
  <c r="L230" i="4" a="1"/>
  <c r="L230" i="4" s="1"/>
  <c r="K230" i="4"/>
  <c r="L229" i="4" a="1"/>
  <c r="L229" i="4" s="1"/>
  <c r="K229" i="4"/>
  <c r="L228" i="4" a="1"/>
  <c r="L228" i="4" s="1"/>
  <c r="K228" i="4"/>
  <c r="L227" i="4" a="1"/>
  <c r="L227" i="4" s="1"/>
  <c r="K227" i="4"/>
  <c r="L226" i="4" a="1"/>
  <c r="L226" i="4" s="1"/>
  <c r="K226" i="4"/>
  <c r="L225" i="4" a="1"/>
  <c r="L225" i="4" s="1"/>
  <c r="K225" i="4"/>
  <c r="L224" i="4" a="1"/>
  <c r="L224" i="4" s="1"/>
  <c r="K224" i="4"/>
  <c r="L223" i="4" a="1"/>
  <c r="L223" i="4" s="1"/>
  <c r="K223" i="4"/>
  <c r="L222" i="4" a="1"/>
  <c r="L222" i="4" s="1"/>
  <c r="K222" i="4"/>
  <c r="L221" i="4" a="1"/>
  <c r="L221" i="4" s="1"/>
  <c r="K221" i="4"/>
  <c r="L220" i="4" a="1"/>
  <c r="L220" i="4" s="1"/>
  <c r="K220" i="4"/>
  <c r="L219" i="4" a="1"/>
  <c r="L219" i="4" s="1"/>
  <c r="K219" i="4"/>
  <c r="L218" i="4" a="1"/>
  <c r="L218" i="4" s="1"/>
  <c r="K218" i="4"/>
  <c r="L217" i="4" a="1"/>
  <c r="L217" i="4" s="1"/>
  <c r="K217" i="4"/>
  <c r="L216" i="4" a="1"/>
  <c r="L216" i="4" s="1"/>
  <c r="K216" i="4"/>
  <c r="L215" i="4" a="1"/>
  <c r="L215" i="4" s="1"/>
  <c r="K215" i="4"/>
  <c r="L214" i="4" a="1"/>
  <c r="L214" i="4" s="1"/>
  <c r="K214" i="4"/>
  <c r="L213" i="4" a="1"/>
  <c r="L213" i="4" s="1"/>
  <c r="K213" i="4"/>
  <c r="L212" i="4" a="1"/>
  <c r="L212" i="4" s="1"/>
  <c r="K212" i="4"/>
  <c r="L211" i="4" a="1"/>
  <c r="L211" i="4" s="1"/>
  <c r="K211" i="4"/>
  <c r="L210" i="4" a="1"/>
  <c r="L210" i="4" s="1"/>
  <c r="K210" i="4"/>
  <c r="L209" i="4" a="1"/>
  <c r="L209" i="4" s="1"/>
  <c r="K209" i="4"/>
  <c r="L208" i="4" a="1"/>
  <c r="L208" i="4" s="1"/>
  <c r="K208" i="4"/>
  <c r="L207" i="4" a="1"/>
  <c r="L207" i="4" s="1"/>
  <c r="K207" i="4"/>
  <c r="L206" i="4" a="1"/>
  <c r="L206" i="4" s="1"/>
  <c r="K206" i="4"/>
  <c r="L205" i="4" a="1"/>
  <c r="L205" i="4" s="1"/>
  <c r="K205" i="4"/>
  <c r="L204" i="4" a="1"/>
  <c r="L204" i="4" s="1"/>
  <c r="K204" i="4"/>
  <c r="L203" i="4" a="1"/>
  <c r="L203" i="4" s="1"/>
  <c r="K203" i="4"/>
  <c r="L202" i="4" a="1"/>
  <c r="L202" i="4" s="1"/>
  <c r="K202" i="4"/>
  <c r="L201" i="4" a="1"/>
  <c r="L201" i="4" s="1"/>
  <c r="K201" i="4"/>
  <c r="L200" i="4" a="1"/>
  <c r="L200" i="4" s="1"/>
  <c r="K200" i="4"/>
  <c r="L199" i="4" a="1"/>
  <c r="L199" i="4" s="1"/>
  <c r="K199" i="4"/>
  <c r="L198" i="4" a="1"/>
  <c r="L198" i="4" s="1"/>
  <c r="K198" i="4"/>
  <c r="L197" i="4" a="1"/>
  <c r="L197" i="4" s="1"/>
  <c r="K197" i="4"/>
  <c r="L196" i="4" a="1"/>
  <c r="L196" i="4" s="1"/>
  <c r="K196" i="4"/>
  <c r="L195" i="4" a="1"/>
  <c r="L195" i="4" s="1"/>
  <c r="K195" i="4"/>
  <c r="L194" i="4" a="1"/>
  <c r="L194" i="4" s="1"/>
  <c r="K194" i="4"/>
  <c r="L193" i="4" a="1"/>
  <c r="L193" i="4" s="1"/>
  <c r="K193" i="4"/>
  <c r="L192" i="4" a="1"/>
  <c r="L192" i="4" s="1"/>
  <c r="K192" i="4"/>
  <c r="L191" i="4" a="1"/>
  <c r="L191" i="4" s="1"/>
  <c r="K191" i="4"/>
  <c r="L190" i="4" a="1"/>
  <c r="L190" i="4" s="1"/>
  <c r="K190" i="4"/>
  <c r="L189" i="4" a="1"/>
  <c r="L189" i="4" s="1"/>
  <c r="K189" i="4"/>
  <c r="L188" i="4" a="1"/>
  <c r="L188" i="4" s="1"/>
  <c r="K188" i="4"/>
  <c r="L187" i="4" a="1"/>
  <c r="L187" i="4" s="1"/>
  <c r="K187" i="4"/>
  <c r="L186" i="4" a="1"/>
  <c r="L186" i="4" s="1"/>
  <c r="K186" i="4"/>
  <c r="L185" i="4" a="1"/>
  <c r="L185" i="4" s="1"/>
  <c r="K185" i="4"/>
  <c r="L184" i="4" a="1"/>
  <c r="L184" i="4" s="1"/>
  <c r="K184" i="4"/>
  <c r="L183" i="4" a="1"/>
  <c r="L183" i="4" s="1"/>
  <c r="K183" i="4"/>
  <c r="L182" i="4" a="1"/>
  <c r="L182" i="4" s="1"/>
  <c r="K182" i="4"/>
  <c r="L181" i="4" a="1"/>
  <c r="L181" i="4" s="1"/>
  <c r="K181" i="4"/>
  <c r="L180" i="4" a="1"/>
  <c r="L180" i="4" s="1"/>
  <c r="K180" i="4"/>
  <c r="L179" i="4" a="1"/>
  <c r="L179" i="4" s="1"/>
  <c r="K179" i="4"/>
  <c r="L178" i="4" a="1"/>
  <c r="L178" i="4" s="1"/>
  <c r="K178" i="4"/>
  <c r="L177" i="4" a="1"/>
  <c r="L177" i="4" s="1"/>
  <c r="K177" i="4"/>
  <c r="L176" i="4" a="1"/>
  <c r="L176" i="4" s="1"/>
  <c r="K176" i="4"/>
  <c r="L175" i="4" a="1"/>
  <c r="L175" i="4" s="1"/>
  <c r="K175" i="4"/>
  <c r="L174" i="4" a="1"/>
  <c r="L174" i="4" s="1"/>
  <c r="K174" i="4"/>
  <c r="L173" i="4" a="1"/>
  <c r="L173" i="4" s="1"/>
  <c r="K173" i="4"/>
  <c r="L172" i="4" a="1"/>
  <c r="L172" i="4" s="1"/>
  <c r="K172" i="4"/>
  <c r="L171" i="4" a="1"/>
  <c r="L171" i="4" s="1"/>
  <c r="K171" i="4"/>
  <c r="L170" i="4" a="1"/>
  <c r="L170" i="4" s="1"/>
  <c r="K170" i="4"/>
  <c r="L169" i="4" a="1"/>
  <c r="L169" i="4" s="1"/>
  <c r="K169" i="4"/>
  <c r="L168" i="4" a="1"/>
  <c r="L168" i="4" s="1"/>
  <c r="K168" i="4"/>
  <c r="L167" i="4" a="1"/>
  <c r="L167" i="4" s="1"/>
  <c r="K167" i="4"/>
  <c r="L166" i="4" a="1"/>
  <c r="L166" i="4" s="1"/>
  <c r="K166" i="4"/>
  <c r="L165" i="4" a="1"/>
  <c r="L165" i="4" s="1"/>
  <c r="K165" i="4"/>
  <c r="L164" i="4" a="1"/>
  <c r="L164" i="4" s="1"/>
  <c r="K164" i="4"/>
  <c r="L163" i="4" a="1"/>
  <c r="L163" i="4" s="1"/>
  <c r="K163" i="4"/>
  <c r="L162" i="4" a="1"/>
  <c r="L162" i="4" s="1"/>
  <c r="K162" i="4"/>
  <c r="L161" i="4" a="1"/>
  <c r="L161" i="4" s="1"/>
  <c r="K161" i="4"/>
  <c r="L160" i="4" a="1"/>
  <c r="L160" i="4" s="1"/>
  <c r="K160" i="4"/>
  <c r="L159" i="4" a="1"/>
  <c r="L159" i="4" s="1"/>
  <c r="K159" i="4"/>
  <c r="L158" i="4" a="1"/>
  <c r="L158" i="4" s="1"/>
  <c r="K158" i="4"/>
  <c r="L157" i="4" a="1"/>
  <c r="L157" i="4" s="1"/>
  <c r="K157" i="4"/>
  <c r="L156" i="4" a="1"/>
  <c r="L156" i="4" s="1"/>
  <c r="K156" i="4"/>
  <c r="L155" i="4" a="1"/>
  <c r="L155" i="4" s="1"/>
  <c r="K155" i="4"/>
  <c r="L154" i="4" a="1"/>
  <c r="L154" i="4" s="1"/>
  <c r="K154" i="4"/>
  <c r="L153" i="4" a="1"/>
  <c r="L153" i="4" s="1"/>
  <c r="K153" i="4"/>
  <c r="L152" i="4" a="1"/>
  <c r="L152" i="4" s="1"/>
  <c r="K152" i="4"/>
  <c r="L151" i="4" a="1"/>
  <c r="L151" i="4" s="1"/>
  <c r="K151" i="4"/>
  <c r="L150" i="4" a="1"/>
  <c r="L150" i="4" s="1"/>
  <c r="K150" i="4"/>
  <c r="L149" i="4" a="1"/>
  <c r="L149" i="4" s="1"/>
  <c r="K149" i="4"/>
  <c r="L148" i="4" a="1"/>
  <c r="L148" i="4" s="1"/>
  <c r="K148" i="4"/>
  <c r="L147" i="4" a="1"/>
  <c r="L147" i="4" s="1"/>
  <c r="K147" i="4"/>
  <c r="L146" i="4" a="1"/>
  <c r="L146" i="4" s="1"/>
  <c r="K146" i="4"/>
  <c r="L145" i="4" a="1"/>
  <c r="L145" i="4" s="1"/>
  <c r="K145" i="4"/>
  <c r="L144" i="4" a="1"/>
  <c r="L144" i="4" s="1"/>
  <c r="K144" i="4"/>
  <c r="L143" i="4" a="1"/>
  <c r="L143" i="4" s="1"/>
  <c r="K143" i="4"/>
  <c r="L142" i="4" a="1"/>
  <c r="L142" i="4" s="1"/>
  <c r="K142" i="4"/>
  <c r="L141" i="4" a="1"/>
  <c r="L141" i="4" s="1"/>
  <c r="K141" i="4"/>
  <c r="L140" i="4" a="1"/>
  <c r="L140" i="4" s="1"/>
  <c r="K140" i="4"/>
  <c r="L139" i="4" a="1"/>
  <c r="L139" i="4" s="1"/>
  <c r="K139" i="4"/>
  <c r="L138" i="4" a="1"/>
  <c r="L138" i="4" s="1"/>
  <c r="K138" i="4"/>
  <c r="L137" i="4" a="1"/>
  <c r="L137" i="4" s="1"/>
  <c r="K137" i="4"/>
  <c r="L136" i="4" a="1"/>
  <c r="L136" i="4" s="1"/>
  <c r="K136" i="4"/>
  <c r="L135" i="4" a="1"/>
  <c r="L135" i="4" s="1"/>
  <c r="K135" i="4"/>
  <c r="L134" i="4" a="1"/>
  <c r="L134" i="4" s="1"/>
  <c r="K134" i="4"/>
  <c r="L133" i="4" a="1"/>
  <c r="L133" i="4" s="1"/>
  <c r="K133" i="4"/>
  <c r="L132" i="4" a="1"/>
  <c r="L132" i="4" s="1"/>
  <c r="K132" i="4"/>
  <c r="L131" i="4" a="1"/>
  <c r="L131" i="4" s="1"/>
  <c r="K131" i="4"/>
  <c r="L130" i="4" a="1"/>
  <c r="L130" i="4" s="1"/>
  <c r="K130" i="4"/>
  <c r="L129" i="4" a="1"/>
  <c r="L129" i="4" s="1"/>
  <c r="K129" i="4"/>
  <c r="L128" i="4" a="1"/>
  <c r="L128" i="4" s="1"/>
  <c r="K128" i="4"/>
  <c r="L127" i="4" a="1"/>
  <c r="L127" i="4" s="1"/>
  <c r="K127" i="4"/>
  <c r="L126" i="4" a="1"/>
  <c r="L126" i="4" s="1"/>
  <c r="K126" i="4"/>
  <c r="L125" i="4" a="1"/>
  <c r="L125" i="4" s="1"/>
  <c r="K125" i="4"/>
  <c r="L124" i="4" a="1"/>
  <c r="L124" i="4" s="1"/>
  <c r="K124" i="4"/>
  <c r="L123" i="4" a="1"/>
  <c r="L123" i="4" s="1"/>
  <c r="K123" i="4"/>
  <c r="L122" i="4" a="1"/>
  <c r="L122" i="4" s="1"/>
  <c r="K122" i="4"/>
  <c r="L121" i="4" a="1"/>
  <c r="L121" i="4" s="1"/>
  <c r="K121" i="4"/>
  <c r="L120" i="4" a="1"/>
  <c r="L120" i="4" s="1"/>
  <c r="K120" i="4"/>
  <c r="L119" i="4" a="1"/>
  <c r="L119" i="4" s="1"/>
  <c r="K119" i="4"/>
  <c r="L118" i="4" a="1"/>
  <c r="L118" i="4" s="1"/>
  <c r="K118" i="4"/>
  <c r="L117" i="4" a="1"/>
  <c r="L117" i="4" s="1"/>
  <c r="K117" i="4"/>
  <c r="L116" i="4" a="1"/>
  <c r="L116" i="4" s="1"/>
  <c r="K116" i="4"/>
  <c r="L115" i="4" a="1"/>
  <c r="L115" i="4" s="1"/>
  <c r="K115" i="4"/>
  <c r="L114" i="4" a="1"/>
  <c r="L114" i="4" s="1"/>
  <c r="K114" i="4"/>
  <c r="L113" i="4" a="1"/>
  <c r="L113" i="4" s="1"/>
  <c r="K113" i="4"/>
  <c r="L112" i="4" a="1"/>
  <c r="L112" i="4" s="1"/>
  <c r="K112" i="4"/>
  <c r="L111" i="4" a="1"/>
  <c r="L111" i="4" s="1"/>
  <c r="K111" i="4"/>
  <c r="L110" i="4" a="1"/>
  <c r="L110" i="4" s="1"/>
  <c r="K110" i="4"/>
  <c r="L109" i="4" a="1"/>
  <c r="L109" i="4" s="1"/>
  <c r="K109" i="4"/>
  <c r="L108" i="4" a="1"/>
  <c r="L108" i="4" s="1"/>
  <c r="K108" i="4"/>
  <c r="L107" i="4" a="1"/>
  <c r="L107" i="4" s="1"/>
  <c r="K107" i="4"/>
  <c r="L106" i="4" a="1"/>
  <c r="L106" i="4" s="1"/>
  <c r="K106" i="4"/>
  <c r="L105" i="4" a="1"/>
  <c r="L105" i="4" s="1"/>
  <c r="K105" i="4"/>
  <c r="L104" i="4" a="1"/>
  <c r="L104" i="4" s="1"/>
  <c r="K104" i="4"/>
  <c r="L103" i="4" a="1"/>
  <c r="L103" i="4" s="1"/>
  <c r="K103" i="4"/>
  <c r="L102" i="4" a="1"/>
  <c r="L102" i="4" s="1"/>
  <c r="K102" i="4"/>
  <c r="L101" i="4" a="1"/>
  <c r="L101" i="4" s="1"/>
  <c r="K101" i="4"/>
  <c r="L100" i="4" a="1"/>
  <c r="L100" i="4" s="1"/>
  <c r="K100" i="4"/>
  <c r="L99" i="4" a="1"/>
  <c r="L99" i="4" s="1"/>
  <c r="K99" i="4"/>
  <c r="L98" i="4" a="1"/>
  <c r="L98" i="4" s="1"/>
  <c r="K98" i="4"/>
  <c r="L97" i="4" a="1"/>
  <c r="L97" i="4" s="1"/>
  <c r="K97" i="4"/>
  <c r="L96" i="4" a="1"/>
  <c r="L96" i="4" s="1"/>
  <c r="K96" i="4"/>
  <c r="L95" i="4" a="1"/>
  <c r="L95" i="4" s="1"/>
  <c r="K95" i="4"/>
  <c r="L94" i="4" a="1"/>
  <c r="L94" i="4" s="1"/>
  <c r="K94" i="4"/>
  <c r="L93" i="4" a="1"/>
  <c r="L93" i="4" s="1"/>
  <c r="K93" i="4"/>
  <c r="L92" i="4" a="1"/>
  <c r="L92" i="4" s="1"/>
  <c r="K92" i="4"/>
  <c r="L91" i="4" a="1"/>
  <c r="L91" i="4" s="1"/>
  <c r="K91" i="4"/>
  <c r="L90" i="4" a="1"/>
  <c r="L90" i="4" s="1"/>
  <c r="K90" i="4"/>
  <c r="L89" i="4" a="1"/>
  <c r="L89" i="4" s="1"/>
  <c r="K89" i="4"/>
  <c r="L88" i="4" a="1"/>
  <c r="L88" i="4" s="1"/>
  <c r="K88" i="4"/>
  <c r="L87" i="4" a="1"/>
  <c r="L87" i="4" s="1"/>
  <c r="K87" i="4"/>
  <c r="L86" i="4" a="1"/>
  <c r="L86" i="4" s="1"/>
  <c r="K86" i="4"/>
  <c r="L85" i="4" a="1"/>
  <c r="L85" i="4" s="1"/>
  <c r="K85" i="4"/>
  <c r="L84" i="4" a="1"/>
  <c r="L84" i="4" s="1"/>
  <c r="K84" i="4"/>
  <c r="L83" i="4" a="1"/>
  <c r="L83" i="4" s="1"/>
  <c r="K83" i="4"/>
  <c r="L82" i="4" a="1"/>
  <c r="L82" i="4" s="1"/>
  <c r="K82" i="4"/>
  <c r="L81" i="4" a="1"/>
  <c r="L81" i="4" s="1"/>
  <c r="K81" i="4"/>
  <c r="L80" i="4" a="1"/>
  <c r="L80" i="4" s="1"/>
  <c r="K80" i="4"/>
  <c r="L79" i="4" a="1"/>
  <c r="L79" i="4" s="1"/>
  <c r="K79" i="4"/>
  <c r="L78" i="4" a="1"/>
  <c r="L78" i="4" s="1"/>
  <c r="K78" i="4"/>
  <c r="L77" i="4" a="1"/>
  <c r="L77" i="4" s="1"/>
  <c r="K77" i="4"/>
  <c r="L76" i="4" a="1"/>
  <c r="L76" i="4" s="1"/>
  <c r="K76" i="4"/>
  <c r="L75" i="4" a="1"/>
  <c r="L75" i="4" s="1"/>
  <c r="K75" i="4"/>
  <c r="L74" i="4" a="1"/>
  <c r="L74" i="4" s="1"/>
  <c r="K74" i="4"/>
  <c r="L73" i="4" a="1"/>
  <c r="L73" i="4" s="1"/>
  <c r="K73" i="4"/>
  <c r="L72" i="4" a="1"/>
  <c r="L72" i="4" s="1"/>
  <c r="K72" i="4"/>
  <c r="L71" i="4" a="1"/>
  <c r="L71" i="4" s="1"/>
  <c r="K71" i="4"/>
  <c r="L70" i="4" a="1"/>
  <c r="L70" i="4" s="1"/>
  <c r="K70" i="4"/>
  <c r="L69" i="4" a="1"/>
  <c r="L69" i="4" s="1"/>
  <c r="K69" i="4"/>
  <c r="L68" i="4" a="1"/>
  <c r="L68" i="4" s="1"/>
  <c r="K68" i="4"/>
  <c r="L67" i="4" a="1"/>
  <c r="L67" i="4" s="1"/>
  <c r="K67" i="4"/>
  <c r="L66" i="4" a="1"/>
  <c r="L66" i="4" s="1"/>
  <c r="K66" i="4"/>
  <c r="L65" i="4" a="1"/>
  <c r="L65" i="4" s="1"/>
  <c r="K65" i="4"/>
  <c r="L64" i="4" a="1"/>
  <c r="L64" i="4" s="1"/>
  <c r="K64" i="4"/>
  <c r="L63" i="4" a="1"/>
  <c r="L63" i="4" s="1"/>
  <c r="K63" i="4"/>
  <c r="L62" i="4" a="1"/>
  <c r="L62" i="4" s="1"/>
  <c r="K62" i="4"/>
  <c r="L61" i="4" a="1"/>
  <c r="L61" i="4" s="1"/>
  <c r="K61" i="4"/>
  <c r="L60" i="4" a="1"/>
  <c r="L60" i="4" s="1"/>
  <c r="K60" i="4"/>
  <c r="L59" i="4" a="1"/>
  <c r="L59" i="4" s="1"/>
  <c r="K59" i="4"/>
  <c r="L58" i="4" a="1"/>
  <c r="L58" i="4" s="1"/>
  <c r="K58" i="4"/>
  <c r="L57" i="4" a="1"/>
  <c r="L57" i="4" s="1"/>
  <c r="K57" i="4"/>
  <c r="L56" i="4" a="1"/>
  <c r="L56" i="4" s="1"/>
  <c r="K56" i="4"/>
  <c r="L55" i="4" a="1"/>
  <c r="L55" i="4" s="1"/>
  <c r="K55" i="4"/>
  <c r="L54" i="4" a="1"/>
  <c r="L54" i="4" s="1"/>
  <c r="K54" i="4"/>
  <c r="L53" i="4" a="1"/>
  <c r="L53" i="4" s="1"/>
  <c r="K53" i="4"/>
  <c r="L52" i="4" a="1"/>
  <c r="L52" i="4" s="1"/>
  <c r="K52" i="4"/>
  <c r="L51" i="4" a="1"/>
  <c r="L51" i="4" s="1"/>
  <c r="K51" i="4"/>
  <c r="L50" i="4" a="1"/>
  <c r="L50" i="4" s="1"/>
  <c r="K50" i="4"/>
  <c r="L49" i="4" a="1"/>
  <c r="L49" i="4" s="1"/>
  <c r="K49" i="4"/>
  <c r="L48" i="4" a="1"/>
  <c r="L48" i="4" s="1"/>
  <c r="K48" i="4"/>
  <c r="L47" i="4" a="1"/>
  <c r="L47" i="4" s="1"/>
  <c r="K47" i="4"/>
  <c r="L46" i="4" a="1"/>
  <c r="L46" i="4" s="1"/>
  <c r="K46" i="4"/>
  <c r="L45" i="4" a="1"/>
  <c r="L45" i="4" s="1"/>
  <c r="K45" i="4"/>
  <c r="L44" i="4" a="1"/>
  <c r="L44" i="4" s="1"/>
  <c r="K44" i="4"/>
  <c r="L43" i="4" a="1"/>
  <c r="L43" i="4" s="1"/>
  <c r="K43" i="4"/>
  <c r="L42" i="4" a="1"/>
  <c r="L42" i="4" s="1"/>
  <c r="K42" i="4"/>
  <c r="L41" i="4" a="1"/>
  <c r="L41" i="4" s="1"/>
  <c r="K41" i="4"/>
  <c r="L40" i="4" a="1"/>
  <c r="L40" i="4" s="1"/>
  <c r="K40" i="4"/>
  <c r="L39" i="4" a="1"/>
  <c r="L39" i="4" s="1"/>
  <c r="K39" i="4"/>
  <c r="L38" i="4" a="1"/>
  <c r="L38" i="4" s="1"/>
  <c r="K38" i="4"/>
  <c r="L37" i="4" a="1"/>
  <c r="L37" i="4" s="1"/>
  <c r="K37" i="4"/>
  <c r="L36" i="4" a="1"/>
  <c r="L36" i="4" s="1"/>
  <c r="K36" i="4"/>
  <c r="L35" i="4" a="1"/>
  <c r="L35" i="4" s="1"/>
  <c r="K35" i="4"/>
  <c r="L34" i="4" a="1"/>
  <c r="L34" i="4" s="1"/>
  <c r="K34" i="4"/>
  <c r="L33" i="4" a="1"/>
  <c r="L33" i="4" s="1"/>
  <c r="K33" i="4"/>
  <c r="L32" i="4" a="1"/>
  <c r="L32" i="4" s="1"/>
  <c r="K32" i="4"/>
  <c r="L31" i="4" a="1"/>
  <c r="L31" i="4" s="1"/>
  <c r="K31" i="4"/>
  <c r="L30" i="4" a="1"/>
  <c r="L30" i="4" s="1"/>
  <c r="K30" i="4"/>
  <c r="L29" i="4" a="1"/>
  <c r="L29" i="4" s="1"/>
  <c r="K29" i="4"/>
  <c r="L28" i="4" a="1"/>
  <c r="L28" i="4" s="1"/>
  <c r="K28" i="4"/>
  <c r="L27" i="4" a="1"/>
  <c r="L27" i="4" s="1"/>
  <c r="K27" i="4"/>
  <c r="L26" i="4" a="1"/>
  <c r="L26" i="4" s="1"/>
  <c r="K26" i="4"/>
  <c r="L25" i="4" a="1"/>
  <c r="L25" i="4" s="1"/>
  <c r="K25" i="4"/>
  <c r="L24" i="4" a="1"/>
  <c r="L24" i="4" s="1"/>
  <c r="K24" i="4"/>
  <c r="L23" i="4" a="1"/>
  <c r="L23" i="4" s="1"/>
  <c r="K23" i="4"/>
  <c r="L22" i="4" a="1"/>
  <c r="L22" i="4" s="1"/>
  <c r="K22" i="4"/>
  <c r="L21" i="4" a="1"/>
  <c r="L21" i="4" s="1"/>
  <c r="K21" i="4"/>
  <c r="L20" i="4" a="1"/>
  <c r="L20" i="4" s="1"/>
  <c r="K20" i="4"/>
  <c r="L19" i="4" a="1"/>
  <c r="L19" i="4" s="1"/>
  <c r="K19" i="4"/>
  <c r="L18" i="4" a="1"/>
  <c r="L18" i="4" s="1"/>
  <c r="K18" i="4"/>
  <c r="L17" i="4" a="1"/>
  <c r="L17" i="4" s="1"/>
  <c r="K17" i="4"/>
  <c r="L16" i="4" a="1"/>
  <c r="L16" i="4" s="1"/>
  <c r="K16" i="4"/>
  <c r="L15" i="4" a="1"/>
  <c r="L15" i="4" s="1"/>
  <c r="K15" i="4"/>
  <c r="L14" i="4" a="1"/>
  <c r="L14" i="4" s="1"/>
  <c r="K14" i="4"/>
  <c r="L13" i="4" a="1"/>
  <c r="L13" i="4" s="1"/>
  <c r="K13" i="4"/>
  <c r="L12" i="4" a="1"/>
  <c r="L12" i="4" s="1"/>
  <c r="K12" i="4"/>
  <c r="L11" i="4" a="1"/>
  <c r="L11" i="4" s="1"/>
  <c r="K11" i="4"/>
  <c r="L10" i="4" a="1"/>
  <c r="L10" i="4" s="1"/>
  <c r="K10" i="4"/>
  <c r="L9" i="4" a="1"/>
  <c r="L9" i="4" s="1"/>
  <c r="K9" i="4"/>
  <c r="L8" i="4" a="1"/>
  <c r="L8" i="4" s="1"/>
  <c r="K8" i="4"/>
  <c r="L7" i="4" a="1"/>
  <c r="L7" i="4" s="1"/>
  <c r="K7" i="4"/>
  <c r="L6" i="4" a="1"/>
  <c r="L6" i="4" s="1"/>
  <c r="K6" i="4"/>
  <c r="L5" i="4" a="1"/>
  <c r="L5" i="4" s="1"/>
  <c r="K5" i="4"/>
  <c r="L4" i="4" a="1"/>
  <c r="L4" i="4" s="1"/>
  <c r="K4" i="4"/>
  <c r="L3" i="4" a="1"/>
  <c r="L3" i="4" s="1"/>
  <c r="K3" i="4"/>
  <c r="L2" i="4" a="1"/>
  <c r="L2" i="4" s="1"/>
  <c r="K2" i="4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79" i="1" a="1"/>
  <c r="L279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4" i="1" a="1"/>
  <c r="L364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5" i="1" a="1"/>
  <c r="L385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1" i="1" a="1"/>
  <c r="L391" i="1" s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3" i="1" a="1"/>
  <c r="L453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 s="1"/>
  <c r="L459" i="1" a="1"/>
  <c r="L459" i="1" s="1"/>
  <c r="L460" i="1" a="1"/>
  <c r="L460" i="1" s="1"/>
  <c r="L461" i="1" a="1"/>
  <c r="L461" i="1" s="1"/>
  <c r="L462" i="1" a="1"/>
  <c r="L462" i="1" s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 s="1"/>
  <c r="L471" i="1" a="1"/>
  <c r="L471" i="1" s="1"/>
  <c r="L472" i="1" a="1"/>
  <c r="L472" i="1" s="1"/>
  <c r="L473" i="1" a="1"/>
  <c r="L473" i="1" s="1"/>
  <c r="L474" i="1" a="1"/>
  <c r="L474" i="1" s="1"/>
  <c r="L475" i="1" a="1"/>
  <c r="L475" i="1" s="1"/>
  <c r="L476" i="1" a="1"/>
  <c r="L476" i="1"/>
  <c r="L477" i="1" a="1"/>
  <c r="L477" i="1" s="1"/>
  <c r="L478" i="1" a="1"/>
  <c r="L478" i="1" s="1"/>
  <c r="L479" i="1" a="1"/>
  <c r="L479" i="1" s="1"/>
  <c r="L480" i="1" a="1"/>
  <c r="L480" i="1" s="1"/>
  <c r="L481" i="1" a="1"/>
  <c r="L481" i="1" s="1"/>
  <c r="L482" i="1" a="1"/>
  <c r="L482" i="1" s="1"/>
  <c r="L483" i="1" a="1"/>
  <c r="L483" i="1" s="1"/>
  <c r="L484" i="1" a="1"/>
  <c r="L484" i="1" s="1"/>
  <c r="L485" i="1" a="1"/>
  <c r="L485" i="1" s="1"/>
  <c r="L486" i="1" a="1"/>
  <c r="L486" i="1" s="1"/>
  <c r="L487" i="1" a="1"/>
  <c r="L487" i="1" s="1"/>
  <c r="L488" i="1" a="1"/>
  <c r="L488" i="1" s="1"/>
  <c r="L489" i="1" a="1"/>
  <c r="L489" i="1" s="1"/>
  <c r="L490" i="1" a="1"/>
  <c r="L490" i="1" s="1"/>
  <c r="L491" i="1" a="1"/>
  <c r="L491" i="1" s="1"/>
  <c r="L492" i="1" a="1"/>
  <c r="L492" i="1" s="1"/>
  <c r="L493" i="1" a="1"/>
  <c r="L493" i="1" s="1"/>
  <c r="L494" i="1" a="1"/>
  <c r="L494" i="1" s="1"/>
  <c r="L495" i="1" a="1"/>
  <c r="L495" i="1" s="1"/>
  <c r="L496" i="1" a="1"/>
  <c r="L496" i="1" s="1"/>
  <c r="L497" i="1" a="1"/>
  <c r="L497" i="1" s="1"/>
  <c r="L498" i="1" a="1"/>
  <c r="L498" i="1" s="1"/>
  <c r="L499" i="1" a="1"/>
  <c r="L499" i="1" s="1"/>
  <c r="L500" i="1" a="1"/>
  <c r="L500" i="1" s="1"/>
  <c r="L501" i="1" a="1"/>
  <c r="L501" i="1" s="1"/>
  <c r="L502" i="1" a="1"/>
  <c r="L502" i="1" s="1"/>
  <c r="L503" i="1" a="1"/>
  <c r="L503" i="1" s="1"/>
  <c r="L504" i="1" a="1"/>
  <c r="L504" i="1" s="1"/>
  <c r="L505" i="1" a="1"/>
  <c r="L505" i="1" s="1"/>
  <c r="L506" i="1" a="1"/>
  <c r="L506" i="1" s="1"/>
  <c r="L507" i="1" a="1"/>
  <c r="L507" i="1" s="1"/>
  <c r="L508" i="1" a="1"/>
  <c r="L508" i="1" s="1"/>
  <c r="L509" i="1" a="1"/>
  <c r="L509" i="1" s="1"/>
  <c r="L510" i="1" a="1"/>
  <c r="L510" i="1" s="1"/>
  <c r="L511" i="1" a="1"/>
  <c r="L511" i="1" s="1"/>
  <c r="L512" i="1" a="1"/>
  <c r="L512" i="1" s="1"/>
  <c r="L513" i="1" a="1"/>
  <c r="L513" i="1" s="1"/>
  <c r="L514" i="1" a="1"/>
  <c r="L514" i="1" s="1"/>
  <c r="L515" i="1" a="1"/>
  <c r="L515" i="1" s="1"/>
  <c r="L516" i="1" a="1"/>
  <c r="L516" i="1" s="1"/>
  <c r="L517" i="1" a="1"/>
  <c r="L517" i="1" s="1"/>
  <c r="L518" i="1" a="1"/>
  <c r="L518" i="1" s="1"/>
  <c r="L519" i="1" a="1"/>
  <c r="L519" i="1" s="1"/>
  <c r="L520" i="1" a="1"/>
  <c r="L520" i="1" s="1"/>
  <c r="L521" i="1" a="1"/>
  <c r="L521" i="1" s="1"/>
  <c r="L522" i="1" a="1"/>
  <c r="L522" i="1" s="1"/>
  <c r="L523" i="1" a="1"/>
  <c r="L523" i="1" s="1"/>
  <c r="L524" i="1" a="1"/>
  <c r="L524" i="1" s="1"/>
  <c r="L525" i="1" a="1"/>
  <c r="L525" i="1" s="1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 s="1"/>
  <c r="L533" i="1" a="1"/>
  <c r="L533" i="1" s="1"/>
  <c r="L534" i="1" a="1"/>
  <c r="L534" i="1" s="1"/>
  <c r="L535" i="1" a="1"/>
  <c r="L535" i="1" s="1"/>
  <c r="L536" i="1" a="1"/>
  <c r="L536" i="1" s="1"/>
  <c r="L537" i="1" a="1"/>
  <c r="L537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L546" i="1" a="1"/>
  <c r="L546" i="1" s="1"/>
  <c r="L547" i="1" a="1"/>
  <c r="L547" i="1" s="1"/>
  <c r="L548" i="1" a="1"/>
  <c r="L548" i="1" s="1"/>
  <c r="L549" i="1" a="1"/>
  <c r="L549" i="1" s="1"/>
  <c r="L550" i="1" a="1"/>
  <c r="L550" i="1" s="1"/>
  <c r="L551" i="1" a="1"/>
  <c r="L551" i="1" s="1"/>
  <c r="L552" i="1" a="1"/>
  <c r="L552" i="1" s="1"/>
  <c r="L553" i="1" a="1"/>
  <c r="L553" i="1" s="1"/>
  <c r="L554" i="1" a="1"/>
  <c r="L554" i="1" s="1"/>
  <c r="L555" i="1" a="1"/>
  <c r="L555" i="1" s="1"/>
  <c r="L556" i="1" a="1"/>
  <c r="L556" i="1" s="1"/>
  <c r="L557" i="1" a="1"/>
  <c r="L557" i="1" s="1"/>
  <c r="L558" i="1" a="1"/>
  <c r="L558" i="1" s="1"/>
  <c r="L559" i="1" a="1"/>
  <c r="L559" i="1" s="1"/>
  <c r="L560" i="1" a="1"/>
  <c r="L560" i="1" s="1"/>
  <c r="L561" i="1" a="1"/>
  <c r="L561" i="1" s="1"/>
  <c r="L562" i="1" a="1"/>
  <c r="L562" i="1" s="1"/>
  <c r="L563" i="1" a="1"/>
  <c r="L563" i="1" s="1"/>
  <c r="L564" i="1" a="1"/>
  <c r="L564" i="1" s="1"/>
  <c r="L565" i="1" a="1"/>
  <c r="L565" i="1" s="1"/>
  <c r="L566" i="1" a="1"/>
  <c r="L566" i="1" s="1"/>
  <c r="L567" i="1" a="1"/>
  <c r="L567" i="1" s="1"/>
  <c r="L568" i="1" a="1"/>
  <c r="L568" i="1" s="1"/>
  <c r="L569" i="1" a="1"/>
  <c r="L569" i="1" s="1"/>
  <c r="L570" i="1" a="1"/>
  <c r="L570" i="1" s="1"/>
  <c r="L571" i="1" a="1"/>
  <c r="L571" i="1" s="1"/>
  <c r="L572" i="1" a="1"/>
  <c r="L572" i="1"/>
  <c r="L573" i="1" a="1"/>
  <c r="L573" i="1" s="1"/>
  <c r="L574" i="1" a="1"/>
  <c r="L574" i="1" s="1"/>
  <c r="L575" i="1" a="1"/>
  <c r="L575" i="1" s="1"/>
  <c r="L576" i="1" a="1"/>
  <c r="L576" i="1" s="1"/>
  <c r="L577" i="1" a="1"/>
  <c r="L577" i="1" s="1"/>
  <c r="L578" i="1" a="1"/>
  <c r="L578" i="1" s="1"/>
  <c r="L579" i="1" a="1"/>
  <c r="L579" i="1" s="1"/>
  <c r="L580" i="1" a="1"/>
  <c r="L580" i="1" s="1"/>
  <c r="L581" i="1" a="1"/>
  <c r="L581" i="1" s="1"/>
  <c r="L582" i="1" a="1"/>
  <c r="L582" i="1" s="1"/>
  <c r="L583" i="1" a="1"/>
  <c r="L583" i="1" s="1"/>
  <c r="L584" i="1" a="1"/>
  <c r="L584" i="1" s="1"/>
  <c r="L585" i="1" a="1"/>
  <c r="L585" i="1" s="1"/>
  <c r="L586" i="1" a="1"/>
  <c r="L586" i="1" s="1"/>
  <c r="L587" i="1" a="1"/>
  <c r="L587" i="1" s="1"/>
  <c r="L588" i="1" a="1"/>
  <c r="L588" i="1" s="1"/>
  <c r="L589" i="1" a="1"/>
  <c r="L589" i="1" s="1"/>
  <c r="L590" i="1" a="1"/>
  <c r="L590" i="1" s="1"/>
  <c r="L591" i="1" a="1"/>
  <c r="L591" i="1" s="1"/>
  <c r="L592" i="1" a="1"/>
  <c r="L592" i="1" s="1"/>
  <c r="L593" i="1" a="1"/>
  <c r="L593" i="1" s="1"/>
  <c r="L594" i="1" a="1"/>
  <c r="L594" i="1" s="1"/>
  <c r="L595" i="1" a="1"/>
  <c r="L595" i="1" s="1"/>
  <c r="L596" i="1" a="1"/>
  <c r="L596" i="1" s="1"/>
  <c r="L597" i="1" a="1"/>
  <c r="L597" i="1" s="1"/>
  <c r="L598" i="1" a="1"/>
  <c r="L598" i="1" s="1"/>
  <c r="L599" i="1" a="1"/>
  <c r="L599" i="1" s="1"/>
  <c r="L600" i="1" a="1"/>
  <c r="L600" i="1" s="1"/>
  <c r="L601" i="1" a="1"/>
  <c r="L601" i="1" s="1"/>
  <c r="L602" i="1" a="1"/>
  <c r="L602" i="1" s="1"/>
  <c r="L603" i="1" a="1"/>
  <c r="L603" i="1" s="1"/>
  <c r="L604" i="1" a="1"/>
  <c r="L604" i="1" s="1"/>
  <c r="L605" i="1" a="1"/>
  <c r="L605" i="1" s="1"/>
  <c r="L606" i="1" a="1"/>
  <c r="L606" i="1" s="1"/>
  <c r="L607" i="1" a="1"/>
  <c r="L607" i="1" s="1"/>
  <c r="L608" i="1" a="1"/>
  <c r="L608" i="1" s="1"/>
  <c r="L609" i="1" a="1"/>
  <c r="L609" i="1" s="1"/>
  <c r="L610" i="1" a="1"/>
  <c r="L610" i="1" s="1"/>
  <c r="L611" i="1" a="1"/>
  <c r="L611" i="1" s="1"/>
  <c r="L612" i="1" a="1"/>
  <c r="L612" i="1" s="1"/>
  <c r="L613" i="1" a="1"/>
  <c r="L613" i="1" s="1"/>
  <c r="L614" i="1" a="1"/>
  <c r="L614" i="1" s="1"/>
  <c r="L615" i="1" a="1"/>
  <c r="L615" i="1" s="1"/>
  <c r="L616" i="1" a="1"/>
  <c r="L616" i="1" s="1"/>
  <c r="L617" i="1" a="1"/>
  <c r="L617" i="1" s="1"/>
  <c r="L618" i="1" a="1"/>
  <c r="L618" i="1" s="1"/>
  <c r="L619" i="1" a="1"/>
  <c r="L619" i="1" s="1"/>
  <c r="L620" i="1" a="1"/>
  <c r="L620" i="1" s="1"/>
  <c r="L621" i="1" a="1"/>
  <c r="L621" i="1" s="1"/>
  <c r="L622" i="1" a="1"/>
  <c r="L622" i="1" s="1"/>
  <c r="L623" i="1" a="1"/>
  <c r="L623" i="1" s="1"/>
  <c r="L624" i="1" a="1"/>
  <c r="L624" i="1" s="1"/>
  <c r="L625" i="1" a="1"/>
  <c r="L625" i="1" s="1"/>
  <c r="L626" i="1" a="1"/>
  <c r="L626" i="1" s="1"/>
  <c r="L627" i="1" a="1"/>
  <c r="L627" i="1" s="1"/>
  <c r="L628" i="1" a="1"/>
  <c r="L628" i="1" s="1"/>
  <c r="L629" i="1" a="1"/>
  <c r="L629" i="1" s="1"/>
  <c r="L630" i="1" a="1"/>
  <c r="L630" i="1" s="1"/>
  <c r="L631" i="1" a="1"/>
  <c r="L631" i="1" s="1"/>
  <c r="L632" i="1" a="1"/>
  <c r="L632" i="1" s="1"/>
  <c r="L633" i="1" a="1"/>
  <c r="L633" i="1" s="1"/>
  <c r="L634" i="1" a="1"/>
  <c r="L634" i="1" s="1"/>
  <c r="L635" i="1" a="1"/>
  <c r="L635" i="1" s="1"/>
  <c r="L636" i="1" a="1"/>
  <c r="L636" i="1" s="1"/>
  <c r="L637" i="1" a="1"/>
  <c r="L637" i="1" s="1"/>
  <c r="L638" i="1" a="1"/>
  <c r="L638" i="1" s="1"/>
  <c r="L639" i="1" a="1"/>
  <c r="L639" i="1" s="1"/>
  <c r="L640" i="1" a="1"/>
  <c r="L640" i="1" s="1"/>
  <c r="L641" i="1" a="1"/>
  <c r="L641" i="1" s="1"/>
  <c r="L642" i="1" a="1"/>
  <c r="L642" i="1" s="1"/>
  <c r="L643" i="1" a="1"/>
  <c r="L643" i="1" s="1"/>
  <c r="L644" i="1" a="1"/>
  <c r="L644" i="1" s="1"/>
  <c r="L645" i="1" a="1"/>
  <c r="L645" i="1" s="1"/>
  <c r="L646" i="1" a="1"/>
  <c r="L646" i="1" s="1"/>
  <c r="L647" i="1" a="1"/>
  <c r="L647" i="1" s="1"/>
  <c r="L648" i="1" a="1"/>
  <c r="L648" i="1" s="1"/>
  <c r="L649" i="1" a="1"/>
  <c r="L649" i="1" s="1"/>
  <c r="L650" i="1" a="1"/>
  <c r="L650" i="1" s="1"/>
  <c r="L651" i="1" a="1"/>
  <c r="L651" i="1"/>
  <c r="L652" i="1" a="1"/>
  <c r="L652" i="1" s="1"/>
  <c r="L653" i="1" a="1"/>
  <c r="L653" i="1" s="1"/>
  <c r="L654" i="1" a="1"/>
  <c r="L654" i="1" s="1"/>
  <c r="L655" i="1" a="1"/>
  <c r="L655" i="1" s="1"/>
  <c r="L656" i="1" a="1"/>
  <c r="L656" i="1" s="1"/>
  <c r="L657" i="1" a="1"/>
  <c r="L657" i="1" s="1"/>
  <c r="L658" i="1" a="1"/>
  <c r="L658" i="1" s="1"/>
  <c r="L659" i="1" a="1"/>
  <c r="L659" i="1" s="1"/>
  <c r="L660" i="1" a="1"/>
  <c r="L660" i="1" s="1"/>
  <c r="L661" i="1" a="1"/>
  <c r="L661" i="1" s="1"/>
  <c r="L662" i="1" a="1"/>
  <c r="L662" i="1" s="1"/>
  <c r="L663" i="1" a="1"/>
  <c r="L663" i="1" s="1"/>
  <c r="L664" i="1" a="1"/>
  <c r="L664" i="1" s="1"/>
  <c r="L665" i="1" a="1"/>
  <c r="L665" i="1" s="1"/>
  <c r="L666" i="1" a="1"/>
  <c r="L666" i="1" s="1"/>
  <c r="L667" i="1" a="1"/>
  <c r="L667" i="1" s="1"/>
  <c r="L668" i="1" a="1"/>
  <c r="L668" i="1" s="1"/>
  <c r="L669" i="1" a="1"/>
  <c r="L669" i="1" s="1"/>
  <c r="L670" i="1" a="1"/>
  <c r="L670" i="1" s="1"/>
  <c r="L671" i="1" a="1"/>
  <c r="L671" i="1" s="1"/>
  <c r="L672" i="1" a="1"/>
  <c r="L672" i="1" s="1"/>
  <c r="L673" i="1" a="1"/>
  <c r="L673" i="1" s="1"/>
  <c r="L674" i="1" a="1"/>
  <c r="L674" i="1" s="1"/>
  <c r="L675" i="1" a="1"/>
  <c r="L675" i="1" s="1"/>
  <c r="L676" i="1" a="1"/>
  <c r="L676" i="1" s="1"/>
  <c r="L677" i="1" a="1"/>
  <c r="L677" i="1" s="1"/>
  <c r="L678" i="1" a="1"/>
  <c r="L678" i="1" s="1"/>
  <c r="L679" i="1" a="1"/>
  <c r="L679" i="1" s="1"/>
  <c r="L680" i="1" a="1"/>
  <c r="L680" i="1" s="1"/>
  <c r="L681" i="1" a="1"/>
  <c r="L681" i="1" s="1"/>
  <c r="L682" i="1" a="1"/>
  <c r="L682" i="1" s="1"/>
  <c r="L683" i="1" a="1"/>
  <c r="L683" i="1" s="1"/>
  <c r="L684" i="1" a="1"/>
  <c r="L684" i="1" s="1"/>
  <c r="L685" i="1" a="1"/>
  <c r="L685" i="1" s="1"/>
  <c r="L686" i="1" a="1"/>
  <c r="L686" i="1" s="1"/>
  <c r="L687" i="1" a="1"/>
  <c r="L687" i="1" s="1"/>
  <c r="L688" i="1" a="1"/>
  <c r="L688" i="1" s="1"/>
  <c r="L689" i="1" a="1"/>
  <c r="L689" i="1" s="1"/>
  <c r="L690" i="1" a="1"/>
  <c r="L690" i="1" s="1"/>
  <c r="L691" i="1" a="1"/>
  <c r="L691" i="1"/>
  <c r="L692" i="1" a="1"/>
  <c r="L692" i="1" s="1"/>
  <c r="L693" i="1" a="1"/>
  <c r="L693" i="1" s="1"/>
  <c r="L694" i="1" a="1"/>
  <c r="L694" i="1" s="1"/>
  <c r="L695" i="1" a="1"/>
  <c r="L695" i="1" s="1"/>
  <c r="L696" i="1" a="1"/>
  <c r="L696" i="1" s="1"/>
  <c r="L697" i="1" a="1"/>
  <c r="L697" i="1" s="1"/>
  <c r="L698" i="1" a="1"/>
  <c r="L698" i="1" s="1"/>
  <c r="L699" i="1" a="1"/>
  <c r="L699" i="1" s="1"/>
  <c r="L700" i="1" a="1"/>
  <c r="L700" i="1" s="1"/>
  <c r="L701" i="1" a="1"/>
  <c r="L701" i="1" s="1"/>
  <c r="L702" i="1" a="1"/>
  <c r="L702" i="1" s="1"/>
  <c r="L703" i="1" a="1"/>
  <c r="L703" i="1" s="1"/>
  <c r="L704" i="1" a="1"/>
  <c r="L704" i="1" s="1"/>
  <c r="L705" i="1" a="1"/>
  <c r="L705" i="1" s="1"/>
  <c r="L706" i="1" a="1"/>
  <c r="L706" i="1" s="1"/>
  <c r="L707" i="1" a="1"/>
  <c r="L707" i="1"/>
  <c r="L708" i="1" a="1"/>
  <c r="L708" i="1" s="1"/>
  <c r="L709" i="1" a="1"/>
  <c r="L709" i="1" s="1"/>
  <c r="L710" i="1" a="1"/>
  <c r="L710" i="1" s="1"/>
  <c r="L711" i="1" a="1"/>
  <c r="L711" i="1" s="1"/>
  <c r="L712" i="1" a="1"/>
  <c r="L712" i="1" s="1"/>
  <c r="L713" i="1" a="1"/>
  <c r="L713" i="1" s="1"/>
  <c r="L714" i="1" a="1"/>
  <c r="L714" i="1" s="1"/>
  <c r="L715" i="1" a="1"/>
  <c r="L715" i="1" s="1"/>
  <c r="L716" i="1" a="1"/>
  <c r="L716" i="1" s="1"/>
  <c r="L717" i="1" a="1"/>
  <c r="L717" i="1" s="1"/>
  <c r="L718" i="1" a="1"/>
  <c r="L718" i="1" s="1"/>
  <c r="L719" i="1" a="1"/>
  <c r="L719" i="1" s="1"/>
  <c r="L720" i="1" a="1"/>
  <c r="L720" i="1" s="1"/>
  <c r="L721" i="1" a="1"/>
  <c r="L721" i="1" s="1"/>
  <c r="L722" i="1" a="1"/>
  <c r="L722" i="1" s="1"/>
  <c r="L723" i="1" a="1"/>
  <c r="L723" i="1" s="1"/>
  <c r="L724" i="1" a="1"/>
  <c r="L724" i="1" s="1"/>
  <c r="L725" i="1" a="1"/>
  <c r="L725" i="1" s="1"/>
  <c r="L726" i="1" a="1"/>
  <c r="L726" i="1" s="1"/>
  <c r="L727" i="1" a="1"/>
  <c r="L727" i="1" s="1"/>
  <c r="L728" i="1" a="1"/>
  <c r="L728" i="1" s="1"/>
  <c r="L729" i="1" a="1"/>
  <c r="L729" i="1" s="1"/>
  <c r="L730" i="1" a="1"/>
  <c r="L730" i="1" s="1"/>
  <c r="L731" i="1" a="1"/>
  <c r="L731" i="1" s="1"/>
  <c r="L732" i="1" a="1"/>
  <c r="L732" i="1" s="1"/>
  <c r="L733" i="1" a="1"/>
  <c r="L733" i="1" s="1"/>
  <c r="L734" i="1" a="1"/>
  <c r="L734" i="1" s="1"/>
  <c r="L735" i="1" a="1"/>
  <c r="L735" i="1" s="1"/>
  <c r="L736" i="1" a="1"/>
  <c r="L736" i="1" s="1"/>
  <c r="L737" i="1" a="1"/>
  <c r="L737" i="1" s="1"/>
  <c r="L738" i="1" a="1"/>
  <c r="L738" i="1" s="1"/>
  <c r="L739" i="1" a="1"/>
  <c r="L739" i="1"/>
  <c r="L740" i="1" a="1"/>
  <c r="L740" i="1" s="1"/>
  <c r="L741" i="1" a="1"/>
  <c r="L741" i="1" s="1"/>
  <c r="L742" i="1" a="1"/>
  <c r="L742" i="1" s="1"/>
  <c r="L743" i="1" a="1"/>
  <c r="L743" i="1" s="1"/>
  <c r="L744" i="1" a="1"/>
  <c r="L744" i="1" s="1"/>
  <c r="L745" i="1" a="1"/>
  <c r="L745" i="1" s="1"/>
  <c r="L746" i="1" a="1"/>
  <c r="L746" i="1" s="1"/>
  <c r="L747" i="1" a="1"/>
  <c r="L747" i="1"/>
  <c r="L748" i="1" a="1"/>
  <c r="L748" i="1" s="1"/>
  <c r="L749" i="1" a="1"/>
  <c r="L749" i="1" s="1"/>
  <c r="L750" i="1" a="1"/>
  <c r="L750" i="1" s="1"/>
  <c r="L751" i="1" a="1"/>
  <c r="L751" i="1" s="1"/>
  <c r="L752" i="1" a="1"/>
  <c r="L752" i="1" s="1"/>
  <c r="L753" i="1" a="1"/>
  <c r="L753" i="1" s="1"/>
  <c r="L754" i="1" a="1"/>
  <c r="L754" i="1" s="1"/>
  <c r="L755" i="1" a="1"/>
  <c r="L755" i="1" s="1"/>
  <c r="L756" i="1" a="1"/>
  <c r="L756" i="1" s="1"/>
  <c r="L757" i="1" a="1"/>
  <c r="L757" i="1" s="1"/>
  <c r="L758" i="1" a="1"/>
  <c r="L758" i="1" s="1"/>
  <c r="L759" i="1" a="1"/>
  <c r="L759" i="1" s="1"/>
  <c r="L760" i="1" a="1"/>
  <c r="L760" i="1" s="1"/>
  <c r="L761" i="1" a="1"/>
  <c r="L761" i="1" s="1"/>
  <c r="L762" i="1" a="1"/>
  <c r="L762" i="1" s="1"/>
  <c r="L763" i="1" a="1"/>
  <c r="L763" i="1" s="1"/>
  <c r="L764" i="1" a="1"/>
  <c r="L764" i="1" s="1"/>
  <c r="L765" i="1" a="1"/>
  <c r="L765" i="1" s="1"/>
  <c r="L766" i="1" a="1"/>
  <c r="L766" i="1" s="1"/>
  <c r="L767" i="1" a="1"/>
  <c r="L767" i="1" s="1"/>
  <c r="L768" i="1" a="1"/>
  <c r="L768" i="1" s="1"/>
  <c r="L769" i="1" a="1"/>
  <c r="L769" i="1" s="1"/>
  <c r="L770" i="1" a="1"/>
  <c r="L770" i="1" s="1"/>
  <c r="L771" i="1" a="1"/>
  <c r="L771" i="1" s="1"/>
  <c r="L772" i="1" a="1"/>
  <c r="L772" i="1" s="1"/>
  <c r="L773" i="1" a="1"/>
  <c r="L773" i="1" s="1"/>
  <c r="L774" i="1" a="1"/>
  <c r="L774" i="1" s="1"/>
  <c r="L775" i="1" a="1"/>
  <c r="L775" i="1" s="1"/>
  <c r="L776" i="1" a="1"/>
  <c r="L776" i="1" s="1"/>
  <c r="L777" i="1" a="1"/>
  <c r="L777" i="1" s="1"/>
  <c r="L778" i="1" a="1"/>
  <c r="L778" i="1" s="1"/>
  <c r="L779" i="1" a="1"/>
  <c r="L779" i="1" s="1"/>
  <c r="L780" i="1" a="1"/>
  <c r="L780" i="1" s="1"/>
  <c r="L781" i="1" a="1"/>
  <c r="L781" i="1" s="1"/>
  <c r="L782" i="1" a="1"/>
  <c r="L782" i="1" s="1"/>
  <c r="L783" i="1" a="1"/>
  <c r="L783" i="1" s="1"/>
  <c r="L784" i="1" a="1"/>
  <c r="L784" i="1" s="1"/>
  <c r="L785" i="1" a="1"/>
  <c r="L785" i="1" s="1"/>
  <c r="L786" i="1" a="1"/>
  <c r="L786" i="1" s="1"/>
  <c r="L787" i="1" a="1"/>
  <c r="L787" i="1"/>
  <c r="L788" i="1" a="1"/>
  <c r="L788" i="1" s="1"/>
  <c r="L789" i="1" a="1"/>
  <c r="L789" i="1" s="1"/>
  <c r="L790" i="1" a="1"/>
  <c r="L790" i="1" s="1"/>
  <c r="L791" i="1" a="1"/>
  <c r="L791" i="1" s="1"/>
  <c r="L792" i="1" a="1"/>
  <c r="L792" i="1" s="1"/>
  <c r="L793" i="1" a="1"/>
  <c r="L793" i="1" s="1"/>
  <c r="L794" i="1" a="1"/>
  <c r="L794" i="1" s="1"/>
  <c r="L795" i="1" a="1"/>
  <c r="L795" i="1" s="1"/>
  <c r="L796" i="1" a="1"/>
  <c r="L796" i="1" s="1"/>
  <c r="L797" i="1" a="1"/>
  <c r="L797" i="1" s="1"/>
  <c r="L798" i="1" a="1"/>
  <c r="L798" i="1" s="1"/>
  <c r="L799" i="1" a="1"/>
  <c r="L799" i="1" s="1"/>
  <c r="L800" i="1" a="1"/>
  <c r="L800" i="1" s="1"/>
  <c r="L801" i="1" a="1"/>
  <c r="L801" i="1" s="1"/>
  <c r="L802" i="1" a="1"/>
  <c r="L802" i="1" s="1"/>
  <c r="L803" i="1" a="1"/>
  <c r="L803" i="1" s="1"/>
  <c r="L804" i="1" a="1"/>
  <c r="L804" i="1" s="1"/>
  <c r="L805" i="1" a="1"/>
  <c r="L805" i="1" s="1"/>
  <c r="L806" i="1" a="1"/>
  <c r="L806" i="1" s="1"/>
  <c r="L807" i="1" a="1"/>
  <c r="L807" i="1" s="1"/>
  <c r="L808" i="1" a="1"/>
  <c r="L808" i="1" s="1"/>
  <c r="L809" i="1" a="1"/>
  <c r="L809" i="1" s="1"/>
  <c r="L810" i="1" a="1"/>
  <c r="L810" i="1" s="1"/>
  <c r="L811" i="1" a="1"/>
  <c r="L811" i="1"/>
  <c r="L812" i="1" a="1"/>
  <c r="L812" i="1" s="1"/>
  <c r="L813" i="1" a="1"/>
  <c r="L813" i="1" s="1"/>
  <c r="L814" i="1" a="1"/>
  <c r="L814" i="1" s="1"/>
  <c r="L815" i="1" a="1"/>
  <c r="L815" i="1" s="1"/>
  <c r="L816" i="1" a="1"/>
  <c r="L816" i="1" s="1"/>
  <c r="L817" i="1" a="1"/>
  <c r="L817" i="1" s="1"/>
  <c r="L818" i="1" a="1"/>
  <c r="L818" i="1" s="1"/>
  <c r="L819" i="1" a="1"/>
  <c r="L819" i="1" s="1"/>
  <c r="L820" i="1" a="1"/>
  <c r="L820" i="1" s="1"/>
  <c r="L821" i="1" a="1"/>
  <c r="L821" i="1" s="1"/>
  <c r="L822" i="1" a="1"/>
  <c r="L822" i="1" s="1"/>
  <c r="L823" i="1" a="1"/>
  <c r="L823" i="1" s="1"/>
  <c r="L824" i="1" a="1"/>
  <c r="L824" i="1" s="1"/>
  <c r="L825" i="1" a="1"/>
  <c r="L825" i="1" s="1"/>
  <c r="L826" i="1" a="1"/>
  <c r="L826" i="1" s="1"/>
  <c r="L827" i="1" a="1"/>
  <c r="L827" i="1" s="1"/>
  <c r="L828" i="1" a="1"/>
  <c r="L828" i="1" s="1"/>
  <c r="L829" i="1" a="1"/>
  <c r="L829" i="1" s="1"/>
  <c r="L830" i="1" a="1"/>
  <c r="L830" i="1" s="1"/>
  <c r="L831" i="1" a="1"/>
  <c r="L831" i="1" s="1"/>
  <c r="L832" i="1" a="1"/>
  <c r="L832" i="1" s="1"/>
  <c r="L833" i="1" a="1"/>
  <c r="L833" i="1" s="1"/>
  <c r="L834" i="1" a="1"/>
  <c r="L834" i="1" s="1"/>
  <c r="L835" i="1" a="1"/>
  <c r="L835" i="1" s="1"/>
  <c r="L836" i="1" a="1"/>
  <c r="L836" i="1" s="1"/>
  <c r="L837" i="1" a="1"/>
  <c r="L837" i="1" s="1"/>
  <c r="L838" i="1" a="1"/>
  <c r="L838" i="1" s="1"/>
  <c r="L839" i="1" a="1"/>
  <c r="L839" i="1" s="1"/>
  <c r="L840" i="1" a="1"/>
  <c r="L840" i="1" s="1"/>
  <c r="L841" i="1" a="1"/>
  <c r="L841" i="1" s="1"/>
  <c r="L842" i="1" a="1"/>
  <c r="L842" i="1" s="1"/>
  <c r="L843" i="1" a="1"/>
  <c r="L843" i="1" s="1"/>
  <c r="L844" i="1" a="1"/>
  <c r="L844" i="1" s="1"/>
  <c r="L845" i="1" a="1"/>
  <c r="L845" i="1" s="1"/>
  <c r="L846" i="1" a="1"/>
  <c r="L846" i="1" s="1"/>
  <c r="L847" i="1" a="1"/>
  <c r="L847" i="1" s="1"/>
  <c r="L848" i="1" a="1"/>
  <c r="L848" i="1" s="1"/>
  <c r="L849" i="1" a="1"/>
  <c r="L849" i="1" s="1"/>
  <c r="L850" i="1" a="1"/>
  <c r="L850" i="1" s="1"/>
  <c r="L851" i="1" a="1"/>
  <c r="L851" i="1"/>
  <c r="L852" i="1" a="1"/>
  <c r="L852" i="1" s="1"/>
  <c r="L853" i="1" a="1"/>
  <c r="L853" i="1" s="1"/>
  <c r="L854" i="1" a="1"/>
  <c r="L854" i="1" s="1"/>
  <c r="L855" i="1" a="1"/>
  <c r="L855" i="1" s="1"/>
  <c r="L856" i="1" a="1"/>
  <c r="L856" i="1" s="1"/>
  <c r="L857" i="1" a="1"/>
  <c r="L857" i="1" s="1"/>
  <c r="L858" i="1" a="1"/>
  <c r="L858" i="1" s="1"/>
  <c r="L859" i="1" a="1"/>
  <c r="L859" i="1" s="1"/>
  <c r="L860" i="1" a="1"/>
  <c r="L860" i="1" s="1"/>
  <c r="L861" i="1" a="1"/>
  <c r="L861" i="1" s="1"/>
  <c r="L862" i="1" a="1"/>
  <c r="L862" i="1" s="1"/>
  <c r="L863" i="1" a="1"/>
  <c r="L863" i="1" s="1"/>
  <c r="L864" i="1" a="1"/>
  <c r="L864" i="1" s="1"/>
  <c r="L865" i="1" a="1"/>
  <c r="L865" i="1" s="1"/>
  <c r="L866" i="1" a="1"/>
  <c r="L866" i="1" s="1"/>
  <c r="L867" i="1" a="1"/>
  <c r="L867" i="1" s="1"/>
  <c r="L868" i="1" a="1"/>
  <c r="L868" i="1" s="1"/>
  <c r="L869" i="1" a="1"/>
  <c r="L869" i="1" s="1"/>
  <c r="L870" i="1" a="1"/>
  <c r="L870" i="1" s="1"/>
  <c r="L871" i="1" a="1"/>
  <c r="L871" i="1" s="1"/>
  <c r="L872" i="1" a="1"/>
  <c r="L872" i="1" s="1"/>
  <c r="L873" i="1" a="1"/>
  <c r="L873" i="1" s="1"/>
  <c r="L874" i="1" a="1"/>
  <c r="L874" i="1" s="1"/>
  <c r="L875" i="1" a="1"/>
  <c r="L875" i="1"/>
  <c r="L876" i="1" a="1"/>
  <c r="L876" i="1" s="1"/>
  <c r="L877" i="1" a="1"/>
  <c r="L877" i="1" s="1"/>
  <c r="L878" i="1" a="1"/>
  <c r="L878" i="1" s="1"/>
  <c r="L879" i="1" a="1"/>
  <c r="L879" i="1" s="1"/>
  <c r="L880" i="1" a="1"/>
  <c r="L880" i="1" s="1"/>
  <c r="L881" i="1" a="1"/>
  <c r="L881" i="1" s="1"/>
  <c r="L882" i="1" a="1"/>
  <c r="L882" i="1" s="1"/>
  <c r="L883" i="1" a="1"/>
  <c r="L883" i="1" s="1"/>
  <c r="L884" i="1" a="1"/>
  <c r="L884" i="1" s="1"/>
  <c r="L885" i="1" a="1"/>
  <c r="L885" i="1" s="1"/>
  <c r="L886" i="1" a="1"/>
  <c r="L886" i="1" s="1"/>
  <c r="L887" i="1" a="1"/>
  <c r="L887" i="1" s="1"/>
  <c r="L888" i="1" a="1"/>
  <c r="L888" i="1" s="1"/>
  <c r="L889" i="1" a="1"/>
  <c r="L889" i="1" s="1"/>
  <c r="L890" i="1" a="1"/>
  <c r="L890" i="1" s="1"/>
  <c r="L891" i="1" a="1"/>
  <c r="L891" i="1" s="1"/>
  <c r="L892" i="1" a="1"/>
  <c r="L892" i="1" s="1"/>
  <c r="L893" i="1" a="1"/>
  <c r="L893" i="1" s="1"/>
  <c r="L894" i="1" a="1"/>
  <c r="L894" i="1" s="1"/>
  <c r="L895" i="1" a="1"/>
  <c r="L895" i="1" s="1"/>
  <c r="L896" i="1" a="1"/>
  <c r="L896" i="1" s="1"/>
  <c r="L897" i="1" a="1"/>
  <c r="L897" i="1" s="1"/>
  <c r="L898" i="1" a="1"/>
  <c r="L898" i="1" s="1"/>
  <c r="L899" i="1" a="1"/>
  <c r="L899" i="1" s="1"/>
  <c r="L900" i="1" a="1"/>
  <c r="L900" i="1" s="1"/>
  <c r="L901" i="1" a="1"/>
  <c r="L901" i="1" s="1"/>
  <c r="L902" i="1" a="1"/>
  <c r="L902" i="1" s="1"/>
  <c r="L903" i="1" a="1"/>
  <c r="L903" i="1" s="1"/>
  <c r="L904" i="1" a="1"/>
  <c r="L904" i="1" s="1"/>
  <c r="L905" i="1" a="1"/>
  <c r="L905" i="1" s="1"/>
  <c r="L906" i="1" a="1"/>
  <c r="L906" i="1" s="1"/>
  <c r="L907" i="1" a="1"/>
  <c r="L907" i="1" s="1"/>
  <c r="L908" i="1" a="1"/>
  <c r="L908" i="1" s="1"/>
  <c r="L909" i="1" a="1"/>
  <c r="L909" i="1" s="1"/>
  <c r="L910" i="1" a="1"/>
  <c r="L910" i="1" s="1"/>
  <c r="L911" i="1" a="1"/>
  <c r="L911" i="1" s="1"/>
  <c r="L912" i="1" a="1"/>
  <c r="L912" i="1" s="1"/>
  <c r="L913" i="1" a="1"/>
  <c r="L913" i="1" s="1"/>
  <c r="L914" i="1" a="1"/>
  <c r="L914" i="1" s="1"/>
  <c r="L915" i="1" a="1"/>
  <c r="L915" i="1"/>
  <c r="L916" i="1" a="1"/>
  <c r="L916" i="1" s="1"/>
  <c r="L917" i="1" a="1"/>
  <c r="L917" i="1" s="1"/>
  <c r="L918" i="1" a="1"/>
  <c r="L918" i="1" s="1"/>
  <c r="L919" i="1" a="1"/>
  <c r="L919" i="1" s="1"/>
  <c r="L920" i="1" a="1"/>
  <c r="L920" i="1" s="1"/>
  <c r="L921" i="1" a="1"/>
  <c r="L921" i="1" s="1"/>
  <c r="L922" i="1" a="1"/>
  <c r="L922" i="1" s="1"/>
  <c r="L923" i="1" a="1"/>
  <c r="L923" i="1" s="1"/>
  <c r="L924" i="1" a="1"/>
  <c r="L924" i="1" s="1"/>
  <c r="L925" i="1" a="1"/>
  <c r="L925" i="1" s="1"/>
  <c r="L926" i="1" a="1"/>
  <c r="L926" i="1" s="1"/>
  <c r="L927" i="1" a="1"/>
  <c r="L927" i="1" s="1"/>
  <c r="L928" i="1" a="1"/>
  <c r="L928" i="1" s="1"/>
  <c r="L929" i="1" a="1"/>
  <c r="L929" i="1" s="1"/>
  <c r="L930" i="1" a="1"/>
  <c r="L930" i="1" s="1"/>
  <c r="L931" i="1" a="1"/>
  <c r="L931" i="1" s="1"/>
  <c r="L932" i="1" a="1"/>
  <c r="L932" i="1" s="1"/>
  <c r="L933" i="1" a="1"/>
  <c r="L933" i="1" s="1"/>
  <c r="L934" i="1" a="1"/>
  <c r="L934" i="1" s="1"/>
  <c r="L935" i="1" a="1"/>
  <c r="L935" i="1" s="1"/>
  <c r="L936" i="1" a="1"/>
  <c r="L936" i="1" s="1"/>
  <c r="L937" i="1" a="1"/>
  <c r="L937" i="1" s="1"/>
  <c r="L938" i="1" a="1"/>
  <c r="L938" i="1" s="1"/>
  <c r="L939" i="1" a="1"/>
  <c r="L939" i="1"/>
  <c r="L940" i="1" a="1"/>
  <c r="L940" i="1" s="1"/>
  <c r="L941" i="1" a="1"/>
  <c r="L941" i="1" s="1"/>
  <c r="L942" i="1" a="1"/>
  <c r="L942" i="1" s="1"/>
  <c r="L943" i="1" a="1"/>
  <c r="L943" i="1" s="1"/>
  <c r="L944" i="1" a="1"/>
  <c r="L944" i="1" s="1"/>
  <c r="L945" i="1" a="1"/>
  <c r="L945" i="1" s="1"/>
  <c r="L946" i="1" a="1"/>
  <c r="L946" i="1" s="1"/>
  <c r="L947" i="1" a="1"/>
  <c r="L947" i="1" s="1"/>
  <c r="L948" i="1" a="1"/>
  <c r="L948" i="1" s="1"/>
  <c r="L949" i="1" a="1"/>
  <c r="L949" i="1" s="1"/>
  <c r="L950" i="1" a="1"/>
  <c r="L950" i="1" s="1"/>
  <c r="L951" i="1" a="1"/>
  <c r="L951" i="1" s="1"/>
  <c r="L952" i="1" a="1"/>
  <c r="L952" i="1" s="1"/>
  <c r="L953" i="1" a="1"/>
  <c r="L953" i="1" s="1"/>
  <c r="L954" i="1" a="1"/>
  <c r="L954" i="1" s="1"/>
  <c r="L955" i="1" a="1"/>
  <c r="L955" i="1" s="1"/>
  <c r="L956" i="1" a="1"/>
  <c r="L956" i="1" s="1"/>
  <c r="L957" i="1" a="1"/>
  <c r="L957" i="1" s="1"/>
  <c r="L958" i="1" a="1"/>
  <c r="L958" i="1" s="1"/>
  <c r="L959" i="1" a="1"/>
  <c r="L959" i="1" s="1"/>
  <c r="L960" i="1" a="1"/>
  <c r="L960" i="1" s="1"/>
  <c r="L961" i="1" a="1"/>
  <c r="L961" i="1" s="1"/>
  <c r="L962" i="1" a="1"/>
  <c r="L962" i="1" s="1"/>
  <c r="L963" i="1" a="1"/>
  <c r="L963" i="1" s="1"/>
  <c r="L964" i="1" a="1"/>
  <c r="L964" i="1" s="1"/>
  <c r="L965" i="1" a="1"/>
  <c r="L965" i="1" s="1"/>
  <c r="L966" i="1" a="1"/>
  <c r="L966" i="1" s="1"/>
  <c r="L967" i="1" a="1"/>
  <c r="L967" i="1" s="1"/>
  <c r="L968" i="1" a="1"/>
  <c r="L968" i="1" s="1"/>
  <c r="L969" i="1" a="1"/>
  <c r="L969" i="1" s="1"/>
  <c r="L970" i="1" a="1"/>
  <c r="L970" i="1" s="1"/>
  <c r="L971" i="1" a="1"/>
  <c r="L971" i="1" s="1"/>
  <c r="L972" i="1" a="1"/>
  <c r="L972" i="1" s="1"/>
  <c r="L973" i="1" a="1"/>
  <c r="L973" i="1" s="1"/>
  <c r="L974" i="1" a="1"/>
  <c r="L974" i="1" s="1"/>
  <c r="L975" i="1" a="1"/>
  <c r="L975" i="1" s="1"/>
  <c r="L976" i="1" a="1"/>
  <c r="L976" i="1" s="1"/>
  <c r="L977" i="1" a="1"/>
  <c r="L977" i="1" s="1"/>
  <c r="L978" i="1" a="1"/>
  <c r="L978" i="1" s="1"/>
  <c r="L979" i="1" a="1"/>
  <c r="L979" i="1"/>
  <c r="L980" i="1" a="1"/>
  <c r="L980" i="1" s="1"/>
  <c r="L981" i="1" a="1"/>
  <c r="L981" i="1" s="1"/>
  <c r="L982" i="1" a="1"/>
  <c r="L982" i="1" s="1"/>
  <c r="L983" i="1" a="1"/>
  <c r="L983" i="1" s="1"/>
  <c r="L984" i="1" a="1"/>
  <c r="L984" i="1" s="1"/>
  <c r="L985" i="1" a="1"/>
  <c r="L985" i="1" s="1"/>
  <c r="L986" i="1" a="1"/>
  <c r="L986" i="1" s="1"/>
  <c r="L987" i="1" a="1"/>
  <c r="L987" i="1" s="1"/>
  <c r="L988" i="1" a="1"/>
  <c r="L988" i="1" s="1"/>
  <c r="L989" i="1" a="1"/>
  <c r="L989" i="1" s="1"/>
  <c r="L990" i="1" a="1"/>
  <c r="L990" i="1" s="1"/>
  <c r="L991" i="1" a="1"/>
  <c r="L991" i="1" s="1"/>
  <c r="L992" i="1" a="1"/>
  <c r="L992" i="1" s="1"/>
  <c r="L993" i="1" a="1"/>
  <c r="L993" i="1" s="1"/>
  <c r="L994" i="1" a="1"/>
  <c r="L994" i="1" s="1"/>
  <c r="L995" i="1" a="1"/>
  <c r="L995" i="1" s="1"/>
  <c r="L996" i="1" a="1"/>
  <c r="L996" i="1" s="1"/>
  <c r="L997" i="1" a="1"/>
  <c r="L997" i="1" s="1"/>
  <c r="L998" i="1" a="1"/>
  <c r="L998" i="1" s="1"/>
  <c r="L999" i="1" a="1"/>
  <c r="L999" i="1" s="1"/>
  <c r="L1000" i="1" a="1"/>
  <c r="L1000" i="1" s="1"/>
  <c r="L1001" i="1" a="1"/>
  <c r="L1001" i="1" s="1"/>
  <c r="L2" i="1" a="1"/>
  <c r="L2" i="1" s="1"/>
  <c r="K1001" i="1"/>
  <c r="K1000" i="1"/>
  <c r="K999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92D58E-4ADD-422F-8889-15EF4327BB87}" keepAlive="1" name="Query - Table13_1" description="Connection to the 'Table13_1' query in the workbook." type="5" refreshedVersion="8" background="1" saveData="1">
    <dbPr connection="Provider=Microsoft.Mashup.OleDb.1;Data Source=$Workbook$;Location=Table13_1;Extended Properties=&quot;&quot;" command="SELECT * FROM [Table13_1]"/>
  </connection>
  <connection id="2" xr16:uid="{B6C1260D-992F-4002-8FB1-35555BB5375B}" keepAlive="1" name="Query - Table13_1 (2)" description="Connection to the 'Table13_1 (2)' query in the workbook." type="5" refreshedVersion="8" background="1" saveData="1">
    <dbPr connection="Provider=Microsoft.Mashup.OleDb.1;Data Source=$Workbook$;Location=&quot;Table13_1 (2)&quot;;Extended Properties=&quot;&quot;" command="SELECT * FROM [Table13_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<sst xmlns="http://schemas.openxmlformats.org/spreadsheetml/2006/main" count="32562" uniqueCount="76">
  <si>
    <t>Name</t>
  </si>
  <si>
    <t>Age</t>
  </si>
  <si>
    <t>Salary</t>
  </si>
  <si>
    <t>Gender</t>
  </si>
  <si>
    <t>Department</t>
  </si>
  <si>
    <t>Position</t>
  </si>
  <si>
    <t>Joining Date</t>
  </si>
  <si>
    <t>Performance Score</t>
  </si>
  <si>
    <t>Email</t>
  </si>
  <si>
    <t>Phone Number</t>
  </si>
  <si>
    <t>No. of year of experience</t>
  </si>
  <si>
    <t xml:space="preserve"> Grace </t>
  </si>
  <si>
    <t>Male</t>
  </si>
  <si>
    <t>HR</t>
  </si>
  <si>
    <t>Manager</t>
  </si>
  <si>
    <t>D</t>
  </si>
  <si>
    <t>email@example.com</t>
  </si>
  <si>
    <t>"Not Available"</t>
  </si>
  <si>
    <t xml:space="preserve"> David </t>
  </si>
  <si>
    <t>Female</t>
  </si>
  <si>
    <t>Finance</t>
  </si>
  <si>
    <t>Director</t>
  </si>
  <si>
    <t>F</t>
  </si>
  <si>
    <t>user@domain.com</t>
  </si>
  <si>
    <t>123-456-7890</t>
  </si>
  <si>
    <t xml:space="preserve"> Hannah </t>
  </si>
  <si>
    <t>Sales</t>
  </si>
  <si>
    <t>C</t>
  </si>
  <si>
    <t>098-765-4321</t>
  </si>
  <si>
    <t xml:space="preserve"> Eve </t>
  </si>
  <si>
    <t>IT</t>
  </si>
  <si>
    <t>A</t>
  </si>
  <si>
    <t>name@company.org</t>
  </si>
  <si>
    <t xml:space="preserve"> Jack </t>
  </si>
  <si>
    <t>Other</t>
  </si>
  <si>
    <t>Marketing</t>
  </si>
  <si>
    <t xml:space="preserve"> Charlie </t>
  </si>
  <si>
    <t>Clerk</t>
  </si>
  <si>
    <t>B</t>
  </si>
  <si>
    <t>Unknown</t>
  </si>
  <si>
    <t>Assistant</t>
  </si>
  <si>
    <t>Analyst</t>
  </si>
  <si>
    <t>555-555-5555</t>
  </si>
  <si>
    <t xml:space="preserve"> Frank </t>
  </si>
  <si>
    <t xml:space="preserve"> Bob </t>
  </si>
  <si>
    <t xml:space="preserve"> Alice </t>
  </si>
  <si>
    <t xml:space="preserve"> Ivy </t>
  </si>
  <si>
    <t>Performance rating</t>
  </si>
  <si>
    <t>proper()</t>
  </si>
  <si>
    <t xml:space="preserve"> grace </t>
  </si>
  <si>
    <t>April 5, 2018</t>
  </si>
  <si>
    <t>nan</t>
  </si>
  <si>
    <t xml:space="preserve"> david </t>
  </si>
  <si>
    <t xml:space="preserve"> hannah </t>
  </si>
  <si>
    <t>SIXTY THOUSAND</t>
  </si>
  <si>
    <t>01/15/2020</t>
  </si>
  <si>
    <t xml:space="preserve"> eve </t>
  </si>
  <si>
    <t xml:space="preserve"> </t>
  </si>
  <si>
    <t xml:space="preserve"> NAN </t>
  </si>
  <si>
    <t xml:space="preserve"> jack </t>
  </si>
  <si>
    <t>03-25-2019</t>
  </si>
  <si>
    <t xml:space="preserve"> charlie </t>
  </si>
  <si>
    <t>2019.12.01</t>
  </si>
  <si>
    <t>thirty</t>
  </si>
  <si>
    <t xml:space="preserve"> frank </t>
  </si>
  <si>
    <t xml:space="preserve"> bob </t>
  </si>
  <si>
    <t xml:space="preserve"> alice </t>
  </si>
  <si>
    <t xml:space="preserve"> ivy </t>
  </si>
  <si>
    <t>Salary_1</t>
  </si>
  <si>
    <t>April 5  2018</t>
  </si>
  <si>
    <t>20 02 2020</t>
  </si>
  <si>
    <t>03 25 2019</t>
  </si>
  <si>
    <t>Joining</t>
  </si>
  <si>
    <t>Date</t>
  </si>
  <si>
    <t>April</t>
  </si>
  <si>
    <t>2019 12 01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</si>
</sst>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dd\/mm\/yyyy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  <xf numFmtId="165" fontId="0" fillId="0" borderId="0" xfId="0" applyNumberFormat="1"/>
    <xf numFmtId="0" fontId="0" fillId="3" borderId="0" xfId="0" applyFill="1"/>
    <xf numFmtId="0" fontId="0" fillId="3" borderId="0" xfId="0" applyNumberFormat="1" applyFill="1"/>
    <xf numFmtId="0" fontId="0" fillId="4" borderId="0" xfId="0" applyFill="1"/>
    <xf numFmtId="14" fontId="0" fillId="2" borderId="1" xfId="0" applyNumberFormat="1" applyFont="1" applyFill="1" applyBorder="1"/>
    <xf numFmtId="14" fontId="0" fillId="0" borderId="1" xfId="0" applyNumberFormat="1" applyFont="1" applyBorder="1"/>
    <xf numFmtId="15" fontId="0" fillId="0" borderId="0" xfId="0" applyNumberFormat="1"/>
    <xf numFmtId="15" fontId="0" fillId="3" borderId="0" xfId="0" applyNumberFormat="1" applyFill="1"/>
    <xf numFmtId="15" fontId="0" fillId="4" borderId="0" xfId="0" applyNumberFormat="1" applyFill="1"/>
  </cellXfs>
  <cellStyles count="1">
    <cellStyle name="Normal" xfId="0" builtinId="0"/>
  </cellStyles>
  <dxfs count="2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₹&quot;\ #,##0.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numFmt numFmtId="20" formatCode="dd/mmm/yy"/>
      <fill>
        <patternFill patternType="solid">
          <fgColor indexed="64"/>
          <bgColor theme="5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0" formatCode="dd/mmm/yy"/>
      <fill>
        <patternFill patternType="solid">
          <fgColor indexed="64"/>
          <bgColor theme="5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₹&quot;\ #,##0.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</dxf>
    <dxf>
      <fill>
        <patternFill patternType="solid">
          <fgColor indexed="64"/>
          <bgColor theme="5" tint="0.59999389629810485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4FCB07A-3E09-4F66-B45E-66AB45C38AAF}" autoFormatId="16" applyNumberFormats="0" applyBorderFormats="0" applyFontFormats="0" applyPatternFormats="0" applyAlignmentFormats="0" applyWidthHeightFormats="0">
  <queryTableRefresh nextId="19" unboundColumnsRight="2">
    <queryTableFields count="12">
      <queryTableField id="1" name="O_Name" tableColumnId="1"/>
      <queryTableField id="2" name="Age" tableColumnId="2"/>
      <queryTableField id="3" name="Salary" tableColumnId="3"/>
      <queryTableField id="4" name="Gender" tableColumnId="4"/>
      <queryTableField id="5" name="Department" tableColumnId="5"/>
      <queryTableField id="6" name="Position" tableColumnId="6"/>
      <queryTableField id="7" name="Joining Date" tableColumnId="7"/>
      <queryTableField id="8" name="Performance Score" tableColumnId="8"/>
      <queryTableField id="9" name="Email" tableColumnId="9"/>
      <queryTableField id="10" name="Phone Number" tableColumnId="10"/>
      <queryTableField id="15" dataBound="0" tableColumnId="15"/>
      <queryTableField id="16" dataBound="0" tableColumnId="11"/>
    </queryTableFields>
    <queryTableDeletedFields count="1">
      <deletedField name="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BCF0C71-9A33-4E4F-B4E8-6BF36E8E0046}" autoFormatId="16" applyNumberFormats="0" applyBorderFormats="0" applyFontFormats="0" applyPatternFormats="0" applyAlignmentFormats="0" applyWidthHeightFormats="0">
  <queryTableRefresh nextId="18" unboundColumnsRight="2">
    <queryTableFields count="12">
      <queryTableField id="1" name="O_Name" tableColumnId="1"/>
      <queryTableField id="2" name="Age" tableColumnId="2"/>
      <queryTableField id="3" name="Salary" tableColumnId="3"/>
      <queryTableField id="4" name="Gender" tableColumnId="4"/>
      <queryTableField id="5" name="Department" tableColumnId="5"/>
      <queryTableField id="6" name="Position" tableColumnId="6"/>
      <queryTableField id="7" name="Joining Date" tableColumnId="7"/>
      <queryTableField id="8" name="Performance Score" tableColumnId="8"/>
      <queryTableField id="17" dataBound="0" tableColumnId="9"/>
      <queryTableField id="10" name="Phone Number" tableColumnId="10"/>
      <queryTableField id="15" dataBound="0" tableColumnId="15"/>
      <queryTableField id="16" dataBound="0" tableColumnId="11"/>
    </queryTableFields>
    <queryTableDeletedFields count="2">
      <deletedField name="Name"/>
      <deletedField name="Email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8684A-7C8D-41CE-8D80-571E97A27D26}" name="Table4" displayName="Table4" ref="A1:J1001" totalsRowShown="0">
  <autoFilter ref="A1:J1001" xr:uid="{0578684A-7C8D-41CE-8D80-571E97A27D26}"/>
  <tableColumns count="10">
    <tableColumn id="1" xr3:uid="{D569D924-D99B-4380-9D5D-B28DCCDD43D1}" name="Name"/>
    <tableColumn id="2" xr3:uid="{D62F881F-D4F8-4B29-94ED-503019A5085E}" name="Age"/>
    <tableColumn id="3" xr3:uid="{D97C59E6-F5EC-4F06-8152-936F68D59169}" name="Salary"/>
    <tableColumn id="4" xr3:uid="{F58701E8-1EC1-4897-AA50-0C1EF1819494}" name="Gender"/>
    <tableColumn id="5" xr3:uid="{4A1A61D6-6C82-4941-80FF-DBEA22538E70}" name="Department"/>
    <tableColumn id="6" xr3:uid="{1FF4EEE5-73A1-4D07-98F5-162B93E1A7C6}" name="Position"/>
    <tableColumn id="7" xr3:uid="{A0339874-EF39-40CD-B633-55BAFB54101E}" name="Joining Date" dataDxfId="26"/>
    <tableColumn id="8" xr3:uid="{53E63878-A8CE-4D91-8622-457C0E4F47AD}" name="Performance Score"/>
    <tableColumn id="9" xr3:uid="{92F2733E-3723-44CF-B1DA-2F334FFCE115}" name="Email"/>
    <tableColumn id="10" xr3:uid="{A40ACB1A-021E-4DAA-AB4E-D86098982B1C}" name="Phone 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D85434-0BA9-4C0F-8D3F-C40405BB04EB}" name="Table5" displayName="Table5" ref="A1:M1001" totalsRowShown="0">
  <autoFilter ref="A1:M1001" xr:uid="{F8D85434-0BA9-4C0F-8D3F-C40405BB04EB}"/>
  <tableColumns count="13">
    <tableColumn id="1" xr3:uid="{16240856-41AE-4E23-98F4-B26470A2596A}" name="Name"/>
    <tableColumn id="2" xr3:uid="{710E324E-1159-425E-9CA6-7DD127B44A7A}" name="Age"/>
    <tableColumn id="3" xr3:uid="{1EA7876A-B39D-4545-AFC6-A88A15F67936}" name="Salary"/>
    <tableColumn id="4" xr3:uid="{813196A8-1FDB-4914-BD47-E22523A93868}" name="Gender"/>
    <tableColumn id="5" xr3:uid="{33C43A69-4F76-4C93-9ED6-374399FC794D}" name="Department"/>
    <tableColumn id="6" xr3:uid="{AFE3E178-6BC6-461E-9E7A-84CFDCF5F17C}" name="Position"/>
    <tableColumn id="7" xr3:uid="{85CDF265-E6A8-4E7A-B0A8-760838ACE82C}" name="Joining Date" dataDxfId="25"/>
    <tableColumn id="8" xr3:uid="{E4966E3B-699D-4E0A-8323-9FE7CA413D04}" name="Performance Score"/>
    <tableColumn id="9" xr3:uid="{A9D752F7-F39B-4751-BEF6-A52DD3F5D13D}" name="Email"/>
    <tableColumn id="10" xr3:uid="{35C63670-BC1C-4676-9562-BAA164D1AD4F}" name="Phone Number"/>
    <tableColumn id="11" xr3:uid="{3F82FA11-972A-47D9-8A72-2F453BD13DE6}" name="proper()" dataDxfId="24"/>
    <tableColumn id="12" xr3:uid="{B39D3E35-2C32-47AF-87CE-35F03BED992A}" name="Performance rating" dataDxfId="23">
      <calculatedColumnFormula array="1">_xlfn.SWITCH(Table13_2[[#This Row],[Performance Score]],"A",6,"B",5,"C",4,"D",3,"E",2,"F",1)</calculatedColumnFormula>
    </tableColumn>
    <tableColumn id="13" xr3:uid="{9BFECA2C-C335-4B27-80E8-77271AA3E77C}" name="Salary_1" dataDxfId="22">
      <calculatedColumnFormula>IF(C2=0,AVERAGEIF($E$2:$E$1001,E2,$C$2:$C$1001),C2)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BE8F65-A1EF-41F2-AE7C-7D8A935B7237}" name="Table13_24" displayName="Table13_24" ref="A1:L1001" tableType="queryTable">
  <autoFilter ref="A1:L1001" xr:uid="{DFBE8F65-A1EF-41F2-AE7C-7D8A935B7237}"/>
  <tableColumns count="12">
    <tableColumn id="1" xr3:uid="{B54C4640-31FF-4573-9CB5-38EEE052EAD6}" uniqueName="1" name="Name" totalsRowLabel="Total" queryTableFieldId="1" dataDxfId="21"/>
    <tableColumn id="2" xr3:uid="{4EC372D0-B73B-4DCE-B631-A5EEDCBBEDC4}" uniqueName="2" name="Age" queryTableFieldId="2"/>
    <tableColumn id="3" xr3:uid="{FDB72512-78D1-42A4-A925-DCDA6CF09405}" uniqueName="3" name="Salary" queryTableFieldId="3" dataDxfId="20" totalsRowDxfId="19"/>
    <tableColumn id="4" xr3:uid="{EF204BFA-CC0E-4377-B89D-8EE49B808A69}" uniqueName="4" name="Gender" queryTableFieldId="4" dataDxfId="18"/>
    <tableColumn id="5" xr3:uid="{72C50A8E-DEB8-4F40-B8C6-41274065E5E4}" uniqueName="5" name="Department" queryTableFieldId="5" dataDxfId="17"/>
    <tableColumn id="6" xr3:uid="{F6F859B1-54E4-4302-A010-3AD347084335}" uniqueName="6" name="Position" queryTableFieldId="6" dataDxfId="16"/>
    <tableColumn id="7" xr3:uid="{DDC9C279-A203-4355-8E94-97E1DF7CC94D}" uniqueName="7" name="Joining Date" queryTableFieldId="7" dataDxfId="15"/>
    <tableColumn id="8" xr3:uid="{3CA4343F-2879-4610-BAFE-269A01A9ACE3}" uniqueName="8" name="Performance Score" queryTableFieldId="8" dataDxfId="14"/>
    <tableColumn id="9" xr3:uid="{D062A55A-E7F7-4006-92B3-747F9ECC239C}" uniqueName="9" name="Email" queryTableFieldId="9" dataDxfId="13"/>
    <tableColumn id="10" xr3:uid="{8C7328FE-F21B-4392-AE86-3DED7C805074}" uniqueName="10" name="Phone Number" queryTableFieldId="10" dataDxfId="12"/>
    <tableColumn id="15" xr3:uid="{2EA296E4-0C44-4247-B6A1-D6E5B10A6E40}" uniqueName="15" name="No. of year of experience" queryTableFieldId="15" dataDxfId="11">
      <calculatedColumnFormula>DATEDIF(G2,TODAY(),"Y") &amp; " Years"</calculatedColumnFormula>
    </tableColumn>
    <tableColumn id="11" xr3:uid="{3C071F48-1535-4FEA-A2CC-41A0E61C86A2}" uniqueName="11" name="Performance rating" totalsRowFunction="sum" queryTableFieldId="16" dataDxfId="10">
      <calculatedColumnFormula array="1">_xlfn.SWITCH(Table13_24[[#This Row],[Performance Score]],"A",6,"B",5,"C",4,"D",3,"E",2,"F",1)</calculatedColumnFormula>
    </tableColumn>
  </tableColumns>
  <tableStyleInfo name="TableStyleMedium7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F73BAA-48C8-4856-A236-CC3BFB43962A}" name="Table13_2" displayName="Table13_2" ref="A1:L1001" tableType="queryTable" totalsRowShown="0">
  <autoFilter ref="A1:L1001" xr:uid="{F9F73BAA-48C8-4856-A236-CC3BFB43962A}"/>
  <tableColumns count="12">
    <tableColumn id="1" xr3:uid="{7003A2E7-E796-4015-A9F7-4D1ACD7D2280}" uniqueName="1" name="Name" queryTableFieldId="1" dataDxfId="9"/>
    <tableColumn id="2" xr3:uid="{35C2EC7A-9944-4BC9-98C3-F21B3ACD8659}" uniqueName="2" name="Age" queryTableFieldId="2"/>
    <tableColumn id="3" xr3:uid="{A4A1232D-C5F5-410B-B597-519E18597057}" uniqueName="3" name="Salary" queryTableFieldId="3" dataDxfId="8"/>
    <tableColumn id="4" xr3:uid="{83B4B4DA-4684-4EDE-9791-B9650F2FB1A0}" uniqueName="4" name="Gender" queryTableFieldId="4" dataDxfId="7"/>
    <tableColumn id="5" xr3:uid="{63C77588-85E1-41C6-8DFC-5FD9B51CE8AD}" uniqueName="5" name="Department" queryTableFieldId="5" dataDxfId="6"/>
    <tableColumn id="6" xr3:uid="{2C66F4FE-63AF-4E11-97F9-A0F6C5348E8F}" uniqueName="6" name="Position" queryTableFieldId="6" dataDxfId="5"/>
    <tableColumn id="7" xr3:uid="{46C792C3-D641-4FD3-A484-414803640555}" uniqueName="7" name="Joining Date" queryTableFieldId="7" dataDxfId="4"/>
    <tableColumn id="8" xr3:uid="{76E6992E-975E-482F-9FBF-F36B1255BE73}" uniqueName="8" name="Performance Score" queryTableFieldId="8" dataDxfId="3"/>
    <tableColumn id="9" xr3:uid="{B275499F-D758-4D10-9A22-6DB02D866E55}" uniqueName="9" name="Email" queryTableFieldId="17"/>
    <tableColumn id="10" xr3:uid="{76E58AB9-027D-4CD7-9DF0-936826E1271A}" uniqueName="10" name="Phone Number" queryTableFieldId="10" dataDxfId="2"/>
    <tableColumn id="15" xr3:uid="{D431D627-EA45-4E74-9E55-FF649FE18663}" uniqueName="15" name="No. of year of experience" queryTableFieldId="15" dataDxfId="1">
      <calculatedColumnFormula>DATEDIF(G2,TODAY(),"Y") &amp; " Years"</calculatedColumnFormula>
    </tableColumn>
    <tableColumn id="11" xr3:uid="{DEE5F214-1E0C-4685-91AB-43EC1B15CEE2}" uniqueName="11" name="Performance rating" queryTableFieldId="16" dataDxfId="0">
      <calculatedColumnFormula array="1">_xlfn.SWITCH(Table13_2[[#This Row],[Performance Score]],"A",6,"B",5,"C",4,"D",3,"E",2,"F",1)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EDA6-8F9A-4E98-A6F1-0F3C831647E1}">
  <dimension ref="A1:J1001"/>
  <sheetViews>
    <sheetView workbookViewId="0">
      <selection activeCell="G8" sqref="G8"/>
    </sheetView>
  </sheetViews>
  <sheetFormatPr defaultRowHeight="14.4" x14ac:dyDescent="0.3"/>
  <cols>
    <col min="1" max="1" width="8.21875" bestFit="1" customWidth="1"/>
    <col min="2" max="2" width="6.21875" bestFit="1" customWidth="1"/>
    <col min="3" max="3" width="15.21875" bestFit="1" customWidth="1"/>
    <col min="4" max="4" width="9.33203125" bestFit="1" customWidth="1"/>
    <col min="5" max="5" width="13.21875" bestFit="1" customWidth="1"/>
    <col min="6" max="6" width="10" bestFit="1" customWidth="1"/>
    <col min="7" max="7" width="13.109375" style="2" bestFit="1" customWidth="1"/>
    <col min="8" max="8" width="19.109375" bestFit="1" customWidth="1"/>
    <col min="9" max="9" width="18.21875" bestFit="1" customWidth="1"/>
    <col min="10" max="10" width="15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49</v>
      </c>
      <c r="B2">
        <v>25</v>
      </c>
      <c r="C2">
        <v>50000</v>
      </c>
      <c r="D2" t="s">
        <v>12</v>
      </c>
      <c r="E2" t="s">
        <v>13</v>
      </c>
      <c r="F2" t="s">
        <v>14</v>
      </c>
      <c r="G2" s="2" t="s">
        <v>50</v>
      </c>
      <c r="H2" t="s">
        <v>15</v>
      </c>
      <c r="I2" t="s">
        <v>16</v>
      </c>
      <c r="J2" t="s">
        <v>51</v>
      </c>
    </row>
    <row r="3" spans="1:10" x14ac:dyDescent="0.3">
      <c r="A3" t="s">
        <v>52</v>
      </c>
      <c r="B3" t="s">
        <v>51</v>
      </c>
      <c r="C3">
        <v>65000</v>
      </c>
      <c r="D3" t="s">
        <v>19</v>
      </c>
      <c r="E3" t="s">
        <v>20</v>
      </c>
      <c r="F3" t="s">
        <v>21</v>
      </c>
      <c r="G3" s="2">
        <v>43881</v>
      </c>
      <c r="H3" t="s">
        <v>22</v>
      </c>
      <c r="I3" t="s">
        <v>23</v>
      </c>
      <c r="J3" t="s">
        <v>24</v>
      </c>
    </row>
    <row r="4" spans="1:10" x14ac:dyDescent="0.3">
      <c r="A4" t="s">
        <v>53</v>
      </c>
      <c r="B4">
        <v>35</v>
      </c>
      <c r="C4" t="s">
        <v>54</v>
      </c>
      <c r="D4" t="s">
        <v>19</v>
      </c>
      <c r="E4" t="s">
        <v>26</v>
      </c>
      <c r="F4" t="s">
        <v>21</v>
      </c>
      <c r="G4" s="2" t="s">
        <v>55</v>
      </c>
      <c r="H4" t="s">
        <v>27</v>
      </c>
      <c r="I4" t="s">
        <v>16</v>
      </c>
      <c r="J4" t="s">
        <v>28</v>
      </c>
    </row>
    <row r="5" spans="1:10" x14ac:dyDescent="0.3">
      <c r="A5" t="s">
        <v>56</v>
      </c>
      <c r="B5" t="s">
        <v>51</v>
      </c>
      <c r="C5">
        <v>50000</v>
      </c>
      <c r="D5" t="s">
        <v>19</v>
      </c>
      <c r="E5" t="s">
        <v>30</v>
      </c>
      <c r="F5" t="s">
        <v>14</v>
      </c>
      <c r="G5" s="2" t="s">
        <v>50</v>
      </c>
      <c r="H5" t="s">
        <v>31</v>
      </c>
      <c r="I5" t="s">
        <v>32</v>
      </c>
      <c r="J5" t="s">
        <v>57</v>
      </c>
    </row>
    <row r="6" spans="1:10" x14ac:dyDescent="0.3">
      <c r="A6" t="s">
        <v>49</v>
      </c>
      <c r="B6" t="s">
        <v>51</v>
      </c>
      <c r="C6" t="s">
        <v>58</v>
      </c>
      <c r="D6" t="s">
        <v>19</v>
      </c>
      <c r="E6" t="s">
        <v>20</v>
      </c>
      <c r="F6" t="s">
        <v>14</v>
      </c>
      <c r="G6" s="2" t="s">
        <v>55</v>
      </c>
      <c r="H6" t="s">
        <v>22</v>
      </c>
      <c r="I6" t="s">
        <v>32</v>
      </c>
      <c r="J6" t="s">
        <v>28</v>
      </c>
    </row>
    <row r="7" spans="1:10" x14ac:dyDescent="0.3">
      <c r="A7" t="s">
        <v>59</v>
      </c>
      <c r="B7" t="s">
        <v>51</v>
      </c>
      <c r="C7">
        <v>65000</v>
      </c>
      <c r="D7" t="s">
        <v>34</v>
      </c>
      <c r="E7" t="s">
        <v>35</v>
      </c>
      <c r="F7" t="s">
        <v>21</v>
      </c>
      <c r="G7" s="2" t="s">
        <v>60</v>
      </c>
      <c r="H7" t="s">
        <v>22</v>
      </c>
      <c r="I7" t="s">
        <v>23</v>
      </c>
      <c r="J7" t="s">
        <v>51</v>
      </c>
    </row>
    <row r="8" spans="1:10" x14ac:dyDescent="0.3">
      <c r="A8" t="s">
        <v>61</v>
      </c>
      <c r="B8" t="s">
        <v>51</v>
      </c>
      <c r="C8">
        <v>50000</v>
      </c>
      <c r="D8" t="s">
        <v>12</v>
      </c>
      <c r="E8" t="s">
        <v>35</v>
      </c>
      <c r="F8" t="s">
        <v>37</v>
      </c>
      <c r="G8" s="2" t="s">
        <v>62</v>
      </c>
      <c r="H8" t="s">
        <v>38</v>
      </c>
      <c r="J8" t="s">
        <v>24</v>
      </c>
    </row>
    <row r="9" spans="1:10" x14ac:dyDescent="0.3">
      <c r="A9" t="s">
        <v>49</v>
      </c>
      <c r="B9">
        <v>40</v>
      </c>
      <c r="C9">
        <v>50000</v>
      </c>
      <c r="D9" t="s">
        <v>34</v>
      </c>
      <c r="E9" t="s">
        <v>13</v>
      </c>
      <c r="F9" t="s">
        <v>21</v>
      </c>
      <c r="G9" s="2" t="s">
        <v>60</v>
      </c>
      <c r="H9" t="s">
        <v>27</v>
      </c>
      <c r="J9" t="s">
        <v>57</v>
      </c>
    </row>
    <row r="10" spans="1:10" x14ac:dyDescent="0.3">
      <c r="A10" t="s">
        <v>53</v>
      </c>
      <c r="B10">
        <v>40</v>
      </c>
      <c r="C10" t="s">
        <v>54</v>
      </c>
      <c r="D10" t="s">
        <v>19</v>
      </c>
      <c r="E10" t="s">
        <v>35</v>
      </c>
      <c r="F10" t="s">
        <v>14</v>
      </c>
      <c r="G10" s="2" t="s">
        <v>55</v>
      </c>
      <c r="H10" t="s">
        <v>27</v>
      </c>
      <c r="I10" t="s">
        <v>23</v>
      </c>
      <c r="J10" t="s">
        <v>24</v>
      </c>
    </row>
    <row r="11" spans="1:10" x14ac:dyDescent="0.3">
      <c r="A11" t="s">
        <v>56</v>
      </c>
      <c r="B11" t="s">
        <v>63</v>
      </c>
      <c r="C11" t="s">
        <v>58</v>
      </c>
      <c r="D11" t="s">
        <v>34</v>
      </c>
      <c r="E11" t="s">
        <v>20</v>
      </c>
      <c r="F11" t="s">
        <v>40</v>
      </c>
      <c r="G11" s="2">
        <v>43881</v>
      </c>
      <c r="H11" t="s">
        <v>31</v>
      </c>
      <c r="J11" t="s">
        <v>57</v>
      </c>
    </row>
    <row r="12" spans="1:10" x14ac:dyDescent="0.3">
      <c r="A12" t="s">
        <v>52</v>
      </c>
      <c r="B12">
        <v>25</v>
      </c>
      <c r="C12">
        <v>70000</v>
      </c>
      <c r="D12" t="s">
        <v>12</v>
      </c>
      <c r="E12" t="s">
        <v>35</v>
      </c>
      <c r="F12" t="s">
        <v>41</v>
      </c>
      <c r="G12" s="2" t="s">
        <v>62</v>
      </c>
      <c r="H12" t="s">
        <v>38</v>
      </c>
      <c r="I12" t="s">
        <v>51</v>
      </c>
      <c r="J12" t="s">
        <v>24</v>
      </c>
    </row>
    <row r="13" spans="1:10" x14ac:dyDescent="0.3">
      <c r="A13" t="s">
        <v>53</v>
      </c>
      <c r="B13" t="s">
        <v>51</v>
      </c>
      <c r="C13">
        <v>70000</v>
      </c>
      <c r="D13" t="s">
        <v>34</v>
      </c>
      <c r="E13" t="s">
        <v>20</v>
      </c>
      <c r="F13" t="s">
        <v>40</v>
      </c>
      <c r="G13" s="2" t="s">
        <v>60</v>
      </c>
      <c r="H13" t="s">
        <v>31</v>
      </c>
      <c r="J13" t="s">
        <v>51</v>
      </c>
    </row>
    <row r="14" spans="1:10" x14ac:dyDescent="0.3">
      <c r="A14" t="s">
        <v>53</v>
      </c>
      <c r="B14" t="s">
        <v>63</v>
      </c>
      <c r="C14">
        <v>50000</v>
      </c>
      <c r="D14" t="s">
        <v>12</v>
      </c>
      <c r="E14" t="s">
        <v>30</v>
      </c>
      <c r="F14" t="s">
        <v>40</v>
      </c>
      <c r="G14" s="2" t="s">
        <v>50</v>
      </c>
      <c r="H14" t="s">
        <v>15</v>
      </c>
      <c r="J14" t="s">
        <v>57</v>
      </c>
    </row>
    <row r="15" spans="1:10" x14ac:dyDescent="0.3">
      <c r="A15" t="s">
        <v>61</v>
      </c>
      <c r="B15">
        <v>25</v>
      </c>
      <c r="C15">
        <v>55000</v>
      </c>
      <c r="D15" t="s">
        <v>34</v>
      </c>
      <c r="E15" t="s">
        <v>13</v>
      </c>
      <c r="F15" t="s">
        <v>14</v>
      </c>
      <c r="G15" s="2">
        <v>43881</v>
      </c>
      <c r="H15" t="s">
        <v>22</v>
      </c>
      <c r="J15" t="s">
        <v>42</v>
      </c>
    </row>
    <row r="16" spans="1:10" x14ac:dyDescent="0.3">
      <c r="A16" t="s">
        <v>64</v>
      </c>
      <c r="B16">
        <v>50</v>
      </c>
      <c r="C16" t="s">
        <v>58</v>
      </c>
      <c r="D16" t="s">
        <v>12</v>
      </c>
      <c r="E16" t="s">
        <v>35</v>
      </c>
      <c r="F16" t="s">
        <v>21</v>
      </c>
      <c r="G16" s="2" t="s">
        <v>60</v>
      </c>
      <c r="H16" t="s">
        <v>31</v>
      </c>
      <c r="I16" t="s">
        <v>51</v>
      </c>
      <c r="J16" t="s">
        <v>24</v>
      </c>
    </row>
    <row r="17" spans="1:10" x14ac:dyDescent="0.3">
      <c r="A17" t="s">
        <v>56</v>
      </c>
      <c r="B17">
        <v>35</v>
      </c>
      <c r="C17">
        <v>65000</v>
      </c>
      <c r="D17" t="s">
        <v>12</v>
      </c>
      <c r="E17" t="s">
        <v>20</v>
      </c>
      <c r="F17" t="s">
        <v>37</v>
      </c>
      <c r="G17" s="2" t="s">
        <v>50</v>
      </c>
      <c r="H17" t="s">
        <v>22</v>
      </c>
      <c r="J17" t="s">
        <v>24</v>
      </c>
    </row>
    <row r="18" spans="1:10" x14ac:dyDescent="0.3">
      <c r="A18" t="s">
        <v>65</v>
      </c>
      <c r="B18">
        <v>40</v>
      </c>
      <c r="C18">
        <v>55000</v>
      </c>
      <c r="D18" t="s">
        <v>19</v>
      </c>
      <c r="E18" t="s">
        <v>26</v>
      </c>
      <c r="F18" t="s">
        <v>40</v>
      </c>
      <c r="G18" s="2" t="s">
        <v>55</v>
      </c>
      <c r="H18" t="s">
        <v>38</v>
      </c>
      <c r="I18" t="s">
        <v>51</v>
      </c>
      <c r="J18" t="s">
        <v>28</v>
      </c>
    </row>
    <row r="19" spans="1:10" x14ac:dyDescent="0.3">
      <c r="A19" t="s">
        <v>53</v>
      </c>
      <c r="B19">
        <v>50</v>
      </c>
      <c r="C19">
        <v>55000</v>
      </c>
      <c r="D19" t="s">
        <v>12</v>
      </c>
      <c r="E19" t="s">
        <v>13</v>
      </c>
      <c r="F19" t="s">
        <v>21</v>
      </c>
      <c r="G19" s="2" t="s">
        <v>50</v>
      </c>
      <c r="H19" t="s">
        <v>15</v>
      </c>
      <c r="I19" t="s">
        <v>23</v>
      </c>
      <c r="J19" t="s">
        <v>57</v>
      </c>
    </row>
    <row r="20" spans="1:10" x14ac:dyDescent="0.3">
      <c r="A20" t="s">
        <v>64</v>
      </c>
      <c r="B20">
        <v>25</v>
      </c>
      <c r="C20" t="s">
        <v>58</v>
      </c>
      <c r="D20" t="s">
        <v>19</v>
      </c>
      <c r="E20" t="s">
        <v>30</v>
      </c>
      <c r="F20" t="s">
        <v>37</v>
      </c>
      <c r="G20" s="2" t="s">
        <v>60</v>
      </c>
      <c r="H20" t="s">
        <v>38</v>
      </c>
      <c r="I20" t="s">
        <v>16</v>
      </c>
      <c r="J20" t="s">
        <v>42</v>
      </c>
    </row>
    <row r="21" spans="1:10" x14ac:dyDescent="0.3">
      <c r="A21" t="s">
        <v>65</v>
      </c>
      <c r="B21">
        <v>50</v>
      </c>
      <c r="C21">
        <v>50000</v>
      </c>
      <c r="D21" t="s">
        <v>19</v>
      </c>
      <c r="E21" t="s">
        <v>20</v>
      </c>
      <c r="F21" t="s">
        <v>40</v>
      </c>
      <c r="G21" s="2" t="s">
        <v>60</v>
      </c>
      <c r="H21" t="s">
        <v>15</v>
      </c>
      <c r="I21" t="s">
        <v>23</v>
      </c>
      <c r="J21" t="s">
        <v>51</v>
      </c>
    </row>
    <row r="22" spans="1:10" x14ac:dyDescent="0.3">
      <c r="A22" t="s">
        <v>56</v>
      </c>
      <c r="B22">
        <v>35</v>
      </c>
      <c r="C22">
        <v>50000</v>
      </c>
      <c r="D22" t="s">
        <v>19</v>
      </c>
      <c r="E22" t="s">
        <v>30</v>
      </c>
      <c r="F22" t="s">
        <v>37</v>
      </c>
      <c r="G22" s="2" t="s">
        <v>55</v>
      </c>
      <c r="H22" t="s">
        <v>15</v>
      </c>
      <c r="I22" t="s">
        <v>16</v>
      </c>
      <c r="J22" t="s">
        <v>28</v>
      </c>
    </row>
    <row r="23" spans="1:10" x14ac:dyDescent="0.3">
      <c r="A23" t="s">
        <v>66</v>
      </c>
      <c r="B23">
        <v>25</v>
      </c>
      <c r="C23">
        <v>50000</v>
      </c>
      <c r="D23" t="s">
        <v>34</v>
      </c>
      <c r="E23" t="s">
        <v>30</v>
      </c>
      <c r="F23" t="s">
        <v>21</v>
      </c>
      <c r="G23" s="2" t="s">
        <v>50</v>
      </c>
      <c r="H23" t="s">
        <v>22</v>
      </c>
      <c r="I23" t="s">
        <v>23</v>
      </c>
      <c r="J23" t="s">
        <v>42</v>
      </c>
    </row>
    <row r="24" spans="1:10" x14ac:dyDescent="0.3">
      <c r="A24" t="s">
        <v>59</v>
      </c>
      <c r="B24">
        <v>50</v>
      </c>
      <c r="C24">
        <v>50000</v>
      </c>
      <c r="D24" t="s">
        <v>34</v>
      </c>
      <c r="E24" t="s">
        <v>35</v>
      </c>
      <c r="F24" t="s">
        <v>41</v>
      </c>
      <c r="G24" s="2" t="s">
        <v>50</v>
      </c>
      <c r="H24" t="s">
        <v>38</v>
      </c>
      <c r="I24" t="s">
        <v>16</v>
      </c>
      <c r="J24" t="s">
        <v>57</v>
      </c>
    </row>
    <row r="25" spans="1:10" x14ac:dyDescent="0.3">
      <c r="A25" t="s">
        <v>64</v>
      </c>
      <c r="B25">
        <v>40</v>
      </c>
      <c r="C25">
        <v>70000</v>
      </c>
      <c r="D25" t="s">
        <v>34</v>
      </c>
      <c r="E25" t="s">
        <v>35</v>
      </c>
      <c r="F25" t="s">
        <v>21</v>
      </c>
      <c r="G25" s="2" t="s">
        <v>55</v>
      </c>
      <c r="H25" t="s">
        <v>38</v>
      </c>
      <c r="I25" t="s">
        <v>16</v>
      </c>
      <c r="J25" t="s">
        <v>42</v>
      </c>
    </row>
    <row r="26" spans="1:10" x14ac:dyDescent="0.3">
      <c r="A26" t="s">
        <v>67</v>
      </c>
      <c r="B26">
        <v>40</v>
      </c>
      <c r="C26">
        <v>50000</v>
      </c>
      <c r="D26" t="s">
        <v>34</v>
      </c>
      <c r="E26" t="s">
        <v>20</v>
      </c>
      <c r="F26" t="s">
        <v>14</v>
      </c>
      <c r="G26" s="2" t="s">
        <v>50</v>
      </c>
      <c r="H26" t="s">
        <v>31</v>
      </c>
      <c r="I26" t="s">
        <v>32</v>
      </c>
      <c r="J26" t="s">
        <v>24</v>
      </c>
    </row>
    <row r="27" spans="1:10" x14ac:dyDescent="0.3">
      <c r="A27" t="s">
        <v>66</v>
      </c>
      <c r="B27" t="s">
        <v>63</v>
      </c>
      <c r="C27">
        <v>70000</v>
      </c>
      <c r="D27" t="s">
        <v>12</v>
      </c>
      <c r="E27" t="s">
        <v>26</v>
      </c>
      <c r="F27" t="s">
        <v>37</v>
      </c>
      <c r="G27" s="2" t="s">
        <v>55</v>
      </c>
      <c r="H27" t="s">
        <v>38</v>
      </c>
      <c r="I27" t="s">
        <v>16</v>
      </c>
      <c r="J27" t="s">
        <v>24</v>
      </c>
    </row>
    <row r="28" spans="1:10" x14ac:dyDescent="0.3">
      <c r="A28" t="s">
        <v>59</v>
      </c>
      <c r="B28">
        <v>50</v>
      </c>
      <c r="C28">
        <v>70000</v>
      </c>
      <c r="D28" t="s">
        <v>12</v>
      </c>
      <c r="E28" t="s">
        <v>20</v>
      </c>
      <c r="F28" t="s">
        <v>41</v>
      </c>
      <c r="G28" s="2">
        <v>43881</v>
      </c>
      <c r="H28" t="s">
        <v>31</v>
      </c>
      <c r="I28" t="s">
        <v>16</v>
      </c>
      <c r="J28" t="s">
        <v>28</v>
      </c>
    </row>
    <row r="29" spans="1:10" x14ac:dyDescent="0.3">
      <c r="A29" t="s">
        <v>61</v>
      </c>
      <c r="B29" t="s">
        <v>51</v>
      </c>
      <c r="C29">
        <v>50000</v>
      </c>
      <c r="D29" t="s">
        <v>34</v>
      </c>
      <c r="E29" t="s">
        <v>26</v>
      </c>
      <c r="F29" t="s">
        <v>37</v>
      </c>
      <c r="G29" s="2" t="s">
        <v>60</v>
      </c>
      <c r="H29" t="s">
        <v>27</v>
      </c>
      <c r="I29" t="s">
        <v>32</v>
      </c>
      <c r="J29" t="s">
        <v>57</v>
      </c>
    </row>
    <row r="30" spans="1:10" x14ac:dyDescent="0.3">
      <c r="A30" t="s">
        <v>49</v>
      </c>
      <c r="B30">
        <v>50</v>
      </c>
      <c r="C30" t="s">
        <v>54</v>
      </c>
      <c r="D30" t="s">
        <v>12</v>
      </c>
      <c r="E30" t="s">
        <v>30</v>
      </c>
      <c r="F30" t="s">
        <v>37</v>
      </c>
      <c r="G30" s="2">
        <v>43881</v>
      </c>
      <c r="H30" t="s">
        <v>27</v>
      </c>
      <c r="J30" t="s">
        <v>57</v>
      </c>
    </row>
    <row r="31" spans="1:10" x14ac:dyDescent="0.3">
      <c r="A31" t="s">
        <v>52</v>
      </c>
      <c r="B31">
        <v>25</v>
      </c>
      <c r="C31">
        <v>65000</v>
      </c>
      <c r="D31" t="s">
        <v>12</v>
      </c>
      <c r="E31" t="s">
        <v>13</v>
      </c>
      <c r="F31" t="s">
        <v>40</v>
      </c>
      <c r="G31" s="2" t="s">
        <v>62</v>
      </c>
      <c r="H31" t="s">
        <v>27</v>
      </c>
      <c r="J31" t="s">
        <v>42</v>
      </c>
    </row>
    <row r="32" spans="1:10" x14ac:dyDescent="0.3">
      <c r="A32" t="s">
        <v>67</v>
      </c>
      <c r="B32">
        <v>25</v>
      </c>
      <c r="C32">
        <v>55000</v>
      </c>
      <c r="D32" t="s">
        <v>19</v>
      </c>
      <c r="E32" t="s">
        <v>20</v>
      </c>
      <c r="F32" t="s">
        <v>14</v>
      </c>
      <c r="G32" s="2" t="s">
        <v>62</v>
      </c>
      <c r="H32" t="s">
        <v>38</v>
      </c>
      <c r="I32" t="s">
        <v>32</v>
      </c>
      <c r="J32" t="s">
        <v>28</v>
      </c>
    </row>
    <row r="33" spans="1:10" x14ac:dyDescent="0.3">
      <c r="A33" t="s">
        <v>61</v>
      </c>
      <c r="B33">
        <v>50</v>
      </c>
      <c r="C33">
        <v>70000</v>
      </c>
      <c r="D33" t="s">
        <v>19</v>
      </c>
      <c r="E33" t="s">
        <v>20</v>
      </c>
      <c r="F33" t="s">
        <v>37</v>
      </c>
      <c r="G33" s="2" t="s">
        <v>62</v>
      </c>
      <c r="H33" t="s">
        <v>38</v>
      </c>
      <c r="I33" t="s">
        <v>51</v>
      </c>
      <c r="J33" t="s">
        <v>57</v>
      </c>
    </row>
    <row r="34" spans="1:10" x14ac:dyDescent="0.3">
      <c r="A34" t="s">
        <v>56</v>
      </c>
      <c r="B34">
        <v>35</v>
      </c>
      <c r="C34" t="s">
        <v>58</v>
      </c>
      <c r="D34" t="s">
        <v>19</v>
      </c>
      <c r="E34" t="s">
        <v>26</v>
      </c>
      <c r="F34" t="s">
        <v>21</v>
      </c>
      <c r="G34" s="2" t="s">
        <v>55</v>
      </c>
      <c r="H34" t="s">
        <v>31</v>
      </c>
      <c r="I34" t="s">
        <v>16</v>
      </c>
      <c r="J34" t="s">
        <v>24</v>
      </c>
    </row>
    <row r="35" spans="1:10" x14ac:dyDescent="0.3">
      <c r="A35" t="s">
        <v>61</v>
      </c>
      <c r="B35">
        <v>40</v>
      </c>
      <c r="C35" t="s">
        <v>58</v>
      </c>
      <c r="D35" t="s">
        <v>19</v>
      </c>
      <c r="E35" t="s">
        <v>30</v>
      </c>
      <c r="F35" t="s">
        <v>21</v>
      </c>
      <c r="G35" s="2" t="s">
        <v>50</v>
      </c>
      <c r="H35" t="s">
        <v>15</v>
      </c>
      <c r="I35" t="s">
        <v>16</v>
      </c>
      <c r="J35" t="s">
        <v>42</v>
      </c>
    </row>
    <row r="36" spans="1:10" x14ac:dyDescent="0.3">
      <c r="A36" t="s">
        <v>49</v>
      </c>
      <c r="B36">
        <v>25</v>
      </c>
      <c r="C36">
        <v>65000</v>
      </c>
      <c r="D36" t="s">
        <v>12</v>
      </c>
      <c r="E36" t="s">
        <v>30</v>
      </c>
      <c r="F36" t="s">
        <v>40</v>
      </c>
      <c r="G36" s="2">
        <v>43881</v>
      </c>
      <c r="H36" t="s">
        <v>31</v>
      </c>
      <c r="I36" t="s">
        <v>32</v>
      </c>
      <c r="J36" t="s">
        <v>51</v>
      </c>
    </row>
    <row r="37" spans="1:10" x14ac:dyDescent="0.3">
      <c r="A37" t="s">
        <v>56</v>
      </c>
      <c r="B37">
        <v>40</v>
      </c>
      <c r="C37" t="s">
        <v>58</v>
      </c>
      <c r="D37" t="s">
        <v>34</v>
      </c>
      <c r="E37" t="s">
        <v>26</v>
      </c>
      <c r="F37" t="s">
        <v>14</v>
      </c>
      <c r="G37" s="2">
        <v>43881</v>
      </c>
      <c r="H37" t="s">
        <v>27</v>
      </c>
      <c r="I37" t="s">
        <v>32</v>
      </c>
      <c r="J37" t="s">
        <v>24</v>
      </c>
    </row>
    <row r="38" spans="1:10" x14ac:dyDescent="0.3">
      <c r="A38" t="s">
        <v>67</v>
      </c>
      <c r="B38">
        <v>25</v>
      </c>
      <c r="C38" t="s">
        <v>54</v>
      </c>
      <c r="D38" t="s">
        <v>12</v>
      </c>
      <c r="E38" t="s">
        <v>30</v>
      </c>
      <c r="F38" t="s">
        <v>14</v>
      </c>
      <c r="G38" s="2">
        <v>43881</v>
      </c>
      <c r="H38" t="s">
        <v>31</v>
      </c>
      <c r="I38" t="s">
        <v>51</v>
      </c>
      <c r="J38" t="s">
        <v>28</v>
      </c>
    </row>
    <row r="39" spans="1:10" x14ac:dyDescent="0.3">
      <c r="A39" t="s">
        <v>49</v>
      </c>
      <c r="B39" t="s">
        <v>63</v>
      </c>
      <c r="C39" t="s">
        <v>58</v>
      </c>
      <c r="D39" t="s">
        <v>12</v>
      </c>
      <c r="E39" t="s">
        <v>35</v>
      </c>
      <c r="F39" t="s">
        <v>21</v>
      </c>
      <c r="G39" s="2">
        <v>43881</v>
      </c>
      <c r="H39" t="s">
        <v>15</v>
      </c>
      <c r="J39" t="s">
        <v>57</v>
      </c>
    </row>
    <row r="40" spans="1:10" x14ac:dyDescent="0.3">
      <c r="A40" t="s">
        <v>65</v>
      </c>
      <c r="B40" t="s">
        <v>51</v>
      </c>
      <c r="C40">
        <v>55000</v>
      </c>
      <c r="D40" t="s">
        <v>12</v>
      </c>
      <c r="E40" t="s">
        <v>13</v>
      </c>
      <c r="F40" t="s">
        <v>41</v>
      </c>
      <c r="G40" s="2" t="s">
        <v>62</v>
      </c>
      <c r="H40" t="s">
        <v>38</v>
      </c>
      <c r="I40" t="s">
        <v>23</v>
      </c>
      <c r="J40" t="s">
        <v>24</v>
      </c>
    </row>
    <row r="41" spans="1:10" x14ac:dyDescent="0.3">
      <c r="A41" t="s">
        <v>52</v>
      </c>
      <c r="B41">
        <v>25</v>
      </c>
      <c r="C41">
        <v>55000</v>
      </c>
      <c r="D41" t="s">
        <v>19</v>
      </c>
      <c r="E41" t="s">
        <v>20</v>
      </c>
      <c r="F41" t="s">
        <v>40</v>
      </c>
      <c r="G41" s="2">
        <v>43881</v>
      </c>
      <c r="H41" t="s">
        <v>31</v>
      </c>
      <c r="J41" t="s">
        <v>51</v>
      </c>
    </row>
    <row r="42" spans="1:10" x14ac:dyDescent="0.3">
      <c r="A42" t="s">
        <v>67</v>
      </c>
      <c r="B42">
        <v>40</v>
      </c>
      <c r="C42">
        <v>70000</v>
      </c>
      <c r="D42" t="s">
        <v>19</v>
      </c>
      <c r="E42" t="s">
        <v>13</v>
      </c>
      <c r="F42" t="s">
        <v>40</v>
      </c>
      <c r="G42" s="2" t="s">
        <v>50</v>
      </c>
      <c r="H42" t="s">
        <v>27</v>
      </c>
      <c r="I42" t="s">
        <v>16</v>
      </c>
      <c r="J42" t="s">
        <v>51</v>
      </c>
    </row>
    <row r="43" spans="1:10" x14ac:dyDescent="0.3">
      <c r="A43" t="s">
        <v>65</v>
      </c>
      <c r="B43" t="s">
        <v>63</v>
      </c>
      <c r="C43">
        <v>50000</v>
      </c>
      <c r="D43" t="s">
        <v>19</v>
      </c>
      <c r="E43" t="s">
        <v>20</v>
      </c>
      <c r="F43" t="s">
        <v>21</v>
      </c>
      <c r="G43" s="2" t="s">
        <v>62</v>
      </c>
      <c r="H43" t="s">
        <v>27</v>
      </c>
      <c r="I43" t="s">
        <v>32</v>
      </c>
      <c r="J43" t="s">
        <v>28</v>
      </c>
    </row>
    <row r="44" spans="1:10" x14ac:dyDescent="0.3">
      <c r="A44" t="s">
        <v>59</v>
      </c>
      <c r="B44">
        <v>25</v>
      </c>
      <c r="C44" t="s">
        <v>54</v>
      </c>
      <c r="D44" t="s">
        <v>34</v>
      </c>
      <c r="E44" t="s">
        <v>35</v>
      </c>
      <c r="F44" t="s">
        <v>21</v>
      </c>
      <c r="G44" s="2">
        <v>43881</v>
      </c>
      <c r="H44" t="s">
        <v>38</v>
      </c>
      <c r="I44" t="s">
        <v>51</v>
      </c>
      <c r="J44" t="s">
        <v>24</v>
      </c>
    </row>
    <row r="45" spans="1:10" x14ac:dyDescent="0.3">
      <c r="A45" t="s">
        <v>67</v>
      </c>
      <c r="B45">
        <v>35</v>
      </c>
      <c r="C45">
        <v>70000</v>
      </c>
      <c r="D45" t="s">
        <v>12</v>
      </c>
      <c r="E45" t="s">
        <v>30</v>
      </c>
      <c r="F45" t="s">
        <v>41</v>
      </c>
      <c r="G45" s="2" t="s">
        <v>55</v>
      </c>
      <c r="H45" t="s">
        <v>31</v>
      </c>
      <c r="J45" t="s">
        <v>42</v>
      </c>
    </row>
    <row r="46" spans="1:10" x14ac:dyDescent="0.3">
      <c r="A46" t="s">
        <v>59</v>
      </c>
      <c r="B46" t="s">
        <v>51</v>
      </c>
      <c r="C46" t="s">
        <v>54</v>
      </c>
      <c r="D46" t="s">
        <v>34</v>
      </c>
      <c r="E46" t="s">
        <v>26</v>
      </c>
      <c r="F46" t="s">
        <v>41</v>
      </c>
      <c r="G46" s="2" t="s">
        <v>60</v>
      </c>
      <c r="H46" t="s">
        <v>15</v>
      </c>
      <c r="I46" t="s">
        <v>51</v>
      </c>
      <c r="J46" t="s">
        <v>24</v>
      </c>
    </row>
    <row r="47" spans="1:10" x14ac:dyDescent="0.3">
      <c r="A47" t="s">
        <v>56</v>
      </c>
      <c r="B47">
        <v>25</v>
      </c>
      <c r="C47">
        <v>50000</v>
      </c>
      <c r="D47" t="s">
        <v>19</v>
      </c>
      <c r="E47" t="s">
        <v>35</v>
      </c>
      <c r="F47" t="s">
        <v>14</v>
      </c>
      <c r="G47" s="2" t="s">
        <v>60</v>
      </c>
      <c r="H47" t="s">
        <v>38</v>
      </c>
      <c r="J47" t="s">
        <v>51</v>
      </c>
    </row>
    <row r="48" spans="1:10" x14ac:dyDescent="0.3">
      <c r="A48" t="s">
        <v>65</v>
      </c>
      <c r="B48" t="s">
        <v>63</v>
      </c>
      <c r="C48" t="s">
        <v>58</v>
      </c>
      <c r="D48" t="s">
        <v>34</v>
      </c>
      <c r="E48" t="s">
        <v>13</v>
      </c>
      <c r="F48" t="s">
        <v>40</v>
      </c>
      <c r="G48" s="2" t="s">
        <v>60</v>
      </c>
      <c r="H48" t="s">
        <v>31</v>
      </c>
      <c r="I48" t="s">
        <v>16</v>
      </c>
      <c r="J48" t="s">
        <v>28</v>
      </c>
    </row>
    <row r="49" spans="1:10" x14ac:dyDescent="0.3">
      <c r="A49" t="s">
        <v>52</v>
      </c>
      <c r="B49">
        <v>35</v>
      </c>
      <c r="C49" t="s">
        <v>58</v>
      </c>
      <c r="D49" t="s">
        <v>12</v>
      </c>
      <c r="E49" t="s">
        <v>26</v>
      </c>
      <c r="F49" t="s">
        <v>40</v>
      </c>
      <c r="G49" s="2" t="s">
        <v>62</v>
      </c>
      <c r="H49" t="s">
        <v>22</v>
      </c>
      <c r="I49" t="s">
        <v>23</v>
      </c>
      <c r="J49" t="s">
        <v>28</v>
      </c>
    </row>
    <row r="50" spans="1:10" x14ac:dyDescent="0.3">
      <c r="A50" t="s">
        <v>49</v>
      </c>
      <c r="B50">
        <v>50</v>
      </c>
      <c r="C50">
        <v>50000</v>
      </c>
      <c r="D50" t="s">
        <v>12</v>
      </c>
      <c r="E50" t="s">
        <v>30</v>
      </c>
      <c r="F50" t="s">
        <v>21</v>
      </c>
      <c r="G50" s="2">
        <v>43881</v>
      </c>
      <c r="H50" t="s">
        <v>27</v>
      </c>
      <c r="I50" t="s">
        <v>51</v>
      </c>
      <c r="J50" t="s">
        <v>42</v>
      </c>
    </row>
    <row r="51" spans="1:10" x14ac:dyDescent="0.3">
      <c r="A51" t="s">
        <v>53</v>
      </c>
      <c r="B51" t="s">
        <v>63</v>
      </c>
      <c r="C51">
        <v>70000</v>
      </c>
      <c r="D51" t="s">
        <v>19</v>
      </c>
      <c r="E51" t="s">
        <v>35</v>
      </c>
      <c r="F51" t="s">
        <v>14</v>
      </c>
      <c r="G51" s="2" t="s">
        <v>62</v>
      </c>
      <c r="H51" t="s">
        <v>15</v>
      </c>
      <c r="I51" t="s">
        <v>51</v>
      </c>
      <c r="J51" t="s">
        <v>28</v>
      </c>
    </row>
    <row r="52" spans="1:10" x14ac:dyDescent="0.3">
      <c r="A52" t="s">
        <v>61</v>
      </c>
      <c r="B52" t="s">
        <v>63</v>
      </c>
      <c r="C52">
        <v>50000</v>
      </c>
      <c r="D52" t="s">
        <v>19</v>
      </c>
      <c r="E52" t="s">
        <v>26</v>
      </c>
      <c r="F52" t="s">
        <v>40</v>
      </c>
      <c r="G52" s="2" t="s">
        <v>50</v>
      </c>
      <c r="H52" t="s">
        <v>15</v>
      </c>
      <c r="I52" t="s">
        <v>23</v>
      </c>
      <c r="J52" t="s">
        <v>28</v>
      </c>
    </row>
    <row r="53" spans="1:10" x14ac:dyDescent="0.3">
      <c r="A53" t="s">
        <v>66</v>
      </c>
      <c r="B53">
        <v>35</v>
      </c>
      <c r="C53">
        <v>65000</v>
      </c>
      <c r="D53" t="s">
        <v>34</v>
      </c>
      <c r="E53" t="s">
        <v>35</v>
      </c>
      <c r="F53" t="s">
        <v>14</v>
      </c>
      <c r="G53" s="2" t="s">
        <v>55</v>
      </c>
      <c r="H53" t="s">
        <v>15</v>
      </c>
      <c r="I53" t="s">
        <v>51</v>
      </c>
      <c r="J53" t="s">
        <v>28</v>
      </c>
    </row>
    <row r="54" spans="1:10" x14ac:dyDescent="0.3">
      <c r="A54" t="s">
        <v>52</v>
      </c>
      <c r="B54" t="s">
        <v>63</v>
      </c>
      <c r="C54">
        <v>55000</v>
      </c>
      <c r="D54" t="s">
        <v>19</v>
      </c>
      <c r="E54" t="s">
        <v>35</v>
      </c>
      <c r="F54" t="s">
        <v>14</v>
      </c>
      <c r="G54" s="2" t="s">
        <v>55</v>
      </c>
      <c r="H54" t="s">
        <v>27</v>
      </c>
      <c r="I54" t="s">
        <v>51</v>
      </c>
      <c r="J54" t="s">
        <v>28</v>
      </c>
    </row>
    <row r="55" spans="1:10" x14ac:dyDescent="0.3">
      <c r="A55" t="s">
        <v>65</v>
      </c>
      <c r="B55">
        <v>35</v>
      </c>
      <c r="C55">
        <v>70000</v>
      </c>
      <c r="D55" t="s">
        <v>19</v>
      </c>
      <c r="E55" t="s">
        <v>30</v>
      </c>
      <c r="F55" t="s">
        <v>21</v>
      </c>
      <c r="G55" s="2" t="s">
        <v>60</v>
      </c>
      <c r="H55" t="s">
        <v>31</v>
      </c>
      <c r="J55" t="s">
        <v>28</v>
      </c>
    </row>
    <row r="56" spans="1:10" x14ac:dyDescent="0.3">
      <c r="A56" t="s">
        <v>53</v>
      </c>
      <c r="B56">
        <v>25</v>
      </c>
      <c r="C56" t="s">
        <v>54</v>
      </c>
      <c r="D56" t="s">
        <v>12</v>
      </c>
      <c r="E56" t="s">
        <v>20</v>
      </c>
      <c r="F56" t="s">
        <v>14</v>
      </c>
      <c r="G56" s="2" t="s">
        <v>60</v>
      </c>
      <c r="H56" t="s">
        <v>38</v>
      </c>
      <c r="J56" t="s">
        <v>51</v>
      </c>
    </row>
    <row r="57" spans="1:10" x14ac:dyDescent="0.3">
      <c r="A57" t="s">
        <v>52</v>
      </c>
      <c r="B57">
        <v>35</v>
      </c>
      <c r="C57">
        <v>65000</v>
      </c>
      <c r="D57" t="s">
        <v>19</v>
      </c>
      <c r="E57" t="s">
        <v>26</v>
      </c>
      <c r="F57" t="s">
        <v>41</v>
      </c>
      <c r="G57" s="2" t="s">
        <v>60</v>
      </c>
      <c r="H57" t="s">
        <v>31</v>
      </c>
      <c r="I57" t="s">
        <v>23</v>
      </c>
      <c r="J57" t="s">
        <v>24</v>
      </c>
    </row>
    <row r="58" spans="1:10" x14ac:dyDescent="0.3">
      <c r="A58" t="s">
        <v>65</v>
      </c>
      <c r="B58">
        <v>35</v>
      </c>
      <c r="C58">
        <v>70000</v>
      </c>
      <c r="D58" t="s">
        <v>19</v>
      </c>
      <c r="E58" t="s">
        <v>30</v>
      </c>
      <c r="F58" t="s">
        <v>41</v>
      </c>
      <c r="G58" s="2">
        <v>43881</v>
      </c>
      <c r="H58" t="s">
        <v>38</v>
      </c>
      <c r="I58" t="s">
        <v>16</v>
      </c>
      <c r="J58" t="s">
        <v>57</v>
      </c>
    </row>
    <row r="59" spans="1:10" x14ac:dyDescent="0.3">
      <c r="A59" t="s">
        <v>64</v>
      </c>
      <c r="B59" t="s">
        <v>51</v>
      </c>
      <c r="C59">
        <v>50000</v>
      </c>
      <c r="D59" t="s">
        <v>12</v>
      </c>
      <c r="E59" t="s">
        <v>35</v>
      </c>
      <c r="F59" t="s">
        <v>37</v>
      </c>
      <c r="G59" s="2" t="s">
        <v>50</v>
      </c>
      <c r="H59" t="s">
        <v>15</v>
      </c>
      <c r="I59" t="s">
        <v>51</v>
      </c>
      <c r="J59" t="s">
        <v>28</v>
      </c>
    </row>
    <row r="60" spans="1:10" x14ac:dyDescent="0.3">
      <c r="A60" t="s">
        <v>64</v>
      </c>
      <c r="B60">
        <v>35</v>
      </c>
      <c r="C60">
        <v>50000</v>
      </c>
      <c r="D60" t="s">
        <v>12</v>
      </c>
      <c r="E60" t="s">
        <v>30</v>
      </c>
      <c r="F60" t="s">
        <v>21</v>
      </c>
      <c r="G60" s="2" t="s">
        <v>50</v>
      </c>
      <c r="H60" t="s">
        <v>31</v>
      </c>
      <c r="I60" t="s">
        <v>16</v>
      </c>
      <c r="J60" t="s">
        <v>57</v>
      </c>
    </row>
    <row r="61" spans="1:10" x14ac:dyDescent="0.3">
      <c r="A61" t="s">
        <v>59</v>
      </c>
      <c r="B61">
        <v>35</v>
      </c>
      <c r="C61">
        <v>50000</v>
      </c>
      <c r="D61" t="s">
        <v>34</v>
      </c>
      <c r="E61" t="s">
        <v>20</v>
      </c>
      <c r="F61" t="s">
        <v>37</v>
      </c>
      <c r="G61" s="2" t="s">
        <v>50</v>
      </c>
      <c r="H61" t="s">
        <v>15</v>
      </c>
      <c r="I61" t="s">
        <v>23</v>
      </c>
      <c r="J61" t="s">
        <v>57</v>
      </c>
    </row>
    <row r="62" spans="1:10" x14ac:dyDescent="0.3">
      <c r="A62" t="s">
        <v>52</v>
      </c>
      <c r="B62">
        <v>50</v>
      </c>
      <c r="C62">
        <v>50000</v>
      </c>
      <c r="D62" t="s">
        <v>19</v>
      </c>
      <c r="E62" t="s">
        <v>26</v>
      </c>
      <c r="F62" t="s">
        <v>41</v>
      </c>
      <c r="G62" s="2" t="s">
        <v>50</v>
      </c>
      <c r="H62" t="s">
        <v>22</v>
      </c>
      <c r="I62" t="s">
        <v>23</v>
      </c>
      <c r="J62" t="s">
        <v>51</v>
      </c>
    </row>
    <row r="63" spans="1:10" x14ac:dyDescent="0.3">
      <c r="A63" t="s">
        <v>64</v>
      </c>
      <c r="B63">
        <v>25</v>
      </c>
      <c r="C63" t="s">
        <v>54</v>
      </c>
      <c r="D63" t="s">
        <v>12</v>
      </c>
      <c r="E63" t="s">
        <v>20</v>
      </c>
      <c r="F63" t="s">
        <v>37</v>
      </c>
      <c r="G63" s="2" t="s">
        <v>60</v>
      </c>
      <c r="H63" t="s">
        <v>15</v>
      </c>
      <c r="J63" t="s">
        <v>28</v>
      </c>
    </row>
    <row r="64" spans="1:10" x14ac:dyDescent="0.3">
      <c r="A64" t="s">
        <v>65</v>
      </c>
      <c r="B64" t="s">
        <v>51</v>
      </c>
      <c r="C64">
        <v>65000</v>
      </c>
      <c r="D64" t="s">
        <v>34</v>
      </c>
      <c r="E64" t="s">
        <v>13</v>
      </c>
      <c r="F64" t="s">
        <v>21</v>
      </c>
      <c r="G64" s="2" t="s">
        <v>55</v>
      </c>
      <c r="H64" t="s">
        <v>15</v>
      </c>
      <c r="I64" t="s">
        <v>51</v>
      </c>
      <c r="J64" t="s">
        <v>57</v>
      </c>
    </row>
    <row r="65" spans="1:10" x14ac:dyDescent="0.3">
      <c r="A65" t="s">
        <v>59</v>
      </c>
      <c r="B65">
        <v>50</v>
      </c>
      <c r="C65" t="s">
        <v>58</v>
      </c>
      <c r="D65" t="s">
        <v>34</v>
      </c>
      <c r="E65" t="s">
        <v>26</v>
      </c>
      <c r="F65" t="s">
        <v>21</v>
      </c>
      <c r="G65" s="2" t="s">
        <v>60</v>
      </c>
      <c r="H65" t="s">
        <v>38</v>
      </c>
      <c r="I65" t="s">
        <v>32</v>
      </c>
      <c r="J65" t="s">
        <v>28</v>
      </c>
    </row>
    <row r="66" spans="1:10" x14ac:dyDescent="0.3">
      <c r="A66" t="s">
        <v>65</v>
      </c>
      <c r="B66">
        <v>40</v>
      </c>
      <c r="C66">
        <v>55000</v>
      </c>
      <c r="D66" t="s">
        <v>19</v>
      </c>
      <c r="E66" t="s">
        <v>20</v>
      </c>
      <c r="F66" t="s">
        <v>14</v>
      </c>
      <c r="G66" s="2" t="s">
        <v>50</v>
      </c>
      <c r="H66" t="s">
        <v>22</v>
      </c>
      <c r="I66" t="s">
        <v>23</v>
      </c>
      <c r="J66" t="s">
        <v>42</v>
      </c>
    </row>
    <row r="67" spans="1:10" x14ac:dyDescent="0.3">
      <c r="A67" t="s">
        <v>59</v>
      </c>
      <c r="B67">
        <v>25</v>
      </c>
      <c r="C67" t="s">
        <v>54</v>
      </c>
      <c r="D67" t="s">
        <v>19</v>
      </c>
      <c r="E67" t="s">
        <v>35</v>
      </c>
      <c r="F67" t="s">
        <v>40</v>
      </c>
      <c r="G67" s="2" t="s">
        <v>60</v>
      </c>
      <c r="H67" t="s">
        <v>15</v>
      </c>
      <c r="I67" t="s">
        <v>51</v>
      </c>
      <c r="J67" t="s">
        <v>42</v>
      </c>
    </row>
    <row r="68" spans="1:10" x14ac:dyDescent="0.3">
      <c r="A68" t="s">
        <v>52</v>
      </c>
      <c r="B68">
        <v>25</v>
      </c>
      <c r="C68" t="s">
        <v>54</v>
      </c>
      <c r="D68" t="s">
        <v>34</v>
      </c>
      <c r="E68" t="s">
        <v>26</v>
      </c>
      <c r="F68" t="s">
        <v>14</v>
      </c>
      <c r="G68" s="2" t="s">
        <v>50</v>
      </c>
      <c r="H68" t="s">
        <v>15</v>
      </c>
      <c r="I68" t="s">
        <v>16</v>
      </c>
      <c r="J68" t="s">
        <v>42</v>
      </c>
    </row>
    <row r="69" spans="1:10" x14ac:dyDescent="0.3">
      <c r="A69" t="s">
        <v>53</v>
      </c>
      <c r="B69">
        <v>40</v>
      </c>
      <c r="C69" t="s">
        <v>58</v>
      </c>
      <c r="D69" t="s">
        <v>12</v>
      </c>
      <c r="E69" t="s">
        <v>26</v>
      </c>
      <c r="F69" t="s">
        <v>21</v>
      </c>
      <c r="G69" s="2" t="s">
        <v>62</v>
      </c>
      <c r="H69" t="s">
        <v>22</v>
      </c>
      <c r="J69" t="s">
        <v>57</v>
      </c>
    </row>
    <row r="70" spans="1:10" x14ac:dyDescent="0.3">
      <c r="A70" t="s">
        <v>49</v>
      </c>
      <c r="B70">
        <v>35</v>
      </c>
      <c r="C70" t="s">
        <v>58</v>
      </c>
      <c r="D70" t="s">
        <v>34</v>
      </c>
      <c r="E70" t="s">
        <v>30</v>
      </c>
      <c r="F70" t="s">
        <v>41</v>
      </c>
      <c r="G70" s="2" t="s">
        <v>55</v>
      </c>
      <c r="H70" t="s">
        <v>22</v>
      </c>
      <c r="I70" t="s">
        <v>16</v>
      </c>
      <c r="J70" t="s">
        <v>42</v>
      </c>
    </row>
    <row r="71" spans="1:10" x14ac:dyDescent="0.3">
      <c r="A71" t="s">
        <v>67</v>
      </c>
      <c r="B71">
        <v>50</v>
      </c>
      <c r="C71">
        <v>55000</v>
      </c>
      <c r="D71" t="s">
        <v>19</v>
      </c>
      <c r="E71" t="s">
        <v>35</v>
      </c>
      <c r="F71" t="s">
        <v>41</v>
      </c>
      <c r="G71" s="2" t="s">
        <v>62</v>
      </c>
      <c r="H71" t="s">
        <v>31</v>
      </c>
      <c r="I71" t="s">
        <v>23</v>
      </c>
      <c r="J71" t="s">
        <v>51</v>
      </c>
    </row>
    <row r="72" spans="1:10" x14ac:dyDescent="0.3">
      <c r="A72" t="s">
        <v>53</v>
      </c>
      <c r="B72" t="s">
        <v>63</v>
      </c>
      <c r="C72">
        <v>55000</v>
      </c>
      <c r="D72" t="s">
        <v>12</v>
      </c>
      <c r="E72" t="s">
        <v>13</v>
      </c>
      <c r="F72" t="s">
        <v>14</v>
      </c>
      <c r="G72" s="2">
        <v>43881</v>
      </c>
      <c r="H72" t="s">
        <v>38</v>
      </c>
      <c r="I72" t="s">
        <v>23</v>
      </c>
      <c r="J72" t="s">
        <v>51</v>
      </c>
    </row>
    <row r="73" spans="1:10" x14ac:dyDescent="0.3">
      <c r="A73" t="s">
        <v>56</v>
      </c>
      <c r="B73" t="s">
        <v>51</v>
      </c>
      <c r="C73" t="s">
        <v>58</v>
      </c>
      <c r="D73" t="s">
        <v>12</v>
      </c>
      <c r="E73" t="s">
        <v>20</v>
      </c>
      <c r="F73" t="s">
        <v>21</v>
      </c>
      <c r="G73" s="2" t="s">
        <v>60</v>
      </c>
      <c r="H73" t="s">
        <v>22</v>
      </c>
      <c r="I73" t="s">
        <v>16</v>
      </c>
      <c r="J73" t="s">
        <v>57</v>
      </c>
    </row>
    <row r="74" spans="1:10" x14ac:dyDescent="0.3">
      <c r="A74" t="s">
        <v>65</v>
      </c>
      <c r="B74" t="s">
        <v>63</v>
      </c>
      <c r="C74">
        <v>50000</v>
      </c>
      <c r="D74" t="s">
        <v>34</v>
      </c>
      <c r="E74" t="s">
        <v>30</v>
      </c>
      <c r="F74" t="s">
        <v>41</v>
      </c>
      <c r="G74" s="2">
        <v>43881</v>
      </c>
      <c r="H74" t="s">
        <v>22</v>
      </c>
      <c r="I74" t="s">
        <v>23</v>
      </c>
      <c r="J74" t="s">
        <v>28</v>
      </c>
    </row>
    <row r="75" spans="1:10" x14ac:dyDescent="0.3">
      <c r="A75" t="s">
        <v>56</v>
      </c>
      <c r="B75">
        <v>40</v>
      </c>
      <c r="C75" t="s">
        <v>54</v>
      </c>
      <c r="D75" t="s">
        <v>19</v>
      </c>
      <c r="E75" t="s">
        <v>20</v>
      </c>
      <c r="F75" t="s">
        <v>21</v>
      </c>
      <c r="G75" s="2" t="s">
        <v>60</v>
      </c>
      <c r="H75" t="s">
        <v>27</v>
      </c>
      <c r="I75" t="s">
        <v>51</v>
      </c>
      <c r="J75" t="s">
        <v>24</v>
      </c>
    </row>
    <row r="76" spans="1:10" x14ac:dyDescent="0.3">
      <c r="A76" t="s">
        <v>53</v>
      </c>
      <c r="B76">
        <v>25</v>
      </c>
      <c r="C76">
        <v>70000</v>
      </c>
      <c r="D76" t="s">
        <v>34</v>
      </c>
      <c r="E76" t="s">
        <v>13</v>
      </c>
      <c r="F76" t="s">
        <v>41</v>
      </c>
      <c r="G76" s="2" t="s">
        <v>62</v>
      </c>
      <c r="H76" t="s">
        <v>22</v>
      </c>
      <c r="I76" t="s">
        <v>23</v>
      </c>
      <c r="J76" t="s">
        <v>28</v>
      </c>
    </row>
    <row r="77" spans="1:10" x14ac:dyDescent="0.3">
      <c r="A77" t="s">
        <v>59</v>
      </c>
      <c r="B77">
        <v>25</v>
      </c>
      <c r="C77">
        <v>55000</v>
      </c>
      <c r="D77" t="s">
        <v>34</v>
      </c>
      <c r="E77" t="s">
        <v>13</v>
      </c>
      <c r="F77" t="s">
        <v>21</v>
      </c>
      <c r="G77" s="2" t="s">
        <v>50</v>
      </c>
      <c r="H77" t="s">
        <v>38</v>
      </c>
      <c r="J77" t="s">
        <v>28</v>
      </c>
    </row>
    <row r="78" spans="1:10" x14ac:dyDescent="0.3">
      <c r="A78" t="s">
        <v>67</v>
      </c>
      <c r="B78" t="s">
        <v>51</v>
      </c>
      <c r="C78">
        <v>55000</v>
      </c>
      <c r="D78" t="s">
        <v>34</v>
      </c>
      <c r="E78" t="s">
        <v>26</v>
      </c>
      <c r="F78" t="s">
        <v>37</v>
      </c>
      <c r="G78" s="2" t="s">
        <v>50</v>
      </c>
      <c r="H78" t="s">
        <v>15</v>
      </c>
      <c r="I78" t="s">
        <v>51</v>
      </c>
      <c r="J78" t="s">
        <v>28</v>
      </c>
    </row>
    <row r="79" spans="1:10" x14ac:dyDescent="0.3">
      <c r="A79" t="s">
        <v>67</v>
      </c>
      <c r="B79">
        <v>25</v>
      </c>
      <c r="C79" t="s">
        <v>58</v>
      </c>
      <c r="D79" t="s">
        <v>12</v>
      </c>
      <c r="E79" t="s">
        <v>13</v>
      </c>
      <c r="F79" t="s">
        <v>21</v>
      </c>
      <c r="G79" s="2" t="s">
        <v>60</v>
      </c>
      <c r="H79" t="s">
        <v>15</v>
      </c>
      <c r="I79" t="s">
        <v>32</v>
      </c>
      <c r="J79" t="s">
        <v>28</v>
      </c>
    </row>
    <row r="80" spans="1:10" x14ac:dyDescent="0.3">
      <c r="A80" t="s">
        <v>66</v>
      </c>
      <c r="B80">
        <v>25</v>
      </c>
      <c r="C80">
        <v>65000</v>
      </c>
      <c r="D80" t="s">
        <v>12</v>
      </c>
      <c r="E80" t="s">
        <v>20</v>
      </c>
      <c r="F80" t="s">
        <v>21</v>
      </c>
      <c r="G80" s="2" t="s">
        <v>50</v>
      </c>
      <c r="H80" t="s">
        <v>15</v>
      </c>
      <c r="I80" t="s">
        <v>23</v>
      </c>
      <c r="J80" t="s">
        <v>24</v>
      </c>
    </row>
    <row r="81" spans="1:10" x14ac:dyDescent="0.3">
      <c r="A81" t="s">
        <v>67</v>
      </c>
      <c r="B81" t="s">
        <v>51</v>
      </c>
      <c r="C81">
        <v>70000</v>
      </c>
      <c r="D81" t="s">
        <v>19</v>
      </c>
      <c r="E81" t="s">
        <v>35</v>
      </c>
      <c r="F81" t="s">
        <v>14</v>
      </c>
      <c r="G81" s="2" t="s">
        <v>62</v>
      </c>
      <c r="H81" t="s">
        <v>15</v>
      </c>
      <c r="I81" t="s">
        <v>23</v>
      </c>
      <c r="J81" t="s">
        <v>42</v>
      </c>
    </row>
    <row r="82" spans="1:10" x14ac:dyDescent="0.3">
      <c r="A82" t="s">
        <v>49</v>
      </c>
      <c r="B82">
        <v>50</v>
      </c>
      <c r="C82">
        <v>70000</v>
      </c>
      <c r="D82" t="s">
        <v>19</v>
      </c>
      <c r="E82" t="s">
        <v>35</v>
      </c>
      <c r="F82" t="s">
        <v>37</v>
      </c>
      <c r="G82" s="2" t="s">
        <v>50</v>
      </c>
      <c r="H82" t="s">
        <v>27</v>
      </c>
      <c r="J82" t="s">
        <v>28</v>
      </c>
    </row>
    <row r="83" spans="1:10" x14ac:dyDescent="0.3">
      <c r="A83" t="s">
        <v>67</v>
      </c>
      <c r="B83">
        <v>50</v>
      </c>
      <c r="C83">
        <v>55000</v>
      </c>
      <c r="D83" t="s">
        <v>34</v>
      </c>
      <c r="E83" t="s">
        <v>26</v>
      </c>
      <c r="F83" t="s">
        <v>40</v>
      </c>
      <c r="G83" s="2" t="s">
        <v>62</v>
      </c>
      <c r="H83" t="s">
        <v>22</v>
      </c>
      <c r="J83" t="s">
        <v>51</v>
      </c>
    </row>
    <row r="84" spans="1:10" x14ac:dyDescent="0.3">
      <c r="A84" t="s">
        <v>53</v>
      </c>
      <c r="B84" t="s">
        <v>51</v>
      </c>
      <c r="C84">
        <v>50000</v>
      </c>
      <c r="D84" t="s">
        <v>34</v>
      </c>
      <c r="E84" t="s">
        <v>20</v>
      </c>
      <c r="F84" t="s">
        <v>14</v>
      </c>
      <c r="G84" s="2">
        <v>43881</v>
      </c>
      <c r="H84" t="s">
        <v>15</v>
      </c>
      <c r="I84" t="s">
        <v>16</v>
      </c>
      <c r="J84" t="s">
        <v>57</v>
      </c>
    </row>
    <row r="85" spans="1:10" x14ac:dyDescent="0.3">
      <c r="A85" t="s">
        <v>66</v>
      </c>
      <c r="B85">
        <v>40</v>
      </c>
      <c r="C85">
        <v>65000</v>
      </c>
      <c r="D85" t="s">
        <v>34</v>
      </c>
      <c r="E85" t="s">
        <v>20</v>
      </c>
      <c r="F85" t="s">
        <v>40</v>
      </c>
      <c r="G85" s="2" t="s">
        <v>62</v>
      </c>
      <c r="H85" t="s">
        <v>31</v>
      </c>
      <c r="I85" t="s">
        <v>16</v>
      </c>
      <c r="J85" t="s">
        <v>57</v>
      </c>
    </row>
    <row r="86" spans="1:10" x14ac:dyDescent="0.3">
      <c r="A86" t="s">
        <v>53</v>
      </c>
      <c r="B86">
        <v>25</v>
      </c>
      <c r="C86">
        <v>70000</v>
      </c>
      <c r="D86" t="s">
        <v>19</v>
      </c>
      <c r="E86" t="s">
        <v>13</v>
      </c>
      <c r="F86" t="s">
        <v>41</v>
      </c>
      <c r="G86" s="2" t="s">
        <v>55</v>
      </c>
      <c r="H86" t="s">
        <v>15</v>
      </c>
      <c r="I86" t="s">
        <v>16</v>
      </c>
      <c r="J86" t="s">
        <v>51</v>
      </c>
    </row>
    <row r="87" spans="1:10" x14ac:dyDescent="0.3">
      <c r="A87" t="s">
        <v>53</v>
      </c>
      <c r="B87">
        <v>25</v>
      </c>
      <c r="C87">
        <v>55000</v>
      </c>
      <c r="D87" t="s">
        <v>12</v>
      </c>
      <c r="E87" t="s">
        <v>20</v>
      </c>
      <c r="F87" t="s">
        <v>40</v>
      </c>
      <c r="G87" s="2" t="s">
        <v>55</v>
      </c>
      <c r="H87" t="s">
        <v>22</v>
      </c>
      <c r="J87" t="s">
        <v>28</v>
      </c>
    </row>
    <row r="88" spans="1:10" x14ac:dyDescent="0.3">
      <c r="A88" t="s">
        <v>61</v>
      </c>
      <c r="B88">
        <v>40</v>
      </c>
      <c r="C88">
        <v>70000</v>
      </c>
      <c r="D88" t="s">
        <v>12</v>
      </c>
      <c r="E88" t="s">
        <v>30</v>
      </c>
      <c r="F88" t="s">
        <v>21</v>
      </c>
      <c r="G88" s="2" t="s">
        <v>55</v>
      </c>
      <c r="H88" t="s">
        <v>15</v>
      </c>
      <c r="I88" t="s">
        <v>16</v>
      </c>
      <c r="J88" t="s">
        <v>24</v>
      </c>
    </row>
    <row r="89" spans="1:10" x14ac:dyDescent="0.3">
      <c r="A89" t="s">
        <v>66</v>
      </c>
      <c r="B89">
        <v>50</v>
      </c>
      <c r="C89">
        <v>65000</v>
      </c>
      <c r="D89" t="s">
        <v>34</v>
      </c>
      <c r="E89" t="s">
        <v>13</v>
      </c>
      <c r="F89" t="s">
        <v>40</v>
      </c>
      <c r="G89" s="2" t="s">
        <v>60</v>
      </c>
      <c r="H89" t="s">
        <v>27</v>
      </c>
      <c r="I89" t="s">
        <v>16</v>
      </c>
      <c r="J89" t="s">
        <v>42</v>
      </c>
    </row>
    <row r="90" spans="1:10" x14ac:dyDescent="0.3">
      <c r="A90" t="s">
        <v>53</v>
      </c>
      <c r="B90">
        <v>35</v>
      </c>
      <c r="C90">
        <v>65000</v>
      </c>
      <c r="D90" t="s">
        <v>34</v>
      </c>
      <c r="E90" t="s">
        <v>30</v>
      </c>
      <c r="F90" t="s">
        <v>14</v>
      </c>
      <c r="G90" s="2" t="s">
        <v>60</v>
      </c>
      <c r="H90" t="s">
        <v>38</v>
      </c>
      <c r="I90" t="s">
        <v>32</v>
      </c>
      <c r="J90" t="s">
        <v>57</v>
      </c>
    </row>
    <row r="91" spans="1:10" x14ac:dyDescent="0.3">
      <c r="A91" t="s">
        <v>61</v>
      </c>
      <c r="B91">
        <v>35</v>
      </c>
      <c r="C91" t="s">
        <v>54</v>
      </c>
      <c r="D91" t="s">
        <v>34</v>
      </c>
      <c r="E91" t="s">
        <v>26</v>
      </c>
      <c r="F91" t="s">
        <v>14</v>
      </c>
      <c r="G91" s="2" t="s">
        <v>60</v>
      </c>
      <c r="H91" t="s">
        <v>38</v>
      </c>
      <c r="I91" t="s">
        <v>16</v>
      </c>
      <c r="J91" t="s">
        <v>42</v>
      </c>
    </row>
    <row r="92" spans="1:10" x14ac:dyDescent="0.3">
      <c r="A92" t="s">
        <v>61</v>
      </c>
      <c r="B92">
        <v>35</v>
      </c>
      <c r="C92" t="s">
        <v>58</v>
      </c>
      <c r="D92" t="s">
        <v>34</v>
      </c>
      <c r="E92" t="s">
        <v>35</v>
      </c>
      <c r="F92" t="s">
        <v>40</v>
      </c>
      <c r="G92" s="2" t="s">
        <v>62</v>
      </c>
      <c r="H92" t="s">
        <v>22</v>
      </c>
      <c r="I92" t="s">
        <v>23</v>
      </c>
      <c r="J92" t="s">
        <v>24</v>
      </c>
    </row>
    <row r="93" spans="1:10" x14ac:dyDescent="0.3">
      <c r="A93" t="s">
        <v>66</v>
      </c>
      <c r="B93">
        <v>50</v>
      </c>
      <c r="C93" t="s">
        <v>58</v>
      </c>
      <c r="D93" t="s">
        <v>19</v>
      </c>
      <c r="E93" t="s">
        <v>26</v>
      </c>
      <c r="F93" t="s">
        <v>14</v>
      </c>
      <c r="G93" s="2" t="s">
        <v>60</v>
      </c>
      <c r="H93" t="s">
        <v>38</v>
      </c>
      <c r="J93" t="s">
        <v>57</v>
      </c>
    </row>
    <row r="94" spans="1:10" x14ac:dyDescent="0.3">
      <c r="A94" t="s">
        <v>56</v>
      </c>
      <c r="B94">
        <v>50</v>
      </c>
      <c r="C94">
        <v>55000</v>
      </c>
      <c r="D94" t="s">
        <v>12</v>
      </c>
      <c r="E94" t="s">
        <v>35</v>
      </c>
      <c r="F94" t="s">
        <v>14</v>
      </c>
      <c r="G94" s="2">
        <v>43881</v>
      </c>
      <c r="H94" t="s">
        <v>38</v>
      </c>
      <c r="I94" t="s">
        <v>51</v>
      </c>
      <c r="J94" t="s">
        <v>42</v>
      </c>
    </row>
    <row r="95" spans="1:10" x14ac:dyDescent="0.3">
      <c r="A95" t="s">
        <v>59</v>
      </c>
      <c r="B95">
        <v>40</v>
      </c>
      <c r="C95">
        <v>65000</v>
      </c>
      <c r="D95" t="s">
        <v>34</v>
      </c>
      <c r="E95" t="s">
        <v>26</v>
      </c>
      <c r="F95" t="s">
        <v>40</v>
      </c>
      <c r="G95" s="2" t="s">
        <v>55</v>
      </c>
      <c r="H95" t="s">
        <v>31</v>
      </c>
      <c r="I95" t="s">
        <v>32</v>
      </c>
      <c r="J95" t="s">
        <v>24</v>
      </c>
    </row>
    <row r="96" spans="1:10" x14ac:dyDescent="0.3">
      <c r="A96" t="s">
        <v>49</v>
      </c>
      <c r="B96">
        <v>25</v>
      </c>
      <c r="C96" t="s">
        <v>54</v>
      </c>
      <c r="D96" t="s">
        <v>19</v>
      </c>
      <c r="E96" t="s">
        <v>20</v>
      </c>
      <c r="F96" t="s">
        <v>37</v>
      </c>
      <c r="G96" s="2" t="s">
        <v>62</v>
      </c>
      <c r="H96" t="s">
        <v>22</v>
      </c>
      <c r="J96" t="s">
        <v>42</v>
      </c>
    </row>
    <row r="97" spans="1:10" x14ac:dyDescent="0.3">
      <c r="A97" t="s">
        <v>59</v>
      </c>
      <c r="B97">
        <v>40</v>
      </c>
      <c r="C97" t="s">
        <v>54</v>
      </c>
      <c r="D97" t="s">
        <v>34</v>
      </c>
      <c r="E97" t="s">
        <v>30</v>
      </c>
      <c r="F97" t="s">
        <v>37</v>
      </c>
      <c r="G97" s="2" t="s">
        <v>55</v>
      </c>
      <c r="H97" t="s">
        <v>22</v>
      </c>
      <c r="J97" t="s">
        <v>28</v>
      </c>
    </row>
    <row r="98" spans="1:10" x14ac:dyDescent="0.3">
      <c r="A98" t="s">
        <v>67</v>
      </c>
      <c r="B98">
        <v>40</v>
      </c>
      <c r="C98">
        <v>70000</v>
      </c>
      <c r="D98" t="s">
        <v>34</v>
      </c>
      <c r="E98" t="s">
        <v>35</v>
      </c>
      <c r="F98" t="s">
        <v>41</v>
      </c>
      <c r="G98" s="2" t="s">
        <v>60</v>
      </c>
      <c r="H98" t="s">
        <v>38</v>
      </c>
      <c r="I98" t="s">
        <v>23</v>
      </c>
      <c r="J98" t="s">
        <v>24</v>
      </c>
    </row>
    <row r="99" spans="1:10" x14ac:dyDescent="0.3">
      <c r="A99" t="s">
        <v>49</v>
      </c>
      <c r="B99">
        <v>50</v>
      </c>
      <c r="C99">
        <v>70000</v>
      </c>
      <c r="D99" t="s">
        <v>12</v>
      </c>
      <c r="E99" t="s">
        <v>13</v>
      </c>
      <c r="F99" t="s">
        <v>14</v>
      </c>
      <c r="G99" s="2" t="s">
        <v>62</v>
      </c>
      <c r="H99" t="s">
        <v>38</v>
      </c>
      <c r="I99" t="s">
        <v>16</v>
      </c>
      <c r="J99" t="s">
        <v>42</v>
      </c>
    </row>
    <row r="100" spans="1:10" x14ac:dyDescent="0.3">
      <c r="A100" t="s">
        <v>67</v>
      </c>
      <c r="B100">
        <v>35</v>
      </c>
      <c r="C100" t="s">
        <v>54</v>
      </c>
      <c r="D100" t="s">
        <v>34</v>
      </c>
      <c r="E100" t="s">
        <v>30</v>
      </c>
      <c r="F100" t="s">
        <v>40</v>
      </c>
      <c r="G100" s="2" t="s">
        <v>50</v>
      </c>
      <c r="H100" t="s">
        <v>38</v>
      </c>
      <c r="I100" t="s">
        <v>23</v>
      </c>
      <c r="J100" t="s">
        <v>28</v>
      </c>
    </row>
    <row r="101" spans="1:10" x14ac:dyDescent="0.3">
      <c r="A101" t="s">
        <v>53</v>
      </c>
      <c r="B101" t="s">
        <v>63</v>
      </c>
      <c r="C101">
        <v>70000</v>
      </c>
      <c r="D101" t="s">
        <v>12</v>
      </c>
      <c r="E101" t="s">
        <v>13</v>
      </c>
      <c r="F101" t="s">
        <v>14</v>
      </c>
      <c r="G101" s="2">
        <v>43881</v>
      </c>
      <c r="H101" t="s">
        <v>27</v>
      </c>
      <c r="I101" t="s">
        <v>16</v>
      </c>
      <c r="J101" t="s">
        <v>28</v>
      </c>
    </row>
    <row r="102" spans="1:10" x14ac:dyDescent="0.3">
      <c r="A102" t="s">
        <v>65</v>
      </c>
      <c r="B102">
        <v>25</v>
      </c>
      <c r="C102">
        <v>65000</v>
      </c>
      <c r="D102" t="s">
        <v>12</v>
      </c>
      <c r="E102" t="s">
        <v>30</v>
      </c>
      <c r="F102" t="s">
        <v>21</v>
      </c>
      <c r="G102" s="2" t="s">
        <v>60</v>
      </c>
      <c r="H102" t="s">
        <v>15</v>
      </c>
      <c r="I102" t="s">
        <v>16</v>
      </c>
      <c r="J102" t="s">
        <v>24</v>
      </c>
    </row>
    <row r="103" spans="1:10" x14ac:dyDescent="0.3">
      <c r="A103" t="s">
        <v>66</v>
      </c>
      <c r="B103">
        <v>50</v>
      </c>
      <c r="C103">
        <v>50000</v>
      </c>
      <c r="D103" t="s">
        <v>12</v>
      </c>
      <c r="E103" t="s">
        <v>30</v>
      </c>
      <c r="F103" t="s">
        <v>14</v>
      </c>
      <c r="G103" s="2" t="s">
        <v>60</v>
      </c>
      <c r="H103" t="s">
        <v>27</v>
      </c>
      <c r="J103" t="s">
        <v>51</v>
      </c>
    </row>
    <row r="104" spans="1:10" x14ac:dyDescent="0.3">
      <c r="A104" t="s">
        <v>49</v>
      </c>
      <c r="B104">
        <v>35</v>
      </c>
      <c r="C104">
        <v>65000</v>
      </c>
      <c r="D104" t="s">
        <v>19</v>
      </c>
      <c r="E104" t="s">
        <v>26</v>
      </c>
      <c r="F104" t="s">
        <v>14</v>
      </c>
      <c r="G104" s="2">
        <v>43881</v>
      </c>
      <c r="H104" t="s">
        <v>22</v>
      </c>
      <c r="I104" t="s">
        <v>16</v>
      </c>
      <c r="J104" t="s">
        <v>57</v>
      </c>
    </row>
    <row r="105" spans="1:10" x14ac:dyDescent="0.3">
      <c r="A105" t="s">
        <v>49</v>
      </c>
      <c r="B105" t="s">
        <v>63</v>
      </c>
      <c r="C105" t="s">
        <v>54</v>
      </c>
      <c r="D105" t="s">
        <v>19</v>
      </c>
      <c r="E105" t="s">
        <v>35</v>
      </c>
      <c r="F105" t="s">
        <v>37</v>
      </c>
      <c r="G105" s="2">
        <v>43881</v>
      </c>
      <c r="H105" t="s">
        <v>31</v>
      </c>
      <c r="I105" t="s">
        <v>32</v>
      </c>
      <c r="J105" t="s">
        <v>24</v>
      </c>
    </row>
    <row r="106" spans="1:10" x14ac:dyDescent="0.3">
      <c r="A106" t="s">
        <v>53</v>
      </c>
      <c r="B106" t="s">
        <v>63</v>
      </c>
      <c r="C106" t="s">
        <v>54</v>
      </c>
      <c r="D106" t="s">
        <v>12</v>
      </c>
      <c r="E106" t="s">
        <v>35</v>
      </c>
      <c r="F106" t="s">
        <v>40</v>
      </c>
      <c r="G106" s="2" t="s">
        <v>50</v>
      </c>
      <c r="H106" t="s">
        <v>15</v>
      </c>
      <c r="I106" t="s">
        <v>32</v>
      </c>
      <c r="J106" t="s">
        <v>28</v>
      </c>
    </row>
    <row r="107" spans="1:10" x14ac:dyDescent="0.3">
      <c r="A107" t="s">
        <v>56</v>
      </c>
      <c r="B107">
        <v>50</v>
      </c>
      <c r="C107">
        <v>65000</v>
      </c>
      <c r="D107" t="s">
        <v>34</v>
      </c>
      <c r="E107" t="s">
        <v>30</v>
      </c>
      <c r="F107" t="s">
        <v>14</v>
      </c>
      <c r="G107" s="2" t="s">
        <v>60</v>
      </c>
      <c r="H107" t="s">
        <v>31</v>
      </c>
      <c r="I107" t="s">
        <v>32</v>
      </c>
      <c r="J107" t="s">
        <v>28</v>
      </c>
    </row>
    <row r="108" spans="1:10" x14ac:dyDescent="0.3">
      <c r="A108" t="s">
        <v>61</v>
      </c>
      <c r="B108" t="s">
        <v>51</v>
      </c>
      <c r="C108">
        <v>70000</v>
      </c>
      <c r="D108" t="s">
        <v>12</v>
      </c>
      <c r="E108" t="s">
        <v>20</v>
      </c>
      <c r="F108" t="s">
        <v>37</v>
      </c>
      <c r="G108" s="2" t="s">
        <v>60</v>
      </c>
      <c r="H108" t="s">
        <v>22</v>
      </c>
      <c r="J108" t="s">
        <v>24</v>
      </c>
    </row>
    <row r="109" spans="1:10" x14ac:dyDescent="0.3">
      <c r="A109" t="s">
        <v>53</v>
      </c>
      <c r="B109">
        <v>25</v>
      </c>
      <c r="C109">
        <v>70000</v>
      </c>
      <c r="D109" t="s">
        <v>34</v>
      </c>
      <c r="E109" t="s">
        <v>20</v>
      </c>
      <c r="F109" t="s">
        <v>41</v>
      </c>
      <c r="G109" s="2" t="s">
        <v>55</v>
      </c>
      <c r="H109" t="s">
        <v>22</v>
      </c>
      <c r="I109" t="s">
        <v>23</v>
      </c>
      <c r="J109" t="s">
        <v>51</v>
      </c>
    </row>
    <row r="110" spans="1:10" x14ac:dyDescent="0.3">
      <c r="A110" t="s">
        <v>64</v>
      </c>
      <c r="B110" t="s">
        <v>63</v>
      </c>
      <c r="C110" t="s">
        <v>58</v>
      </c>
      <c r="D110" t="s">
        <v>12</v>
      </c>
      <c r="E110" t="s">
        <v>13</v>
      </c>
      <c r="F110" t="s">
        <v>37</v>
      </c>
      <c r="G110" s="2" t="s">
        <v>62</v>
      </c>
      <c r="H110" t="s">
        <v>31</v>
      </c>
      <c r="I110" t="s">
        <v>51</v>
      </c>
      <c r="J110" t="s">
        <v>57</v>
      </c>
    </row>
    <row r="111" spans="1:10" x14ac:dyDescent="0.3">
      <c r="A111" t="s">
        <v>61</v>
      </c>
      <c r="B111">
        <v>50</v>
      </c>
      <c r="C111" t="s">
        <v>54</v>
      </c>
      <c r="D111" t="s">
        <v>34</v>
      </c>
      <c r="E111" t="s">
        <v>13</v>
      </c>
      <c r="F111" t="s">
        <v>37</v>
      </c>
      <c r="G111" s="2" t="s">
        <v>62</v>
      </c>
      <c r="H111" t="s">
        <v>31</v>
      </c>
      <c r="I111" t="s">
        <v>16</v>
      </c>
      <c r="J111" t="s">
        <v>42</v>
      </c>
    </row>
    <row r="112" spans="1:10" x14ac:dyDescent="0.3">
      <c r="A112" t="s">
        <v>66</v>
      </c>
      <c r="B112">
        <v>50</v>
      </c>
      <c r="C112">
        <v>55000</v>
      </c>
      <c r="D112" t="s">
        <v>19</v>
      </c>
      <c r="E112" t="s">
        <v>26</v>
      </c>
      <c r="F112" t="s">
        <v>37</v>
      </c>
      <c r="G112" s="2" t="s">
        <v>55</v>
      </c>
      <c r="H112" t="s">
        <v>31</v>
      </c>
      <c r="I112" t="s">
        <v>51</v>
      </c>
      <c r="J112" t="s">
        <v>24</v>
      </c>
    </row>
    <row r="113" spans="1:10" x14ac:dyDescent="0.3">
      <c r="A113" t="s">
        <v>61</v>
      </c>
      <c r="B113">
        <v>35</v>
      </c>
      <c r="C113" t="s">
        <v>58</v>
      </c>
      <c r="D113" t="s">
        <v>34</v>
      </c>
      <c r="E113" t="s">
        <v>30</v>
      </c>
      <c r="F113" t="s">
        <v>14</v>
      </c>
      <c r="G113" s="2" t="s">
        <v>62</v>
      </c>
      <c r="H113" t="s">
        <v>22</v>
      </c>
      <c r="I113" t="s">
        <v>23</v>
      </c>
      <c r="J113" t="s">
        <v>57</v>
      </c>
    </row>
    <row r="114" spans="1:10" x14ac:dyDescent="0.3">
      <c r="A114" t="s">
        <v>56</v>
      </c>
      <c r="B114" t="s">
        <v>51</v>
      </c>
      <c r="C114">
        <v>70000</v>
      </c>
      <c r="D114" t="s">
        <v>12</v>
      </c>
      <c r="E114" t="s">
        <v>13</v>
      </c>
      <c r="F114" t="s">
        <v>14</v>
      </c>
      <c r="G114" s="2">
        <v>43881</v>
      </c>
      <c r="H114" t="s">
        <v>38</v>
      </c>
      <c r="I114" t="s">
        <v>23</v>
      </c>
      <c r="J114" t="s">
        <v>57</v>
      </c>
    </row>
    <row r="115" spans="1:10" x14ac:dyDescent="0.3">
      <c r="A115" t="s">
        <v>61</v>
      </c>
      <c r="B115">
        <v>25</v>
      </c>
      <c r="C115">
        <v>65000</v>
      </c>
      <c r="D115" t="s">
        <v>19</v>
      </c>
      <c r="E115" t="s">
        <v>13</v>
      </c>
      <c r="F115" t="s">
        <v>41</v>
      </c>
      <c r="G115" s="2" t="s">
        <v>62</v>
      </c>
      <c r="H115" t="s">
        <v>31</v>
      </c>
      <c r="J115" t="s">
        <v>28</v>
      </c>
    </row>
    <row r="116" spans="1:10" x14ac:dyDescent="0.3">
      <c r="A116" t="s">
        <v>66</v>
      </c>
      <c r="B116">
        <v>40</v>
      </c>
      <c r="C116">
        <v>70000</v>
      </c>
      <c r="D116" t="s">
        <v>34</v>
      </c>
      <c r="E116" t="s">
        <v>30</v>
      </c>
      <c r="F116" t="s">
        <v>21</v>
      </c>
      <c r="G116" s="2" t="s">
        <v>62</v>
      </c>
      <c r="H116" t="s">
        <v>15</v>
      </c>
      <c r="I116" t="s">
        <v>32</v>
      </c>
      <c r="J116" t="s">
        <v>42</v>
      </c>
    </row>
    <row r="117" spans="1:10" x14ac:dyDescent="0.3">
      <c r="A117" t="s">
        <v>56</v>
      </c>
      <c r="B117">
        <v>35</v>
      </c>
      <c r="C117">
        <v>65000</v>
      </c>
      <c r="D117" t="s">
        <v>34</v>
      </c>
      <c r="E117" t="s">
        <v>26</v>
      </c>
      <c r="F117" t="s">
        <v>21</v>
      </c>
      <c r="G117" s="2" t="s">
        <v>55</v>
      </c>
      <c r="H117" t="s">
        <v>22</v>
      </c>
      <c r="I117" t="s">
        <v>32</v>
      </c>
      <c r="J117" t="s">
        <v>24</v>
      </c>
    </row>
    <row r="118" spans="1:10" x14ac:dyDescent="0.3">
      <c r="A118" t="s">
        <v>59</v>
      </c>
      <c r="B118" t="s">
        <v>63</v>
      </c>
      <c r="C118" t="s">
        <v>58</v>
      </c>
      <c r="D118" t="s">
        <v>34</v>
      </c>
      <c r="E118" t="s">
        <v>13</v>
      </c>
      <c r="F118" t="s">
        <v>21</v>
      </c>
      <c r="G118" s="2" t="s">
        <v>50</v>
      </c>
      <c r="H118" t="s">
        <v>27</v>
      </c>
      <c r="I118" t="s">
        <v>23</v>
      </c>
      <c r="J118" t="s">
        <v>28</v>
      </c>
    </row>
    <row r="119" spans="1:10" x14ac:dyDescent="0.3">
      <c r="A119" t="s">
        <v>49</v>
      </c>
      <c r="B119" t="s">
        <v>63</v>
      </c>
      <c r="C119" t="s">
        <v>54</v>
      </c>
      <c r="D119" t="s">
        <v>34</v>
      </c>
      <c r="E119" t="s">
        <v>26</v>
      </c>
      <c r="F119" t="s">
        <v>41</v>
      </c>
      <c r="G119" s="2" t="s">
        <v>62</v>
      </c>
      <c r="H119" t="s">
        <v>27</v>
      </c>
      <c r="J119" t="s">
        <v>28</v>
      </c>
    </row>
    <row r="120" spans="1:10" x14ac:dyDescent="0.3">
      <c r="A120" t="s">
        <v>49</v>
      </c>
      <c r="B120">
        <v>35</v>
      </c>
      <c r="C120">
        <v>70000</v>
      </c>
      <c r="D120" t="s">
        <v>34</v>
      </c>
      <c r="E120" t="s">
        <v>35</v>
      </c>
      <c r="F120" t="s">
        <v>21</v>
      </c>
      <c r="G120" s="2" t="s">
        <v>62</v>
      </c>
      <c r="H120" t="s">
        <v>15</v>
      </c>
      <c r="J120" t="s">
        <v>51</v>
      </c>
    </row>
    <row r="121" spans="1:10" x14ac:dyDescent="0.3">
      <c r="A121" t="s">
        <v>67</v>
      </c>
      <c r="B121">
        <v>50</v>
      </c>
      <c r="C121">
        <v>65000</v>
      </c>
      <c r="D121" t="s">
        <v>19</v>
      </c>
      <c r="E121" t="s">
        <v>26</v>
      </c>
      <c r="F121" t="s">
        <v>21</v>
      </c>
      <c r="G121" s="2" t="s">
        <v>50</v>
      </c>
      <c r="H121" t="s">
        <v>38</v>
      </c>
      <c r="I121" t="s">
        <v>16</v>
      </c>
      <c r="J121" t="s">
        <v>57</v>
      </c>
    </row>
    <row r="122" spans="1:10" x14ac:dyDescent="0.3">
      <c r="A122" t="s">
        <v>59</v>
      </c>
      <c r="B122" t="s">
        <v>63</v>
      </c>
      <c r="C122" t="s">
        <v>54</v>
      </c>
      <c r="D122" t="s">
        <v>19</v>
      </c>
      <c r="E122" t="s">
        <v>20</v>
      </c>
      <c r="F122" t="s">
        <v>37</v>
      </c>
      <c r="G122" s="2" t="s">
        <v>55</v>
      </c>
      <c r="H122" t="s">
        <v>31</v>
      </c>
      <c r="I122" t="s">
        <v>32</v>
      </c>
      <c r="J122" t="s">
        <v>24</v>
      </c>
    </row>
    <row r="123" spans="1:10" x14ac:dyDescent="0.3">
      <c r="A123" t="s">
        <v>59</v>
      </c>
      <c r="B123" t="s">
        <v>51</v>
      </c>
      <c r="C123">
        <v>55000</v>
      </c>
      <c r="D123" t="s">
        <v>19</v>
      </c>
      <c r="E123" t="s">
        <v>20</v>
      </c>
      <c r="F123" t="s">
        <v>14</v>
      </c>
      <c r="G123" s="2" t="s">
        <v>50</v>
      </c>
      <c r="H123" t="s">
        <v>22</v>
      </c>
      <c r="I123" t="s">
        <v>23</v>
      </c>
      <c r="J123" t="s">
        <v>24</v>
      </c>
    </row>
    <row r="124" spans="1:10" x14ac:dyDescent="0.3">
      <c r="A124" t="s">
        <v>61</v>
      </c>
      <c r="B124">
        <v>25</v>
      </c>
      <c r="C124">
        <v>65000</v>
      </c>
      <c r="D124" t="s">
        <v>19</v>
      </c>
      <c r="E124" t="s">
        <v>26</v>
      </c>
      <c r="F124" t="s">
        <v>14</v>
      </c>
      <c r="G124" s="2" t="s">
        <v>55</v>
      </c>
      <c r="H124" t="s">
        <v>31</v>
      </c>
      <c r="I124" t="s">
        <v>51</v>
      </c>
      <c r="J124" t="s">
        <v>24</v>
      </c>
    </row>
    <row r="125" spans="1:10" x14ac:dyDescent="0.3">
      <c r="A125" t="s">
        <v>49</v>
      </c>
      <c r="B125" t="s">
        <v>51</v>
      </c>
      <c r="C125" t="s">
        <v>58</v>
      </c>
      <c r="D125" t="s">
        <v>12</v>
      </c>
      <c r="E125" t="s">
        <v>20</v>
      </c>
      <c r="F125" t="s">
        <v>37</v>
      </c>
      <c r="G125" s="2">
        <v>43881</v>
      </c>
      <c r="H125" t="s">
        <v>22</v>
      </c>
      <c r="I125" t="s">
        <v>32</v>
      </c>
      <c r="J125" t="s">
        <v>28</v>
      </c>
    </row>
    <row r="126" spans="1:10" x14ac:dyDescent="0.3">
      <c r="A126" t="s">
        <v>66</v>
      </c>
      <c r="B126" t="s">
        <v>63</v>
      </c>
      <c r="C126">
        <v>55000</v>
      </c>
      <c r="D126" t="s">
        <v>19</v>
      </c>
      <c r="E126" t="s">
        <v>35</v>
      </c>
      <c r="F126" t="s">
        <v>37</v>
      </c>
      <c r="G126" s="2" t="s">
        <v>55</v>
      </c>
      <c r="H126" t="s">
        <v>27</v>
      </c>
      <c r="I126" t="s">
        <v>16</v>
      </c>
      <c r="J126" t="s">
        <v>51</v>
      </c>
    </row>
    <row r="127" spans="1:10" x14ac:dyDescent="0.3">
      <c r="A127" t="s">
        <v>52</v>
      </c>
      <c r="B127">
        <v>40</v>
      </c>
      <c r="C127">
        <v>55000</v>
      </c>
      <c r="D127" t="s">
        <v>34</v>
      </c>
      <c r="E127" t="s">
        <v>30</v>
      </c>
      <c r="F127" t="s">
        <v>37</v>
      </c>
      <c r="G127" s="2">
        <v>43881</v>
      </c>
      <c r="H127" t="s">
        <v>31</v>
      </c>
      <c r="J127" t="s">
        <v>42</v>
      </c>
    </row>
    <row r="128" spans="1:10" x14ac:dyDescent="0.3">
      <c r="A128" t="s">
        <v>52</v>
      </c>
      <c r="B128">
        <v>25</v>
      </c>
      <c r="C128">
        <v>50000</v>
      </c>
      <c r="D128" t="s">
        <v>34</v>
      </c>
      <c r="E128" t="s">
        <v>20</v>
      </c>
      <c r="F128" t="s">
        <v>14</v>
      </c>
      <c r="G128" s="2">
        <v>43881</v>
      </c>
      <c r="H128" t="s">
        <v>15</v>
      </c>
      <c r="I128" t="s">
        <v>23</v>
      </c>
      <c r="J128" t="s">
        <v>28</v>
      </c>
    </row>
    <row r="129" spans="1:10" x14ac:dyDescent="0.3">
      <c r="A129" t="s">
        <v>56</v>
      </c>
      <c r="B129">
        <v>25</v>
      </c>
      <c r="C129">
        <v>70000</v>
      </c>
      <c r="D129" t="s">
        <v>19</v>
      </c>
      <c r="E129" t="s">
        <v>20</v>
      </c>
      <c r="F129" t="s">
        <v>21</v>
      </c>
      <c r="G129" s="2" t="s">
        <v>55</v>
      </c>
      <c r="H129" t="s">
        <v>38</v>
      </c>
      <c r="I129" t="s">
        <v>32</v>
      </c>
      <c r="J129" t="s">
        <v>42</v>
      </c>
    </row>
    <row r="130" spans="1:10" x14ac:dyDescent="0.3">
      <c r="A130" t="s">
        <v>49</v>
      </c>
      <c r="B130">
        <v>35</v>
      </c>
      <c r="C130">
        <v>65000</v>
      </c>
      <c r="D130" t="s">
        <v>34</v>
      </c>
      <c r="E130" t="s">
        <v>26</v>
      </c>
      <c r="F130" t="s">
        <v>37</v>
      </c>
      <c r="G130" s="2" t="s">
        <v>60</v>
      </c>
      <c r="H130" t="s">
        <v>15</v>
      </c>
      <c r="I130" t="s">
        <v>51</v>
      </c>
      <c r="J130" t="s">
        <v>51</v>
      </c>
    </row>
    <row r="131" spans="1:10" x14ac:dyDescent="0.3">
      <c r="A131" t="s">
        <v>49</v>
      </c>
      <c r="B131">
        <v>35</v>
      </c>
      <c r="C131">
        <v>55000</v>
      </c>
      <c r="D131" t="s">
        <v>19</v>
      </c>
      <c r="E131" t="s">
        <v>35</v>
      </c>
      <c r="F131" t="s">
        <v>41</v>
      </c>
      <c r="G131" s="2" t="s">
        <v>55</v>
      </c>
      <c r="H131" t="s">
        <v>38</v>
      </c>
      <c r="I131" t="s">
        <v>16</v>
      </c>
      <c r="J131" t="s">
        <v>57</v>
      </c>
    </row>
    <row r="132" spans="1:10" x14ac:dyDescent="0.3">
      <c r="A132" t="s">
        <v>52</v>
      </c>
      <c r="B132">
        <v>40</v>
      </c>
      <c r="C132">
        <v>50000</v>
      </c>
      <c r="D132" t="s">
        <v>34</v>
      </c>
      <c r="E132" t="s">
        <v>30</v>
      </c>
      <c r="F132" t="s">
        <v>37</v>
      </c>
      <c r="G132" s="2" t="s">
        <v>62</v>
      </c>
      <c r="H132" t="s">
        <v>31</v>
      </c>
      <c r="I132" t="s">
        <v>16</v>
      </c>
      <c r="J132" t="s">
        <v>24</v>
      </c>
    </row>
    <row r="133" spans="1:10" x14ac:dyDescent="0.3">
      <c r="A133" t="s">
        <v>49</v>
      </c>
      <c r="B133">
        <v>50</v>
      </c>
      <c r="C133" t="s">
        <v>58</v>
      </c>
      <c r="D133" t="s">
        <v>12</v>
      </c>
      <c r="E133" t="s">
        <v>26</v>
      </c>
      <c r="F133" t="s">
        <v>40</v>
      </c>
      <c r="G133" s="2" t="s">
        <v>62</v>
      </c>
      <c r="H133" t="s">
        <v>31</v>
      </c>
      <c r="I133" t="s">
        <v>32</v>
      </c>
      <c r="J133" t="s">
        <v>42</v>
      </c>
    </row>
    <row r="134" spans="1:10" x14ac:dyDescent="0.3">
      <c r="A134" t="s">
        <v>61</v>
      </c>
      <c r="B134">
        <v>25</v>
      </c>
      <c r="C134" t="s">
        <v>54</v>
      </c>
      <c r="D134" t="s">
        <v>12</v>
      </c>
      <c r="E134" t="s">
        <v>26</v>
      </c>
      <c r="F134" t="s">
        <v>37</v>
      </c>
      <c r="G134" s="2" t="s">
        <v>60</v>
      </c>
      <c r="H134" t="s">
        <v>38</v>
      </c>
      <c r="I134" t="s">
        <v>51</v>
      </c>
      <c r="J134" t="s">
        <v>28</v>
      </c>
    </row>
    <row r="135" spans="1:10" x14ac:dyDescent="0.3">
      <c r="A135" t="s">
        <v>64</v>
      </c>
      <c r="B135">
        <v>40</v>
      </c>
      <c r="C135">
        <v>65000</v>
      </c>
      <c r="D135" t="s">
        <v>19</v>
      </c>
      <c r="E135" t="s">
        <v>35</v>
      </c>
      <c r="F135" t="s">
        <v>14</v>
      </c>
      <c r="G135" s="2">
        <v>43881</v>
      </c>
      <c r="H135" t="s">
        <v>27</v>
      </c>
      <c r="I135" t="s">
        <v>16</v>
      </c>
      <c r="J135" t="s">
        <v>42</v>
      </c>
    </row>
    <row r="136" spans="1:10" x14ac:dyDescent="0.3">
      <c r="A136" t="s">
        <v>65</v>
      </c>
      <c r="B136">
        <v>35</v>
      </c>
      <c r="C136">
        <v>55000</v>
      </c>
      <c r="D136" t="s">
        <v>19</v>
      </c>
      <c r="E136" t="s">
        <v>30</v>
      </c>
      <c r="F136" t="s">
        <v>37</v>
      </c>
      <c r="G136" s="2" t="s">
        <v>60</v>
      </c>
      <c r="H136" t="s">
        <v>22</v>
      </c>
      <c r="I136" t="s">
        <v>23</v>
      </c>
      <c r="J136" t="s">
        <v>57</v>
      </c>
    </row>
    <row r="137" spans="1:10" x14ac:dyDescent="0.3">
      <c r="A137" t="s">
        <v>59</v>
      </c>
      <c r="B137">
        <v>35</v>
      </c>
      <c r="C137">
        <v>70000</v>
      </c>
      <c r="D137" t="s">
        <v>19</v>
      </c>
      <c r="E137" t="s">
        <v>35</v>
      </c>
      <c r="F137" t="s">
        <v>40</v>
      </c>
      <c r="G137" s="2" t="s">
        <v>62</v>
      </c>
      <c r="H137" t="s">
        <v>15</v>
      </c>
      <c r="I137" t="s">
        <v>16</v>
      </c>
      <c r="J137" t="s">
        <v>24</v>
      </c>
    </row>
    <row r="138" spans="1:10" x14ac:dyDescent="0.3">
      <c r="A138" t="s">
        <v>67</v>
      </c>
      <c r="B138">
        <v>25</v>
      </c>
      <c r="C138">
        <v>50000</v>
      </c>
      <c r="D138" t="s">
        <v>34</v>
      </c>
      <c r="E138" t="s">
        <v>30</v>
      </c>
      <c r="F138" t="s">
        <v>41</v>
      </c>
      <c r="G138" s="2" t="s">
        <v>60</v>
      </c>
      <c r="H138" t="s">
        <v>15</v>
      </c>
      <c r="I138" t="s">
        <v>51</v>
      </c>
      <c r="J138" t="s">
        <v>42</v>
      </c>
    </row>
    <row r="139" spans="1:10" x14ac:dyDescent="0.3">
      <c r="A139" t="s">
        <v>56</v>
      </c>
      <c r="B139" t="s">
        <v>51</v>
      </c>
      <c r="C139">
        <v>55000</v>
      </c>
      <c r="D139" t="s">
        <v>19</v>
      </c>
      <c r="E139" t="s">
        <v>35</v>
      </c>
      <c r="F139" t="s">
        <v>21</v>
      </c>
      <c r="G139" s="2" t="s">
        <v>55</v>
      </c>
      <c r="H139" t="s">
        <v>15</v>
      </c>
      <c r="J139" t="s">
        <v>57</v>
      </c>
    </row>
    <row r="140" spans="1:10" x14ac:dyDescent="0.3">
      <c r="A140" t="s">
        <v>64</v>
      </c>
      <c r="B140" t="s">
        <v>63</v>
      </c>
      <c r="C140">
        <v>70000</v>
      </c>
      <c r="D140" t="s">
        <v>12</v>
      </c>
      <c r="E140" t="s">
        <v>26</v>
      </c>
      <c r="F140" t="s">
        <v>37</v>
      </c>
      <c r="G140" s="2" t="s">
        <v>60</v>
      </c>
      <c r="H140" t="s">
        <v>31</v>
      </c>
      <c r="J140" t="s">
        <v>28</v>
      </c>
    </row>
    <row r="141" spans="1:10" x14ac:dyDescent="0.3">
      <c r="A141" t="s">
        <v>52</v>
      </c>
      <c r="B141">
        <v>35</v>
      </c>
      <c r="C141">
        <v>55000</v>
      </c>
      <c r="D141" t="s">
        <v>34</v>
      </c>
      <c r="E141" t="s">
        <v>26</v>
      </c>
      <c r="F141" t="s">
        <v>40</v>
      </c>
      <c r="G141" s="2">
        <v>43881</v>
      </c>
      <c r="H141" t="s">
        <v>15</v>
      </c>
      <c r="I141" t="s">
        <v>32</v>
      </c>
      <c r="J141" t="s">
        <v>51</v>
      </c>
    </row>
    <row r="142" spans="1:10" x14ac:dyDescent="0.3">
      <c r="A142" t="s">
        <v>59</v>
      </c>
      <c r="B142">
        <v>50</v>
      </c>
      <c r="C142">
        <v>65000</v>
      </c>
      <c r="D142" t="s">
        <v>19</v>
      </c>
      <c r="E142" t="s">
        <v>13</v>
      </c>
      <c r="F142" t="s">
        <v>40</v>
      </c>
      <c r="G142" s="2" t="s">
        <v>55</v>
      </c>
      <c r="H142" t="s">
        <v>22</v>
      </c>
      <c r="I142" t="s">
        <v>51</v>
      </c>
      <c r="J142" t="s">
        <v>28</v>
      </c>
    </row>
    <row r="143" spans="1:10" x14ac:dyDescent="0.3">
      <c r="A143" t="s">
        <v>49</v>
      </c>
      <c r="B143">
        <v>50</v>
      </c>
      <c r="C143">
        <v>65000</v>
      </c>
      <c r="D143" t="s">
        <v>34</v>
      </c>
      <c r="E143" t="s">
        <v>20</v>
      </c>
      <c r="F143" t="s">
        <v>41</v>
      </c>
      <c r="G143" s="2" t="s">
        <v>50</v>
      </c>
      <c r="H143" t="s">
        <v>22</v>
      </c>
      <c r="I143" t="s">
        <v>16</v>
      </c>
      <c r="J143" t="s">
        <v>24</v>
      </c>
    </row>
    <row r="144" spans="1:10" x14ac:dyDescent="0.3">
      <c r="A144" t="s">
        <v>67</v>
      </c>
      <c r="B144">
        <v>35</v>
      </c>
      <c r="C144">
        <v>65000</v>
      </c>
      <c r="D144" t="s">
        <v>34</v>
      </c>
      <c r="E144" t="s">
        <v>35</v>
      </c>
      <c r="F144" t="s">
        <v>14</v>
      </c>
      <c r="G144" s="2" t="s">
        <v>62</v>
      </c>
      <c r="H144" t="s">
        <v>38</v>
      </c>
      <c r="I144" t="s">
        <v>16</v>
      </c>
      <c r="J144" t="s">
        <v>28</v>
      </c>
    </row>
    <row r="145" spans="1:10" x14ac:dyDescent="0.3">
      <c r="A145" t="s">
        <v>49</v>
      </c>
      <c r="B145" t="s">
        <v>51</v>
      </c>
      <c r="C145" t="s">
        <v>58</v>
      </c>
      <c r="D145" t="s">
        <v>19</v>
      </c>
      <c r="E145" t="s">
        <v>13</v>
      </c>
      <c r="F145" t="s">
        <v>37</v>
      </c>
      <c r="G145" s="2" t="s">
        <v>62</v>
      </c>
      <c r="H145" t="s">
        <v>31</v>
      </c>
      <c r="J145" t="s">
        <v>28</v>
      </c>
    </row>
    <row r="146" spans="1:10" x14ac:dyDescent="0.3">
      <c r="A146" t="s">
        <v>66</v>
      </c>
      <c r="B146" t="s">
        <v>51</v>
      </c>
      <c r="C146" t="s">
        <v>58</v>
      </c>
      <c r="D146" t="s">
        <v>34</v>
      </c>
      <c r="E146" t="s">
        <v>20</v>
      </c>
      <c r="F146" t="s">
        <v>40</v>
      </c>
      <c r="G146" s="2" t="s">
        <v>60</v>
      </c>
      <c r="H146" t="s">
        <v>22</v>
      </c>
      <c r="J146" t="s">
        <v>28</v>
      </c>
    </row>
    <row r="147" spans="1:10" x14ac:dyDescent="0.3">
      <c r="A147" t="s">
        <v>66</v>
      </c>
      <c r="B147">
        <v>40</v>
      </c>
      <c r="C147">
        <v>50000</v>
      </c>
      <c r="D147" t="s">
        <v>12</v>
      </c>
      <c r="E147" t="s">
        <v>35</v>
      </c>
      <c r="F147" t="s">
        <v>41</v>
      </c>
      <c r="G147" s="2" t="s">
        <v>55</v>
      </c>
      <c r="H147" t="s">
        <v>27</v>
      </c>
      <c r="I147" t="s">
        <v>23</v>
      </c>
      <c r="J147" t="s">
        <v>28</v>
      </c>
    </row>
    <row r="148" spans="1:10" x14ac:dyDescent="0.3">
      <c r="A148" t="s">
        <v>67</v>
      </c>
      <c r="B148">
        <v>50</v>
      </c>
      <c r="C148">
        <v>65000</v>
      </c>
      <c r="D148" t="s">
        <v>12</v>
      </c>
      <c r="E148" t="s">
        <v>30</v>
      </c>
      <c r="F148" t="s">
        <v>21</v>
      </c>
      <c r="G148" s="2" t="s">
        <v>50</v>
      </c>
      <c r="H148" t="s">
        <v>31</v>
      </c>
      <c r="J148" t="s">
        <v>24</v>
      </c>
    </row>
    <row r="149" spans="1:10" x14ac:dyDescent="0.3">
      <c r="A149" t="s">
        <v>67</v>
      </c>
      <c r="B149">
        <v>40</v>
      </c>
      <c r="C149">
        <v>70000</v>
      </c>
      <c r="D149" t="s">
        <v>34</v>
      </c>
      <c r="E149" t="s">
        <v>20</v>
      </c>
      <c r="F149" t="s">
        <v>40</v>
      </c>
      <c r="G149" s="2" t="s">
        <v>55</v>
      </c>
      <c r="H149" t="s">
        <v>31</v>
      </c>
      <c r="I149" t="s">
        <v>23</v>
      </c>
      <c r="J149" t="s">
        <v>57</v>
      </c>
    </row>
    <row r="150" spans="1:10" x14ac:dyDescent="0.3">
      <c r="A150" t="s">
        <v>52</v>
      </c>
      <c r="B150">
        <v>50</v>
      </c>
      <c r="C150">
        <v>55000</v>
      </c>
      <c r="D150" t="s">
        <v>19</v>
      </c>
      <c r="E150" t="s">
        <v>26</v>
      </c>
      <c r="F150" t="s">
        <v>41</v>
      </c>
      <c r="G150" s="2" t="s">
        <v>62</v>
      </c>
      <c r="H150" t="s">
        <v>22</v>
      </c>
      <c r="I150" t="s">
        <v>16</v>
      </c>
      <c r="J150" t="s">
        <v>42</v>
      </c>
    </row>
    <row r="151" spans="1:10" x14ac:dyDescent="0.3">
      <c r="A151" t="s">
        <v>67</v>
      </c>
      <c r="B151" t="s">
        <v>63</v>
      </c>
      <c r="C151" t="s">
        <v>54</v>
      </c>
      <c r="D151" t="s">
        <v>34</v>
      </c>
      <c r="E151" t="s">
        <v>13</v>
      </c>
      <c r="F151" t="s">
        <v>14</v>
      </c>
      <c r="G151" s="2" t="s">
        <v>55</v>
      </c>
      <c r="H151" t="s">
        <v>27</v>
      </c>
      <c r="I151" t="s">
        <v>23</v>
      </c>
      <c r="J151" t="s">
        <v>51</v>
      </c>
    </row>
    <row r="152" spans="1:10" x14ac:dyDescent="0.3">
      <c r="A152" t="s">
        <v>61</v>
      </c>
      <c r="B152" t="s">
        <v>63</v>
      </c>
      <c r="C152">
        <v>70000</v>
      </c>
      <c r="D152" t="s">
        <v>12</v>
      </c>
      <c r="E152" t="s">
        <v>20</v>
      </c>
      <c r="F152" t="s">
        <v>14</v>
      </c>
      <c r="G152" s="2" t="s">
        <v>50</v>
      </c>
      <c r="H152" t="s">
        <v>38</v>
      </c>
      <c r="I152" t="s">
        <v>23</v>
      </c>
      <c r="J152" t="s">
        <v>42</v>
      </c>
    </row>
    <row r="153" spans="1:10" x14ac:dyDescent="0.3">
      <c r="A153" t="s">
        <v>49</v>
      </c>
      <c r="B153">
        <v>25</v>
      </c>
      <c r="C153" t="s">
        <v>58</v>
      </c>
      <c r="D153" t="s">
        <v>34</v>
      </c>
      <c r="E153" t="s">
        <v>20</v>
      </c>
      <c r="F153" t="s">
        <v>40</v>
      </c>
      <c r="G153" s="2" t="s">
        <v>60</v>
      </c>
      <c r="H153" t="s">
        <v>22</v>
      </c>
      <c r="I153" t="s">
        <v>32</v>
      </c>
      <c r="J153" t="s">
        <v>42</v>
      </c>
    </row>
    <row r="154" spans="1:10" x14ac:dyDescent="0.3">
      <c r="A154" t="s">
        <v>64</v>
      </c>
      <c r="B154">
        <v>40</v>
      </c>
      <c r="C154" t="s">
        <v>58</v>
      </c>
      <c r="D154" t="s">
        <v>34</v>
      </c>
      <c r="E154" t="s">
        <v>26</v>
      </c>
      <c r="F154" t="s">
        <v>40</v>
      </c>
      <c r="G154" s="2">
        <v>43881</v>
      </c>
      <c r="H154" t="s">
        <v>27</v>
      </c>
      <c r="J154" t="s">
        <v>51</v>
      </c>
    </row>
    <row r="155" spans="1:10" x14ac:dyDescent="0.3">
      <c r="A155" t="s">
        <v>53</v>
      </c>
      <c r="B155">
        <v>35</v>
      </c>
      <c r="C155">
        <v>70000</v>
      </c>
      <c r="D155" t="s">
        <v>12</v>
      </c>
      <c r="E155" t="s">
        <v>35</v>
      </c>
      <c r="F155" t="s">
        <v>37</v>
      </c>
      <c r="G155" s="2" t="s">
        <v>55</v>
      </c>
      <c r="H155" t="s">
        <v>31</v>
      </c>
      <c r="I155" t="s">
        <v>23</v>
      </c>
      <c r="J155" t="s">
        <v>24</v>
      </c>
    </row>
    <row r="156" spans="1:10" x14ac:dyDescent="0.3">
      <c r="A156" t="s">
        <v>67</v>
      </c>
      <c r="B156">
        <v>40</v>
      </c>
      <c r="C156" t="s">
        <v>58</v>
      </c>
      <c r="D156" t="s">
        <v>34</v>
      </c>
      <c r="E156" t="s">
        <v>30</v>
      </c>
      <c r="F156" t="s">
        <v>41</v>
      </c>
      <c r="G156" s="2">
        <v>43881</v>
      </c>
      <c r="H156" t="s">
        <v>27</v>
      </c>
      <c r="I156" t="s">
        <v>16</v>
      </c>
      <c r="J156" t="s">
        <v>51</v>
      </c>
    </row>
    <row r="157" spans="1:10" x14ac:dyDescent="0.3">
      <c r="A157" t="s">
        <v>56</v>
      </c>
      <c r="B157">
        <v>35</v>
      </c>
      <c r="C157">
        <v>65000</v>
      </c>
      <c r="D157" t="s">
        <v>34</v>
      </c>
      <c r="E157" t="s">
        <v>26</v>
      </c>
      <c r="F157" t="s">
        <v>40</v>
      </c>
      <c r="G157" s="2" t="s">
        <v>62</v>
      </c>
      <c r="H157" t="s">
        <v>31</v>
      </c>
      <c r="I157" t="s">
        <v>51</v>
      </c>
      <c r="J157" t="s">
        <v>24</v>
      </c>
    </row>
    <row r="158" spans="1:10" x14ac:dyDescent="0.3">
      <c r="A158" t="s">
        <v>66</v>
      </c>
      <c r="B158" t="s">
        <v>51</v>
      </c>
      <c r="C158">
        <v>50000</v>
      </c>
      <c r="D158" t="s">
        <v>19</v>
      </c>
      <c r="E158" t="s">
        <v>30</v>
      </c>
      <c r="F158" t="s">
        <v>37</v>
      </c>
      <c r="G158" s="2" t="s">
        <v>60</v>
      </c>
      <c r="H158" t="s">
        <v>22</v>
      </c>
      <c r="I158" t="s">
        <v>23</v>
      </c>
      <c r="J158" t="s">
        <v>42</v>
      </c>
    </row>
    <row r="159" spans="1:10" x14ac:dyDescent="0.3">
      <c r="A159" t="s">
        <v>61</v>
      </c>
      <c r="B159">
        <v>40</v>
      </c>
      <c r="C159">
        <v>55000</v>
      </c>
      <c r="D159" t="s">
        <v>19</v>
      </c>
      <c r="E159" t="s">
        <v>35</v>
      </c>
      <c r="F159" t="s">
        <v>37</v>
      </c>
      <c r="G159" s="2" t="s">
        <v>60</v>
      </c>
      <c r="H159" t="s">
        <v>22</v>
      </c>
      <c r="J159" t="s">
        <v>24</v>
      </c>
    </row>
    <row r="160" spans="1:10" x14ac:dyDescent="0.3">
      <c r="A160" t="s">
        <v>59</v>
      </c>
      <c r="B160" t="s">
        <v>51</v>
      </c>
      <c r="C160">
        <v>50000</v>
      </c>
      <c r="D160" t="s">
        <v>12</v>
      </c>
      <c r="E160" t="s">
        <v>20</v>
      </c>
      <c r="F160" t="s">
        <v>40</v>
      </c>
      <c r="G160" s="2" t="s">
        <v>55</v>
      </c>
      <c r="H160" t="s">
        <v>15</v>
      </c>
      <c r="I160" t="s">
        <v>32</v>
      </c>
      <c r="J160" t="s">
        <v>57</v>
      </c>
    </row>
    <row r="161" spans="1:10" x14ac:dyDescent="0.3">
      <c r="A161" t="s">
        <v>53</v>
      </c>
      <c r="B161" t="s">
        <v>63</v>
      </c>
      <c r="C161">
        <v>55000</v>
      </c>
      <c r="D161" t="s">
        <v>12</v>
      </c>
      <c r="E161" t="s">
        <v>30</v>
      </c>
      <c r="F161" t="s">
        <v>14</v>
      </c>
      <c r="G161" s="2" t="s">
        <v>60</v>
      </c>
      <c r="H161" t="s">
        <v>15</v>
      </c>
      <c r="I161" t="s">
        <v>16</v>
      </c>
      <c r="J161" t="s">
        <v>51</v>
      </c>
    </row>
    <row r="162" spans="1:10" x14ac:dyDescent="0.3">
      <c r="A162" t="s">
        <v>64</v>
      </c>
      <c r="B162" t="s">
        <v>63</v>
      </c>
      <c r="C162">
        <v>55000</v>
      </c>
      <c r="D162" t="s">
        <v>12</v>
      </c>
      <c r="E162" t="s">
        <v>13</v>
      </c>
      <c r="F162" t="s">
        <v>41</v>
      </c>
      <c r="G162" s="2" t="s">
        <v>55</v>
      </c>
      <c r="H162" t="s">
        <v>15</v>
      </c>
      <c r="I162" t="s">
        <v>32</v>
      </c>
      <c r="J162" t="s">
        <v>57</v>
      </c>
    </row>
    <row r="163" spans="1:10" x14ac:dyDescent="0.3">
      <c r="A163" t="s">
        <v>53</v>
      </c>
      <c r="B163">
        <v>25</v>
      </c>
      <c r="C163">
        <v>50000</v>
      </c>
      <c r="D163" t="s">
        <v>19</v>
      </c>
      <c r="E163" t="s">
        <v>13</v>
      </c>
      <c r="F163" t="s">
        <v>41</v>
      </c>
      <c r="G163" s="2" t="s">
        <v>55</v>
      </c>
      <c r="H163" t="s">
        <v>22</v>
      </c>
      <c r="I163" t="s">
        <v>51</v>
      </c>
      <c r="J163" t="s">
        <v>42</v>
      </c>
    </row>
    <row r="164" spans="1:10" x14ac:dyDescent="0.3">
      <c r="A164" t="s">
        <v>67</v>
      </c>
      <c r="B164">
        <v>40</v>
      </c>
      <c r="C164">
        <v>70000</v>
      </c>
      <c r="D164" t="s">
        <v>12</v>
      </c>
      <c r="E164" t="s">
        <v>26</v>
      </c>
      <c r="F164" t="s">
        <v>14</v>
      </c>
      <c r="G164" s="2">
        <v>43881</v>
      </c>
      <c r="H164" t="s">
        <v>38</v>
      </c>
      <c r="I164" t="s">
        <v>23</v>
      </c>
      <c r="J164" t="s">
        <v>51</v>
      </c>
    </row>
    <row r="165" spans="1:10" x14ac:dyDescent="0.3">
      <c r="A165" t="s">
        <v>52</v>
      </c>
      <c r="B165" t="s">
        <v>51</v>
      </c>
      <c r="C165">
        <v>55000</v>
      </c>
      <c r="D165" t="s">
        <v>12</v>
      </c>
      <c r="E165" t="s">
        <v>35</v>
      </c>
      <c r="F165" t="s">
        <v>40</v>
      </c>
      <c r="G165" s="2" t="s">
        <v>60</v>
      </c>
      <c r="H165" t="s">
        <v>22</v>
      </c>
      <c r="I165" t="s">
        <v>23</v>
      </c>
      <c r="J165" t="s">
        <v>42</v>
      </c>
    </row>
    <row r="166" spans="1:10" x14ac:dyDescent="0.3">
      <c r="A166" t="s">
        <v>66</v>
      </c>
      <c r="B166">
        <v>35</v>
      </c>
      <c r="C166">
        <v>50000</v>
      </c>
      <c r="D166" t="s">
        <v>12</v>
      </c>
      <c r="E166" t="s">
        <v>26</v>
      </c>
      <c r="F166" t="s">
        <v>41</v>
      </c>
      <c r="G166" s="2" t="s">
        <v>55</v>
      </c>
      <c r="H166" t="s">
        <v>27</v>
      </c>
      <c r="J166" t="s">
        <v>57</v>
      </c>
    </row>
    <row r="167" spans="1:10" x14ac:dyDescent="0.3">
      <c r="A167" t="s">
        <v>66</v>
      </c>
      <c r="B167" t="s">
        <v>63</v>
      </c>
      <c r="C167">
        <v>55000</v>
      </c>
      <c r="D167" t="s">
        <v>19</v>
      </c>
      <c r="E167" t="s">
        <v>26</v>
      </c>
      <c r="F167" t="s">
        <v>40</v>
      </c>
      <c r="G167" s="2">
        <v>43881</v>
      </c>
      <c r="H167" t="s">
        <v>22</v>
      </c>
      <c r="I167" t="s">
        <v>23</v>
      </c>
      <c r="J167" t="s">
        <v>42</v>
      </c>
    </row>
    <row r="168" spans="1:10" x14ac:dyDescent="0.3">
      <c r="A168" t="s">
        <v>59</v>
      </c>
      <c r="B168" t="s">
        <v>63</v>
      </c>
      <c r="C168" t="s">
        <v>54</v>
      </c>
      <c r="D168" t="s">
        <v>34</v>
      </c>
      <c r="E168" t="s">
        <v>26</v>
      </c>
      <c r="F168" t="s">
        <v>40</v>
      </c>
      <c r="G168" s="2" t="s">
        <v>50</v>
      </c>
      <c r="H168" t="s">
        <v>22</v>
      </c>
      <c r="I168" t="s">
        <v>16</v>
      </c>
      <c r="J168" t="s">
        <v>51</v>
      </c>
    </row>
    <row r="169" spans="1:10" x14ac:dyDescent="0.3">
      <c r="A169" t="s">
        <v>52</v>
      </c>
      <c r="B169">
        <v>35</v>
      </c>
      <c r="C169">
        <v>70000</v>
      </c>
      <c r="D169" t="s">
        <v>12</v>
      </c>
      <c r="E169" t="s">
        <v>13</v>
      </c>
      <c r="F169" t="s">
        <v>37</v>
      </c>
      <c r="G169" s="2">
        <v>43881</v>
      </c>
      <c r="H169" t="s">
        <v>31</v>
      </c>
      <c r="I169" t="s">
        <v>51</v>
      </c>
      <c r="J169" t="s">
        <v>51</v>
      </c>
    </row>
    <row r="170" spans="1:10" x14ac:dyDescent="0.3">
      <c r="A170" t="s">
        <v>49</v>
      </c>
      <c r="B170" t="s">
        <v>51</v>
      </c>
      <c r="C170">
        <v>65000</v>
      </c>
      <c r="D170" t="s">
        <v>34</v>
      </c>
      <c r="E170" t="s">
        <v>13</v>
      </c>
      <c r="F170" t="s">
        <v>14</v>
      </c>
      <c r="G170" s="2">
        <v>43881</v>
      </c>
      <c r="H170" t="s">
        <v>31</v>
      </c>
      <c r="I170" t="s">
        <v>32</v>
      </c>
      <c r="J170" t="s">
        <v>42</v>
      </c>
    </row>
    <row r="171" spans="1:10" x14ac:dyDescent="0.3">
      <c r="A171" t="s">
        <v>65</v>
      </c>
      <c r="B171" t="s">
        <v>51</v>
      </c>
      <c r="C171">
        <v>55000</v>
      </c>
      <c r="D171" t="s">
        <v>12</v>
      </c>
      <c r="E171" t="s">
        <v>26</v>
      </c>
      <c r="F171" t="s">
        <v>40</v>
      </c>
      <c r="G171" s="2" t="s">
        <v>55</v>
      </c>
      <c r="H171" t="s">
        <v>31</v>
      </c>
      <c r="I171" t="s">
        <v>51</v>
      </c>
      <c r="J171" t="s">
        <v>51</v>
      </c>
    </row>
    <row r="172" spans="1:10" x14ac:dyDescent="0.3">
      <c r="A172" t="s">
        <v>61</v>
      </c>
      <c r="B172">
        <v>40</v>
      </c>
      <c r="C172" t="s">
        <v>54</v>
      </c>
      <c r="D172" t="s">
        <v>34</v>
      </c>
      <c r="E172" t="s">
        <v>13</v>
      </c>
      <c r="F172" t="s">
        <v>21</v>
      </c>
      <c r="G172" s="2" t="s">
        <v>62</v>
      </c>
      <c r="H172" t="s">
        <v>22</v>
      </c>
      <c r="I172" t="s">
        <v>23</v>
      </c>
      <c r="J172" t="s">
        <v>51</v>
      </c>
    </row>
    <row r="173" spans="1:10" x14ac:dyDescent="0.3">
      <c r="A173" t="s">
        <v>66</v>
      </c>
      <c r="B173">
        <v>40</v>
      </c>
      <c r="C173">
        <v>65000</v>
      </c>
      <c r="D173" t="s">
        <v>19</v>
      </c>
      <c r="E173" t="s">
        <v>35</v>
      </c>
      <c r="F173" t="s">
        <v>14</v>
      </c>
      <c r="G173" s="2" t="s">
        <v>62</v>
      </c>
      <c r="H173" t="s">
        <v>38</v>
      </c>
      <c r="I173" t="s">
        <v>32</v>
      </c>
      <c r="J173" t="s">
        <v>42</v>
      </c>
    </row>
    <row r="174" spans="1:10" x14ac:dyDescent="0.3">
      <c r="A174" t="s">
        <v>56</v>
      </c>
      <c r="B174">
        <v>50</v>
      </c>
      <c r="C174">
        <v>65000</v>
      </c>
      <c r="D174" t="s">
        <v>19</v>
      </c>
      <c r="E174" t="s">
        <v>26</v>
      </c>
      <c r="F174" t="s">
        <v>41</v>
      </c>
      <c r="G174" s="2" t="s">
        <v>62</v>
      </c>
      <c r="H174" t="s">
        <v>27</v>
      </c>
      <c r="J174" t="s">
        <v>57</v>
      </c>
    </row>
    <row r="175" spans="1:10" x14ac:dyDescent="0.3">
      <c r="A175" t="s">
        <v>66</v>
      </c>
      <c r="B175">
        <v>50</v>
      </c>
      <c r="C175">
        <v>55000</v>
      </c>
      <c r="D175" t="s">
        <v>12</v>
      </c>
      <c r="E175" t="s">
        <v>13</v>
      </c>
      <c r="F175" t="s">
        <v>37</v>
      </c>
      <c r="G175" s="2">
        <v>43881</v>
      </c>
      <c r="H175" t="s">
        <v>27</v>
      </c>
      <c r="I175" t="s">
        <v>51</v>
      </c>
      <c r="J175" t="s">
        <v>51</v>
      </c>
    </row>
    <row r="176" spans="1:10" x14ac:dyDescent="0.3">
      <c r="A176" t="s">
        <v>53</v>
      </c>
      <c r="B176">
        <v>25</v>
      </c>
      <c r="C176">
        <v>50000</v>
      </c>
      <c r="D176" t="s">
        <v>34</v>
      </c>
      <c r="E176" t="s">
        <v>30</v>
      </c>
      <c r="F176" t="s">
        <v>41</v>
      </c>
      <c r="G176" s="2" t="s">
        <v>55</v>
      </c>
      <c r="H176" t="s">
        <v>38</v>
      </c>
      <c r="I176" t="s">
        <v>32</v>
      </c>
      <c r="J176" t="s">
        <v>51</v>
      </c>
    </row>
    <row r="177" spans="1:10" x14ac:dyDescent="0.3">
      <c r="A177" t="s">
        <v>66</v>
      </c>
      <c r="B177" t="s">
        <v>63</v>
      </c>
      <c r="C177">
        <v>55000</v>
      </c>
      <c r="D177" t="s">
        <v>19</v>
      </c>
      <c r="E177" t="s">
        <v>26</v>
      </c>
      <c r="F177" t="s">
        <v>41</v>
      </c>
      <c r="G177" s="2" t="s">
        <v>60</v>
      </c>
      <c r="H177" t="s">
        <v>38</v>
      </c>
      <c r="I177" t="s">
        <v>32</v>
      </c>
      <c r="J177" t="s">
        <v>51</v>
      </c>
    </row>
    <row r="178" spans="1:10" x14ac:dyDescent="0.3">
      <c r="A178" t="s">
        <v>66</v>
      </c>
      <c r="B178">
        <v>40</v>
      </c>
      <c r="C178" t="s">
        <v>54</v>
      </c>
      <c r="D178" t="s">
        <v>12</v>
      </c>
      <c r="E178" t="s">
        <v>26</v>
      </c>
      <c r="F178" t="s">
        <v>14</v>
      </c>
      <c r="G178" s="2">
        <v>43881</v>
      </c>
      <c r="H178" t="s">
        <v>27</v>
      </c>
      <c r="I178" t="s">
        <v>32</v>
      </c>
      <c r="J178" t="s">
        <v>51</v>
      </c>
    </row>
    <row r="179" spans="1:10" x14ac:dyDescent="0.3">
      <c r="A179" t="s">
        <v>65</v>
      </c>
      <c r="B179" t="s">
        <v>51</v>
      </c>
      <c r="C179">
        <v>65000</v>
      </c>
      <c r="D179" t="s">
        <v>12</v>
      </c>
      <c r="E179" t="s">
        <v>35</v>
      </c>
      <c r="F179" t="s">
        <v>41</v>
      </c>
      <c r="G179" s="2">
        <v>43881</v>
      </c>
      <c r="H179" t="s">
        <v>15</v>
      </c>
      <c r="I179" t="s">
        <v>16</v>
      </c>
      <c r="J179" t="s">
        <v>42</v>
      </c>
    </row>
    <row r="180" spans="1:10" x14ac:dyDescent="0.3">
      <c r="A180" t="s">
        <v>65</v>
      </c>
      <c r="B180">
        <v>35</v>
      </c>
      <c r="C180">
        <v>55000</v>
      </c>
      <c r="D180" t="s">
        <v>19</v>
      </c>
      <c r="E180" t="s">
        <v>20</v>
      </c>
      <c r="F180" t="s">
        <v>40</v>
      </c>
      <c r="G180" s="2" t="s">
        <v>55</v>
      </c>
      <c r="H180" t="s">
        <v>31</v>
      </c>
      <c r="I180" t="s">
        <v>51</v>
      </c>
      <c r="J180" t="s">
        <v>57</v>
      </c>
    </row>
    <row r="181" spans="1:10" x14ac:dyDescent="0.3">
      <c r="A181" t="s">
        <v>64</v>
      </c>
      <c r="B181" t="s">
        <v>51</v>
      </c>
      <c r="C181">
        <v>50000</v>
      </c>
      <c r="D181" t="s">
        <v>19</v>
      </c>
      <c r="E181" t="s">
        <v>20</v>
      </c>
      <c r="F181" t="s">
        <v>41</v>
      </c>
      <c r="G181" s="2" t="s">
        <v>50</v>
      </c>
      <c r="H181" t="s">
        <v>31</v>
      </c>
      <c r="I181" t="s">
        <v>32</v>
      </c>
      <c r="J181" t="s">
        <v>57</v>
      </c>
    </row>
    <row r="182" spans="1:10" x14ac:dyDescent="0.3">
      <c r="A182" t="s">
        <v>49</v>
      </c>
      <c r="B182" t="s">
        <v>63</v>
      </c>
      <c r="C182">
        <v>55000</v>
      </c>
      <c r="D182" t="s">
        <v>12</v>
      </c>
      <c r="E182" t="s">
        <v>35</v>
      </c>
      <c r="F182" t="s">
        <v>37</v>
      </c>
      <c r="G182" s="2">
        <v>43881</v>
      </c>
      <c r="H182" t="s">
        <v>27</v>
      </c>
      <c r="I182" t="s">
        <v>51</v>
      </c>
      <c r="J182" t="s">
        <v>24</v>
      </c>
    </row>
    <row r="183" spans="1:10" x14ac:dyDescent="0.3">
      <c r="A183" t="s">
        <v>56</v>
      </c>
      <c r="B183">
        <v>50</v>
      </c>
      <c r="C183">
        <v>70000</v>
      </c>
      <c r="D183" t="s">
        <v>34</v>
      </c>
      <c r="E183" t="s">
        <v>35</v>
      </c>
      <c r="F183" t="s">
        <v>37</v>
      </c>
      <c r="G183" s="2" t="s">
        <v>50</v>
      </c>
      <c r="H183" t="s">
        <v>38</v>
      </c>
      <c r="I183" t="s">
        <v>32</v>
      </c>
      <c r="J183" t="s">
        <v>51</v>
      </c>
    </row>
    <row r="184" spans="1:10" x14ac:dyDescent="0.3">
      <c r="A184" t="s">
        <v>66</v>
      </c>
      <c r="B184" t="s">
        <v>51</v>
      </c>
      <c r="C184">
        <v>50000</v>
      </c>
      <c r="D184" t="s">
        <v>34</v>
      </c>
      <c r="E184" t="s">
        <v>35</v>
      </c>
      <c r="F184" t="s">
        <v>21</v>
      </c>
      <c r="G184" s="2" t="s">
        <v>50</v>
      </c>
      <c r="H184" t="s">
        <v>15</v>
      </c>
      <c r="J184" t="s">
        <v>51</v>
      </c>
    </row>
    <row r="185" spans="1:10" x14ac:dyDescent="0.3">
      <c r="A185" t="s">
        <v>66</v>
      </c>
      <c r="B185">
        <v>25</v>
      </c>
      <c r="C185" t="s">
        <v>54</v>
      </c>
      <c r="D185" t="s">
        <v>34</v>
      </c>
      <c r="E185" t="s">
        <v>20</v>
      </c>
      <c r="F185" t="s">
        <v>37</v>
      </c>
      <c r="G185" s="2" t="s">
        <v>62</v>
      </c>
      <c r="H185" t="s">
        <v>27</v>
      </c>
      <c r="J185" t="s">
        <v>24</v>
      </c>
    </row>
    <row r="186" spans="1:10" x14ac:dyDescent="0.3">
      <c r="A186" t="s">
        <v>61</v>
      </c>
      <c r="B186" t="s">
        <v>63</v>
      </c>
      <c r="C186">
        <v>65000</v>
      </c>
      <c r="D186" t="s">
        <v>12</v>
      </c>
      <c r="E186" t="s">
        <v>35</v>
      </c>
      <c r="F186" t="s">
        <v>41</v>
      </c>
      <c r="G186" s="2" t="s">
        <v>55</v>
      </c>
      <c r="H186" t="s">
        <v>31</v>
      </c>
      <c r="J186" t="s">
        <v>57</v>
      </c>
    </row>
    <row r="187" spans="1:10" x14ac:dyDescent="0.3">
      <c r="A187" t="s">
        <v>65</v>
      </c>
      <c r="B187">
        <v>50</v>
      </c>
      <c r="C187">
        <v>55000</v>
      </c>
      <c r="D187" t="s">
        <v>19</v>
      </c>
      <c r="E187" t="s">
        <v>13</v>
      </c>
      <c r="F187" t="s">
        <v>37</v>
      </c>
      <c r="G187" s="2" t="s">
        <v>50</v>
      </c>
      <c r="H187" t="s">
        <v>22</v>
      </c>
      <c r="I187" t="s">
        <v>23</v>
      </c>
      <c r="J187" t="s">
        <v>28</v>
      </c>
    </row>
    <row r="188" spans="1:10" x14ac:dyDescent="0.3">
      <c r="A188" t="s">
        <v>56</v>
      </c>
      <c r="B188">
        <v>35</v>
      </c>
      <c r="C188">
        <v>50000</v>
      </c>
      <c r="D188" t="s">
        <v>12</v>
      </c>
      <c r="E188" t="s">
        <v>26</v>
      </c>
      <c r="F188" t="s">
        <v>14</v>
      </c>
      <c r="G188" s="2" t="s">
        <v>55</v>
      </c>
      <c r="H188" t="s">
        <v>38</v>
      </c>
      <c r="I188" t="s">
        <v>32</v>
      </c>
      <c r="J188" t="s">
        <v>28</v>
      </c>
    </row>
    <row r="189" spans="1:10" x14ac:dyDescent="0.3">
      <c r="A189" t="s">
        <v>59</v>
      </c>
      <c r="B189">
        <v>50</v>
      </c>
      <c r="C189">
        <v>70000</v>
      </c>
      <c r="D189" t="s">
        <v>19</v>
      </c>
      <c r="E189" t="s">
        <v>26</v>
      </c>
      <c r="F189" t="s">
        <v>37</v>
      </c>
      <c r="G189" s="2" t="s">
        <v>62</v>
      </c>
      <c r="H189" t="s">
        <v>22</v>
      </c>
      <c r="I189" t="s">
        <v>23</v>
      </c>
      <c r="J189" t="s">
        <v>57</v>
      </c>
    </row>
    <row r="190" spans="1:10" x14ac:dyDescent="0.3">
      <c r="A190" t="s">
        <v>64</v>
      </c>
      <c r="B190">
        <v>25</v>
      </c>
      <c r="C190">
        <v>50000</v>
      </c>
      <c r="D190" t="s">
        <v>34</v>
      </c>
      <c r="E190" t="s">
        <v>30</v>
      </c>
      <c r="F190" t="s">
        <v>40</v>
      </c>
      <c r="G190" s="2" t="s">
        <v>55</v>
      </c>
      <c r="H190" t="s">
        <v>27</v>
      </c>
      <c r="I190" t="s">
        <v>51</v>
      </c>
      <c r="J190" t="s">
        <v>51</v>
      </c>
    </row>
    <row r="191" spans="1:10" x14ac:dyDescent="0.3">
      <c r="A191" t="s">
        <v>49</v>
      </c>
      <c r="B191" t="s">
        <v>63</v>
      </c>
      <c r="C191" t="s">
        <v>58</v>
      </c>
      <c r="D191" t="s">
        <v>34</v>
      </c>
      <c r="E191" t="s">
        <v>30</v>
      </c>
      <c r="F191" t="s">
        <v>14</v>
      </c>
      <c r="G191" s="2">
        <v>43881</v>
      </c>
      <c r="H191" t="s">
        <v>31</v>
      </c>
      <c r="I191" t="s">
        <v>23</v>
      </c>
      <c r="J191" t="s">
        <v>28</v>
      </c>
    </row>
    <row r="192" spans="1:10" x14ac:dyDescent="0.3">
      <c r="A192" t="s">
        <v>52</v>
      </c>
      <c r="B192">
        <v>35</v>
      </c>
      <c r="C192">
        <v>70000</v>
      </c>
      <c r="D192" t="s">
        <v>19</v>
      </c>
      <c r="E192" t="s">
        <v>26</v>
      </c>
      <c r="F192" t="s">
        <v>21</v>
      </c>
      <c r="G192" s="2" t="s">
        <v>50</v>
      </c>
      <c r="H192" t="s">
        <v>15</v>
      </c>
      <c r="I192" t="s">
        <v>51</v>
      </c>
      <c r="J192" t="s">
        <v>42</v>
      </c>
    </row>
    <row r="193" spans="1:10" x14ac:dyDescent="0.3">
      <c r="A193" t="s">
        <v>49</v>
      </c>
      <c r="B193">
        <v>25</v>
      </c>
      <c r="C193" t="s">
        <v>54</v>
      </c>
      <c r="D193" t="s">
        <v>19</v>
      </c>
      <c r="E193" t="s">
        <v>13</v>
      </c>
      <c r="F193" t="s">
        <v>40</v>
      </c>
      <c r="G193" s="2" t="s">
        <v>55</v>
      </c>
      <c r="H193" t="s">
        <v>22</v>
      </c>
      <c r="I193" t="s">
        <v>51</v>
      </c>
      <c r="J193" t="s">
        <v>42</v>
      </c>
    </row>
    <row r="194" spans="1:10" x14ac:dyDescent="0.3">
      <c r="A194" t="s">
        <v>53</v>
      </c>
      <c r="B194">
        <v>50</v>
      </c>
      <c r="C194">
        <v>65000</v>
      </c>
      <c r="D194" t="s">
        <v>12</v>
      </c>
      <c r="E194" t="s">
        <v>20</v>
      </c>
      <c r="F194" t="s">
        <v>41</v>
      </c>
      <c r="G194" s="2" t="s">
        <v>60</v>
      </c>
      <c r="H194" t="s">
        <v>15</v>
      </c>
      <c r="I194" t="s">
        <v>51</v>
      </c>
      <c r="J194" t="s">
        <v>24</v>
      </c>
    </row>
    <row r="195" spans="1:10" x14ac:dyDescent="0.3">
      <c r="A195" t="s">
        <v>66</v>
      </c>
      <c r="B195">
        <v>25</v>
      </c>
      <c r="C195" t="s">
        <v>54</v>
      </c>
      <c r="D195" t="s">
        <v>34</v>
      </c>
      <c r="E195" t="s">
        <v>20</v>
      </c>
      <c r="F195" t="s">
        <v>41</v>
      </c>
      <c r="G195" s="2" t="s">
        <v>55</v>
      </c>
      <c r="H195" t="s">
        <v>31</v>
      </c>
      <c r="I195" t="s">
        <v>23</v>
      </c>
      <c r="J195" t="s">
        <v>57</v>
      </c>
    </row>
    <row r="196" spans="1:10" x14ac:dyDescent="0.3">
      <c r="A196" t="s">
        <v>64</v>
      </c>
      <c r="B196" t="s">
        <v>63</v>
      </c>
      <c r="C196">
        <v>55000</v>
      </c>
      <c r="D196" t="s">
        <v>12</v>
      </c>
      <c r="E196" t="s">
        <v>13</v>
      </c>
      <c r="F196" t="s">
        <v>41</v>
      </c>
      <c r="G196" s="2" t="s">
        <v>50</v>
      </c>
      <c r="H196" t="s">
        <v>22</v>
      </c>
      <c r="I196" t="s">
        <v>32</v>
      </c>
      <c r="J196" t="s">
        <v>57</v>
      </c>
    </row>
    <row r="197" spans="1:10" x14ac:dyDescent="0.3">
      <c r="A197" t="s">
        <v>53</v>
      </c>
      <c r="B197">
        <v>40</v>
      </c>
      <c r="C197">
        <v>50000</v>
      </c>
      <c r="D197" t="s">
        <v>12</v>
      </c>
      <c r="E197" t="s">
        <v>20</v>
      </c>
      <c r="F197" t="s">
        <v>40</v>
      </c>
      <c r="G197" s="2" t="s">
        <v>62</v>
      </c>
      <c r="H197" t="s">
        <v>15</v>
      </c>
      <c r="I197" t="s">
        <v>23</v>
      </c>
      <c r="J197" t="s">
        <v>28</v>
      </c>
    </row>
    <row r="198" spans="1:10" x14ac:dyDescent="0.3">
      <c r="A198" t="s">
        <v>56</v>
      </c>
      <c r="B198">
        <v>25</v>
      </c>
      <c r="C198" t="s">
        <v>58</v>
      </c>
      <c r="D198" t="s">
        <v>12</v>
      </c>
      <c r="E198" t="s">
        <v>35</v>
      </c>
      <c r="F198" t="s">
        <v>40</v>
      </c>
      <c r="G198" s="2" t="s">
        <v>62</v>
      </c>
      <c r="H198" t="s">
        <v>15</v>
      </c>
      <c r="I198" t="s">
        <v>32</v>
      </c>
      <c r="J198" t="s">
        <v>51</v>
      </c>
    </row>
    <row r="199" spans="1:10" x14ac:dyDescent="0.3">
      <c r="A199" t="s">
        <v>52</v>
      </c>
      <c r="B199">
        <v>25</v>
      </c>
      <c r="C199">
        <v>70000</v>
      </c>
      <c r="D199" t="s">
        <v>34</v>
      </c>
      <c r="E199" t="s">
        <v>26</v>
      </c>
      <c r="F199" t="s">
        <v>40</v>
      </c>
      <c r="G199" s="2" t="s">
        <v>50</v>
      </c>
      <c r="H199" t="s">
        <v>22</v>
      </c>
      <c r="I199" t="s">
        <v>32</v>
      </c>
      <c r="J199" t="s">
        <v>57</v>
      </c>
    </row>
    <row r="200" spans="1:10" x14ac:dyDescent="0.3">
      <c r="A200" t="s">
        <v>65</v>
      </c>
      <c r="B200">
        <v>50</v>
      </c>
      <c r="C200">
        <v>70000</v>
      </c>
      <c r="D200" t="s">
        <v>12</v>
      </c>
      <c r="E200" t="s">
        <v>26</v>
      </c>
      <c r="F200" t="s">
        <v>14</v>
      </c>
      <c r="G200" s="2">
        <v>43881</v>
      </c>
      <c r="H200" t="s">
        <v>31</v>
      </c>
      <c r="I200" t="s">
        <v>51</v>
      </c>
      <c r="J200" t="s">
        <v>28</v>
      </c>
    </row>
    <row r="201" spans="1:10" x14ac:dyDescent="0.3">
      <c r="A201" t="s">
        <v>64</v>
      </c>
      <c r="B201">
        <v>50</v>
      </c>
      <c r="C201">
        <v>50000</v>
      </c>
      <c r="D201" t="s">
        <v>12</v>
      </c>
      <c r="E201" t="s">
        <v>13</v>
      </c>
      <c r="F201" t="s">
        <v>14</v>
      </c>
      <c r="G201" s="2">
        <v>43881</v>
      </c>
      <c r="H201" t="s">
        <v>15</v>
      </c>
      <c r="I201" t="s">
        <v>23</v>
      </c>
      <c r="J201" t="s">
        <v>28</v>
      </c>
    </row>
    <row r="202" spans="1:10" x14ac:dyDescent="0.3">
      <c r="A202" t="s">
        <v>64</v>
      </c>
      <c r="B202">
        <v>35</v>
      </c>
      <c r="C202" t="s">
        <v>58</v>
      </c>
      <c r="D202" t="s">
        <v>12</v>
      </c>
      <c r="E202" t="s">
        <v>20</v>
      </c>
      <c r="F202" t="s">
        <v>41</v>
      </c>
      <c r="G202" s="2" t="s">
        <v>62</v>
      </c>
      <c r="H202" t="s">
        <v>27</v>
      </c>
      <c r="I202" t="s">
        <v>32</v>
      </c>
      <c r="J202" t="s">
        <v>57</v>
      </c>
    </row>
    <row r="203" spans="1:10" x14ac:dyDescent="0.3">
      <c r="A203" t="s">
        <v>66</v>
      </c>
      <c r="B203">
        <v>50</v>
      </c>
      <c r="C203">
        <v>50000</v>
      </c>
      <c r="D203" t="s">
        <v>12</v>
      </c>
      <c r="E203" t="s">
        <v>30</v>
      </c>
      <c r="F203" t="s">
        <v>37</v>
      </c>
      <c r="G203" s="2" t="s">
        <v>62</v>
      </c>
      <c r="H203" t="s">
        <v>22</v>
      </c>
      <c r="J203" t="s">
        <v>28</v>
      </c>
    </row>
    <row r="204" spans="1:10" x14ac:dyDescent="0.3">
      <c r="A204" t="s">
        <v>67</v>
      </c>
      <c r="B204" t="s">
        <v>51</v>
      </c>
      <c r="C204">
        <v>55000</v>
      </c>
      <c r="D204" t="s">
        <v>12</v>
      </c>
      <c r="E204" t="s">
        <v>30</v>
      </c>
      <c r="F204" t="s">
        <v>41</v>
      </c>
      <c r="G204" s="2" t="s">
        <v>50</v>
      </c>
      <c r="H204" t="s">
        <v>38</v>
      </c>
      <c r="I204" t="s">
        <v>32</v>
      </c>
      <c r="J204" t="s">
        <v>24</v>
      </c>
    </row>
    <row r="205" spans="1:10" x14ac:dyDescent="0.3">
      <c r="A205" t="s">
        <v>64</v>
      </c>
      <c r="B205" t="s">
        <v>63</v>
      </c>
      <c r="C205" t="s">
        <v>54</v>
      </c>
      <c r="D205" t="s">
        <v>12</v>
      </c>
      <c r="E205" t="s">
        <v>20</v>
      </c>
      <c r="F205" t="s">
        <v>21</v>
      </c>
      <c r="G205" s="2">
        <v>43881</v>
      </c>
      <c r="H205" t="s">
        <v>38</v>
      </c>
      <c r="J205" t="s">
        <v>24</v>
      </c>
    </row>
    <row r="206" spans="1:10" x14ac:dyDescent="0.3">
      <c r="A206" t="s">
        <v>61</v>
      </c>
      <c r="B206" t="s">
        <v>63</v>
      </c>
      <c r="C206">
        <v>70000</v>
      </c>
      <c r="D206" t="s">
        <v>34</v>
      </c>
      <c r="E206" t="s">
        <v>30</v>
      </c>
      <c r="F206" t="s">
        <v>14</v>
      </c>
      <c r="G206" s="2" t="s">
        <v>62</v>
      </c>
      <c r="H206" t="s">
        <v>31</v>
      </c>
      <c r="I206" t="s">
        <v>23</v>
      </c>
      <c r="J206" t="s">
        <v>57</v>
      </c>
    </row>
    <row r="207" spans="1:10" x14ac:dyDescent="0.3">
      <c r="A207" t="s">
        <v>52</v>
      </c>
      <c r="B207">
        <v>40</v>
      </c>
      <c r="C207">
        <v>55000</v>
      </c>
      <c r="D207" t="s">
        <v>12</v>
      </c>
      <c r="E207" t="s">
        <v>13</v>
      </c>
      <c r="F207" t="s">
        <v>40</v>
      </c>
      <c r="G207" s="2">
        <v>43881</v>
      </c>
      <c r="H207" t="s">
        <v>27</v>
      </c>
      <c r="I207" t="s">
        <v>23</v>
      </c>
      <c r="J207" t="s">
        <v>51</v>
      </c>
    </row>
    <row r="208" spans="1:10" x14ac:dyDescent="0.3">
      <c r="A208" t="s">
        <v>52</v>
      </c>
      <c r="B208">
        <v>40</v>
      </c>
      <c r="C208" t="s">
        <v>54</v>
      </c>
      <c r="D208" t="s">
        <v>19</v>
      </c>
      <c r="E208" t="s">
        <v>13</v>
      </c>
      <c r="F208" t="s">
        <v>14</v>
      </c>
      <c r="G208" s="2" t="s">
        <v>62</v>
      </c>
      <c r="H208" t="s">
        <v>15</v>
      </c>
      <c r="I208" t="s">
        <v>23</v>
      </c>
      <c r="J208" t="s">
        <v>24</v>
      </c>
    </row>
    <row r="209" spans="1:10" x14ac:dyDescent="0.3">
      <c r="A209" t="s">
        <v>61</v>
      </c>
      <c r="B209" t="s">
        <v>63</v>
      </c>
      <c r="C209">
        <v>55000</v>
      </c>
      <c r="D209" t="s">
        <v>12</v>
      </c>
      <c r="E209" t="s">
        <v>20</v>
      </c>
      <c r="F209" t="s">
        <v>40</v>
      </c>
      <c r="G209" s="2" t="s">
        <v>55</v>
      </c>
      <c r="H209" t="s">
        <v>38</v>
      </c>
      <c r="I209" t="s">
        <v>32</v>
      </c>
      <c r="J209" t="s">
        <v>24</v>
      </c>
    </row>
    <row r="210" spans="1:10" x14ac:dyDescent="0.3">
      <c r="A210" t="s">
        <v>59</v>
      </c>
      <c r="B210">
        <v>40</v>
      </c>
      <c r="C210" t="s">
        <v>58</v>
      </c>
      <c r="D210" t="s">
        <v>12</v>
      </c>
      <c r="E210" t="s">
        <v>30</v>
      </c>
      <c r="F210" t="s">
        <v>21</v>
      </c>
      <c r="G210" s="2" t="s">
        <v>60</v>
      </c>
      <c r="H210" t="s">
        <v>31</v>
      </c>
      <c r="I210" t="s">
        <v>16</v>
      </c>
      <c r="J210" t="s">
        <v>57</v>
      </c>
    </row>
    <row r="211" spans="1:10" x14ac:dyDescent="0.3">
      <c r="A211" t="s">
        <v>61</v>
      </c>
      <c r="B211">
        <v>35</v>
      </c>
      <c r="C211">
        <v>70000</v>
      </c>
      <c r="D211" t="s">
        <v>34</v>
      </c>
      <c r="E211" t="s">
        <v>13</v>
      </c>
      <c r="F211" t="s">
        <v>21</v>
      </c>
      <c r="G211" s="2" t="s">
        <v>55</v>
      </c>
      <c r="H211" t="s">
        <v>27</v>
      </c>
      <c r="I211" t="s">
        <v>32</v>
      </c>
      <c r="J211" t="s">
        <v>42</v>
      </c>
    </row>
    <row r="212" spans="1:10" x14ac:dyDescent="0.3">
      <c r="A212" t="s">
        <v>61</v>
      </c>
      <c r="B212">
        <v>50</v>
      </c>
      <c r="C212">
        <v>50000</v>
      </c>
      <c r="D212" t="s">
        <v>34</v>
      </c>
      <c r="E212" t="s">
        <v>13</v>
      </c>
      <c r="F212" t="s">
        <v>14</v>
      </c>
      <c r="G212" s="2" t="s">
        <v>62</v>
      </c>
      <c r="H212" t="s">
        <v>27</v>
      </c>
      <c r="I212" t="s">
        <v>32</v>
      </c>
      <c r="J212" t="s">
        <v>28</v>
      </c>
    </row>
    <row r="213" spans="1:10" x14ac:dyDescent="0.3">
      <c r="A213" t="s">
        <v>52</v>
      </c>
      <c r="B213" t="s">
        <v>63</v>
      </c>
      <c r="C213">
        <v>50000</v>
      </c>
      <c r="D213" t="s">
        <v>19</v>
      </c>
      <c r="E213" t="s">
        <v>35</v>
      </c>
      <c r="F213" t="s">
        <v>40</v>
      </c>
      <c r="G213" s="2" t="s">
        <v>60</v>
      </c>
      <c r="H213" t="s">
        <v>31</v>
      </c>
      <c r="I213" t="s">
        <v>51</v>
      </c>
      <c r="J213" t="s">
        <v>24</v>
      </c>
    </row>
    <row r="214" spans="1:10" x14ac:dyDescent="0.3">
      <c r="A214" t="s">
        <v>49</v>
      </c>
      <c r="B214">
        <v>40</v>
      </c>
      <c r="C214" t="s">
        <v>54</v>
      </c>
      <c r="D214" t="s">
        <v>19</v>
      </c>
      <c r="E214" t="s">
        <v>35</v>
      </c>
      <c r="F214" t="s">
        <v>21</v>
      </c>
      <c r="G214" s="2" t="s">
        <v>60</v>
      </c>
      <c r="H214" t="s">
        <v>31</v>
      </c>
      <c r="I214" t="s">
        <v>51</v>
      </c>
      <c r="J214" t="s">
        <v>42</v>
      </c>
    </row>
    <row r="215" spans="1:10" x14ac:dyDescent="0.3">
      <c r="A215" t="s">
        <v>52</v>
      </c>
      <c r="B215" t="s">
        <v>63</v>
      </c>
      <c r="C215">
        <v>65000</v>
      </c>
      <c r="D215" t="s">
        <v>34</v>
      </c>
      <c r="E215" t="s">
        <v>13</v>
      </c>
      <c r="F215" t="s">
        <v>41</v>
      </c>
      <c r="G215" s="2" t="s">
        <v>62</v>
      </c>
      <c r="H215" t="s">
        <v>15</v>
      </c>
      <c r="I215" t="s">
        <v>32</v>
      </c>
      <c r="J215" t="s">
        <v>51</v>
      </c>
    </row>
    <row r="216" spans="1:10" x14ac:dyDescent="0.3">
      <c r="A216" t="s">
        <v>67</v>
      </c>
      <c r="B216" t="s">
        <v>51</v>
      </c>
      <c r="C216" t="s">
        <v>58</v>
      </c>
      <c r="D216" t="s">
        <v>34</v>
      </c>
      <c r="E216" t="s">
        <v>20</v>
      </c>
      <c r="F216" t="s">
        <v>41</v>
      </c>
      <c r="G216" s="2" t="s">
        <v>62</v>
      </c>
      <c r="H216" t="s">
        <v>31</v>
      </c>
      <c r="J216" t="s">
        <v>42</v>
      </c>
    </row>
    <row r="217" spans="1:10" x14ac:dyDescent="0.3">
      <c r="A217" t="s">
        <v>66</v>
      </c>
      <c r="B217">
        <v>25</v>
      </c>
      <c r="C217" t="s">
        <v>54</v>
      </c>
      <c r="D217" t="s">
        <v>12</v>
      </c>
      <c r="E217" t="s">
        <v>26</v>
      </c>
      <c r="F217" t="s">
        <v>40</v>
      </c>
      <c r="G217" s="2">
        <v>43881</v>
      </c>
      <c r="H217" t="s">
        <v>15</v>
      </c>
      <c r="I217" t="s">
        <v>51</v>
      </c>
      <c r="J217" t="s">
        <v>57</v>
      </c>
    </row>
    <row r="218" spans="1:10" x14ac:dyDescent="0.3">
      <c r="A218" t="s">
        <v>53</v>
      </c>
      <c r="B218">
        <v>50</v>
      </c>
      <c r="C218">
        <v>65000</v>
      </c>
      <c r="D218" t="s">
        <v>34</v>
      </c>
      <c r="E218" t="s">
        <v>26</v>
      </c>
      <c r="F218" t="s">
        <v>14</v>
      </c>
      <c r="G218" s="2" t="s">
        <v>62</v>
      </c>
      <c r="H218" t="s">
        <v>15</v>
      </c>
      <c r="I218" t="s">
        <v>32</v>
      </c>
      <c r="J218" t="s">
        <v>51</v>
      </c>
    </row>
    <row r="219" spans="1:10" x14ac:dyDescent="0.3">
      <c r="A219" t="s">
        <v>49</v>
      </c>
      <c r="B219" t="s">
        <v>63</v>
      </c>
      <c r="C219">
        <v>55000</v>
      </c>
      <c r="D219" t="s">
        <v>19</v>
      </c>
      <c r="E219" t="s">
        <v>13</v>
      </c>
      <c r="F219" t="s">
        <v>21</v>
      </c>
      <c r="G219" s="2" t="s">
        <v>50</v>
      </c>
      <c r="H219" t="s">
        <v>22</v>
      </c>
      <c r="I219" t="s">
        <v>16</v>
      </c>
      <c r="J219" t="s">
        <v>51</v>
      </c>
    </row>
    <row r="220" spans="1:10" x14ac:dyDescent="0.3">
      <c r="A220" t="s">
        <v>65</v>
      </c>
      <c r="B220">
        <v>25</v>
      </c>
      <c r="C220" t="s">
        <v>58</v>
      </c>
      <c r="D220" t="s">
        <v>12</v>
      </c>
      <c r="E220" t="s">
        <v>13</v>
      </c>
      <c r="F220" t="s">
        <v>14</v>
      </c>
      <c r="G220" s="2" t="s">
        <v>62</v>
      </c>
      <c r="H220" t="s">
        <v>27</v>
      </c>
      <c r="J220" t="s">
        <v>42</v>
      </c>
    </row>
    <row r="221" spans="1:10" x14ac:dyDescent="0.3">
      <c r="A221" t="s">
        <v>53</v>
      </c>
      <c r="B221">
        <v>40</v>
      </c>
      <c r="C221">
        <v>55000</v>
      </c>
      <c r="D221" t="s">
        <v>19</v>
      </c>
      <c r="E221" t="s">
        <v>13</v>
      </c>
      <c r="F221" t="s">
        <v>41</v>
      </c>
      <c r="G221" s="2" t="s">
        <v>50</v>
      </c>
      <c r="H221" t="s">
        <v>27</v>
      </c>
      <c r="I221" t="s">
        <v>23</v>
      </c>
      <c r="J221" t="s">
        <v>57</v>
      </c>
    </row>
    <row r="222" spans="1:10" x14ac:dyDescent="0.3">
      <c r="A222" t="s">
        <v>66</v>
      </c>
      <c r="B222">
        <v>25</v>
      </c>
      <c r="C222">
        <v>70000</v>
      </c>
      <c r="D222" t="s">
        <v>12</v>
      </c>
      <c r="E222" t="s">
        <v>20</v>
      </c>
      <c r="F222" t="s">
        <v>21</v>
      </c>
      <c r="G222" s="2" t="s">
        <v>62</v>
      </c>
      <c r="H222" t="s">
        <v>27</v>
      </c>
      <c r="I222" t="s">
        <v>32</v>
      </c>
      <c r="J222" t="s">
        <v>24</v>
      </c>
    </row>
    <row r="223" spans="1:10" x14ac:dyDescent="0.3">
      <c r="A223" t="s">
        <v>67</v>
      </c>
      <c r="B223">
        <v>50</v>
      </c>
      <c r="C223" t="s">
        <v>58</v>
      </c>
      <c r="D223" t="s">
        <v>34</v>
      </c>
      <c r="E223" t="s">
        <v>35</v>
      </c>
      <c r="F223" t="s">
        <v>14</v>
      </c>
      <c r="G223" s="2">
        <v>43881</v>
      </c>
      <c r="H223" t="s">
        <v>22</v>
      </c>
      <c r="I223" t="s">
        <v>32</v>
      </c>
      <c r="J223" t="s">
        <v>42</v>
      </c>
    </row>
    <row r="224" spans="1:10" x14ac:dyDescent="0.3">
      <c r="A224" t="s">
        <v>67</v>
      </c>
      <c r="B224" t="s">
        <v>63</v>
      </c>
      <c r="C224">
        <v>65000</v>
      </c>
      <c r="D224" t="s">
        <v>19</v>
      </c>
      <c r="E224" t="s">
        <v>13</v>
      </c>
      <c r="F224" t="s">
        <v>37</v>
      </c>
      <c r="G224" s="2" t="s">
        <v>50</v>
      </c>
      <c r="H224" t="s">
        <v>15</v>
      </c>
      <c r="J224" t="s">
        <v>24</v>
      </c>
    </row>
    <row r="225" spans="1:10" x14ac:dyDescent="0.3">
      <c r="A225" t="s">
        <v>65</v>
      </c>
      <c r="B225" t="s">
        <v>51</v>
      </c>
      <c r="C225">
        <v>70000</v>
      </c>
      <c r="D225" t="s">
        <v>12</v>
      </c>
      <c r="E225" t="s">
        <v>13</v>
      </c>
      <c r="F225" t="s">
        <v>40</v>
      </c>
      <c r="G225" s="2" t="s">
        <v>55</v>
      </c>
      <c r="H225" t="s">
        <v>15</v>
      </c>
      <c r="I225" t="s">
        <v>51</v>
      </c>
      <c r="J225" t="s">
        <v>42</v>
      </c>
    </row>
    <row r="226" spans="1:10" x14ac:dyDescent="0.3">
      <c r="A226" t="s">
        <v>49</v>
      </c>
      <c r="B226">
        <v>40</v>
      </c>
      <c r="C226">
        <v>50000</v>
      </c>
      <c r="D226" t="s">
        <v>12</v>
      </c>
      <c r="E226" t="s">
        <v>30</v>
      </c>
      <c r="F226" t="s">
        <v>40</v>
      </c>
      <c r="G226" s="2" t="s">
        <v>50</v>
      </c>
      <c r="H226" t="s">
        <v>31</v>
      </c>
      <c r="I226" t="s">
        <v>51</v>
      </c>
      <c r="J226" t="s">
        <v>24</v>
      </c>
    </row>
    <row r="227" spans="1:10" x14ac:dyDescent="0.3">
      <c r="A227" t="s">
        <v>59</v>
      </c>
      <c r="B227" t="s">
        <v>63</v>
      </c>
      <c r="C227">
        <v>65000</v>
      </c>
      <c r="D227" t="s">
        <v>34</v>
      </c>
      <c r="E227" t="s">
        <v>20</v>
      </c>
      <c r="F227" t="s">
        <v>37</v>
      </c>
      <c r="G227" s="2">
        <v>43881</v>
      </c>
      <c r="H227" t="s">
        <v>22</v>
      </c>
      <c r="I227" t="s">
        <v>51</v>
      </c>
      <c r="J227" t="s">
        <v>42</v>
      </c>
    </row>
    <row r="228" spans="1:10" x14ac:dyDescent="0.3">
      <c r="A228" t="s">
        <v>61</v>
      </c>
      <c r="B228">
        <v>50</v>
      </c>
      <c r="C228" t="s">
        <v>54</v>
      </c>
      <c r="D228" t="s">
        <v>34</v>
      </c>
      <c r="E228" t="s">
        <v>13</v>
      </c>
      <c r="F228" t="s">
        <v>41</v>
      </c>
      <c r="G228" s="2" t="s">
        <v>50</v>
      </c>
      <c r="H228" t="s">
        <v>31</v>
      </c>
      <c r="I228" t="s">
        <v>23</v>
      </c>
      <c r="J228" t="s">
        <v>51</v>
      </c>
    </row>
    <row r="229" spans="1:10" x14ac:dyDescent="0.3">
      <c r="A229" t="s">
        <v>49</v>
      </c>
      <c r="B229">
        <v>40</v>
      </c>
      <c r="C229">
        <v>50000</v>
      </c>
      <c r="D229" t="s">
        <v>34</v>
      </c>
      <c r="E229" t="s">
        <v>30</v>
      </c>
      <c r="F229" t="s">
        <v>21</v>
      </c>
      <c r="G229" s="2" t="s">
        <v>62</v>
      </c>
      <c r="H229" t="s">
        <v>22</v>
      </c>
      <c r="J229" t="s">
        <v>28</v>
      </c>
    </row>
    <row r="230" spans="1:10" x14ac:dyDescent="0.3">
      <c r="A230" t="s">
        <v>59</v>
      </c>
      <c r="B230">
        <v>35</v>
      </c>
      <c r="C230">
        <v>50000</v>
      </c>
      <c r="D230" t="s">
        <v>19</v>
      </c>
      <c r="E230" t="s">
        <v>26</v>
      </c>
      <c r="F230" t="s">
        <v>40</v>
      </c>
      <c r="G230" s="2" t="s">
        <v>62</v>
      </c>
      <c r="H230" t="s">
        <v>31</v>
      </c>
      <c r="J230" t="s">
        <v>51</v>
      </c>
    </row>
    <row r="231" spans="1:10" x14ac:dyDescent="0.3">
      <c r="A231" t="s">
        <v>67</v>
      </c>
      <c r="B231">
        <v>25</v>
      </c>
      <c r="C231" t="s">
        <v>54</v>
      </c>
      <c r="D231" t="s">
        <v>12</v>
      </c>
      <c r="E231" t="s">
        <v>13</v>
      </c>
      <c r="F231" t="s">
        <v>37</v>
      </c>
      <c r="G231" s="2">
        <v>43881</v>
      </c>
      <c r="H231" t="s">
        <v>38</v>
      </c>
      <c r="I231" t="s">
        <v>51</v>
      </c>
      <c r="J231" t="s">
        <v>24</v>
      </c>
    </row>
    <row r="232" spans="1:10" x14ac:dyDescent="0.3">
      <c r="A232" t="s">
        <v>52</v>
      </c>
      <c r="B232">
        <v>50</v>
      </c>
      <c r="C232" t="s">
        <v>58</v>
      </c>
      <c r="D232" t="s">
        <v>34</v>
      </c>
      <c r="E232" t="s">
        <v>13</v>
      </c>
      <c r="F232" t="s">
        <v>37</v>
      </c>
      <c r="G232" s="2" t="s">
        <v>60</v>
      </c>
      <c r="H232" t="s">
        <v>27</v>
      </c>
      <c r="I232" t="s">
        <v>51</v>
      </c>
      <c r="J232" t="s">
        <v>57</v>
      </c>
    </row>
    <row r="233" spans="1:10" x14ac:dyDescent="0.3">
      <c r="A233" t="s">
        <v>66</v>
      </c>
      <c r="B233">
        <v>35</v>
      </c>
      <c r="C233">
        <v>50000</v>
      </c>
      <c r="D233" t="s">
        <v>19</v>
      </c>
      <c r="E233" t="s">
        <v>30</v>
      </c>
      <c r="F233" t="s">
        <v>41</v>
      </c>
      <c r="G233" s="2" t="s">
        <v>62</v>
      </c>
      <c r="H233" t="s">
        <v>27</v>
      </c>
      <c r="I233" t="s">
        <v>16</v>
      </c>
      <c r="J233" t="s">
        <v>51</v>
      </c>
    </row>
    <row r="234" spans="1:10" x14ac:dyDescent="0.3">
      <c r="A234" t="s">
        <v>65</v>
      </c>
      <c r="B234" t="s">
        <v>63</v>
      </c>
      <c r="C234">
        <v>65000</v>
      </c>
      <c r="D234" t="s">
        <v>19</v>
      </c>
      <c r="E234" t="s">
        <v>20</v>
      </c>
      <c r="F234" t="s">
        <v>41</v>
      </c>
      <c r="G234" s="2" t="s">
        <v>55</v>
      </c>
      <c r="H234" t="s">
        <v>15</v>
      </c>
      <c r="I234" t="s">
        <v>16</v>
      </c>
      <c r="J234" t="s">
        <v>28</v>
      </c>
    </row>
    <row r="235" spans="1:10" x14ac:dyDescent="0.3">
      <c r="A235" t="s">
        <v>66</v>
      </c>
      <c r="B235" t="s">
        <v>51</v>
      </c>
      <c r="C235">
        <v>70000</v>
      </c>
      <c r="D235" t="s">
        <v>19</v>
      </c>
      <c r="E235" t="s">
        <v>13</v>
      </c>
      <c r="F235" t="s">
        <v>14</v>
      </c>
      <c r="G235" s="2">
        <v>43881</v>
      </c>
      <c r="H235" t="s">
        <v>38</v>
      </c>
      <c r="I235" t="s">
        <v>32</v>
      </c>
      <c r="J235" t="s">
        <v>24</v>
      </c>
    </row>
    <row r="236" spans="1:10" x14ac:dyDescent="0.3">
      <c r="A236" t="s">
        <v>56</v>
      </c>
      <c r="B236">
        <v>40</v>
      </c>
      <c r="C236">
        <v>50000</v>
      </c>
      <c r="D236" t="s">
        <v>34</v>
      </c>
      <c r="E236" t="s">
        <v>26</v>
      </c>
      <c r="F236" t="s">
        <v>40</v>
      </c>
      <c r="G236" s="2" t="s">
        <v>50</v>
      </c>
      <c r="H236" t="s">
        <v>27</v>
      </c>
      <c r="I236" t="s">
        <v>32</v>
      </c>
      <c r="J236" t="s">
        <v>51</v>
      </c>
    </row>
    <row r="237" spans="1:10" x14ac:dyDescent="0.3">
      <c r="A237" t="s">
        <v>56</v>
      </c>
      <c r="B237">
        <v>25</v>
      </c>
      <c r="C237">
        <v>65000</v>
      </c>
      <c r="D237" t="s">
        <v>34</v>
      </c>
      <c r="E237" t="s">
        <v>13</v>
      </c>
      <c r="F237" t="s">
        <v>14</v>
      </c>
      <c r="G237" s="2" t="s">
        <v>50</v>
      </c>
      <c r="H237" t="s">
        <v>15</v>
      </c>
      <c r="J237" t="s">
        <v>42</v>
      </c>
    </row>
    <row r="238" spans="1:10" x14ac:dyDescent="0.3">
      <c r="A238" t="s">
        <v>49</v>
      </c>
      <c r="B238">
        <v>40</v>
      </c>
      <c r="C238">
        <v>55000</v>
      </c>
      <c r="D238" t="s">
        <v>12</v>
      </c>
      <c r="E238" t="s">
        <v>26</v>
      </c>
      <c r="F238" t="s">
        <v>37</v>
      </c>
      <c r="G238" s="2" t="s">
        <v>55</v>
      </c>
      <c r="H238" t="s">
        <v>38</v>
      </c>
      <c r="J238" t="s">
        <v>57</v>
      </c>
    </row>
    <row r="239" spans="1:10" x14ac:dyDescent="0.3">
      <c r="A239" t="s">
        <v>67</v>
      </c>
      <c r="B239" t="s">
        <v>63</v>
      </c>
      <c r="C239">
        <v>65000</v>
      </c>
      <c r="D239" t="s">
        <v>12</v>
      </c>
      <c r="E239" t="s">
        <v>35</v>
      </c>
      <c r="F239" t="s">
        <v>21</v>
      </c>
      <c r="G239" s="2" t="s">
        <v>62</v>
      </c>
      <c r="H239" t="s">
        <v>27</v>
      </c>
      <c r="I239" t="s">
        <v>23</v>
      </c>
      <c r="J239" t="s">
        <v>24</v>
      </c>
    </row>
    <row r="240" spans="1:10" x14ac:dyDescent="0.3">
      <c r="A240" t="s">
        <v>67</v>
      </c>
      <c r="B240">
        <v>40</v>
      </c>
      <c r="C240">
        <v>70000</v>
      </c>
      <c r="D240" t="s">
        <v>34</v>
      </c>
      <c r="E240" t="s">
        <v>35</v>
      </c>
      <c r="F240" t="s">
        <v>21</v>
      </c>
      <c r="G240" s="2">
        <v>43881</v>
      </c>
      <c r="H240" t="s">
        <v>31</v>
      </c>
      <c r="I240" t="s">
        <v>23</v>
      </c>
      <c r="J240" t="s">
        <v>51</v>
      </c>
    </row>
    <row r="241" spans="1:10" x14ac:dyDescent="0.3">
      <c r="A241" t="s">
        <v>61</v>
      </c>
      <c r="B241">
        <v>25</v>
      </c>
      <c r="C241">
        <v>65000</v>
      </c>
      <c r="D241" t="s">
        <v>19</v>
      </c>
      <c r="E241" t="s">
        <v>26</v>
      </c>
      <c r="F241" t="s">
        <v>41</v>
      </c>
      <c r="G241" s="2" t="s">
        <v>55</v>
      </c>
      <c r="H241" t="s">
        <v>22</v>
      </c>
      <c r="I241" t="s">
        <v>16</v>
      </c>
      <c r="J241" t="s">
        <v>24</v>
      </c>
    </row>
    <row r="242" spans="1:10" x14ac:dyDescent="0.3">
      <c r="A242" t="s">
        <v>61</v>
      </c>
      <c r="B242" t="s">
        <v>63</v>
      </c>
      <c r="C242" t="s">
        <v>54</v>
      </c>
      <c r="D242" t="s">
        <v>19</v>
      </c>
      <c r="E242" t="s">
        <v>20</v>
      </c>
      <c r="F242" t="s">
        <v>21</v>
      </c>
      <c r="G242" s="2" t="s">
        <v>62</v>
      </c>
      <c r="H242" t="s">
        <v>38</v>
      </c>
      <c r="I242" t="s">
        <v>32</v>
      </c>
      <c r="J242" t="s">
        <v>42</v>
      </c>
    </row>
    <row r="243" spans="1:10" x14ac:dyDescent="0.3">
      <c r="A243" t="s">
        <v>61</v>
      </c>
      <c r="B243">
        <v>40</v>
      </c>
      <c r="C243">
        <v>70000</v>
      </c>
      <c r="D243" t="s">
        <v>19</v>
      </c>
      <c r="E243" t="s">
        <v>13</v>
      </c>
      <c r="F243" t="s">
        <v>21</v>
      </c>
      <c r="G243" s="2">
        <v>43881</v>
      </c>
      <c r="H243" t="s">
        <v>15</v>
      </c>
      <c r="I243" t="s">
        <v>16</v>
      </c>
      <c r="J243" t="s">
        <v>28</v>
      </c>
    </row>
    <row r="244" spans="1:10" x14ac:dyDescent="0.3">
      <c r="A244" t="s">
        <v>52</v>
      </c>
      <c r="B244" t="s">
        <v>51</v>
      </c>
      <c r="C244" t="s">
        <v>58</v>
      </c>
      <c r="D244" t="s">
        <v>12</v>
      </c>
      <c r="E244" t="s">
        <v>13</v>
      </c>
      <c r="F244" t="s">
        <v>21</v>
      </c>
      <c r="G244" s="2" t="s">
        <v>50</v>
      </c>
      <c r="H244" t="s">
        <v>38</v>
      </c>
      <c r="I244" t="s">
        <v>16</v>
      </c>
      <c r="J244" t="s">
        <v>51</v>
      </c>
    </row>
    <row r="245" spans="1:10" x14ac:dyDescent="0.3">
      <c r="A245" t="s">
        <v>53</v>
      </c>
      <c r="B245">
        <v>50</v>
      </c>
      <c r="C245">
        <v>55000</v>
      </c>
      <c r="D245" t="s">
        <v>19</v>
      </c>
      <c r="E245" t="s">
        <v>35</v>
      </c>
      <c r="F245" t="s">
        <v>37</v>
      </c>
      <c r="G245" s="2">
        <v>43881</v>
      </c>
      <c r="H245" t="s">
        <v>15</v>
      </c>
      <c r="I245" t="s">
        <v>32</v>
      </c>
      <c r="J245" t="s">
        <v>24</v>
      </c>
    </row>
    <row r="246" spans="1:10" x14ac:dyDescent="0.3">
      <c r="A246" t="s">
        <v>64</v>
      </c>
      <c r="B246" t="s">
        <v>63</v>
      </c>
      <c r="C246" t="s">
        <v>54</v>
      </c>
      <c r="D246" t="s">
        <v>12</v>
      </c>
      <c r="E246" t="s">
        <v>26</v>
      </c>
      <c r="F246" t="s">
        <v>21</v>
      </c>
      <c r="G246" s="2" t="s">
        <v>60</v>
      </c>
      <c r="H246" t="s">
        <v>38</v>
      </c>
      <c r="I246" t="s">
        <v>23</v>
      </c>
      <c r="J246" t="s">
        <v>24</v>
      </c>
    </row>
    <row r="247" spans="1:10" x14ac:dyDescent="0.3">
      <c r="A247" t="s">
        <v>53</v>
      </c>
      <c r="B247">
        <v>50</v>
      </c>
      <c r="C247" t="s">
        <v>58</v>
      </c>
      <c r="D247" t="s">
        <v>12</v>
      </c>
      <c r="E247" t="s">
        <v>13</v>
      </c>
      <c r="F247" t="s">
        <v>21</v>
      </c>
      <c r="G247" s="2">
        <v>43881</v>
      </c>
      <c r="H247" t="s">
        <v>15</v>
      </c>
      <c r="I247" t="s">
        <v>32</v>
      </c>
      <c r="J247" t="s">
        <v>24</v>
      </c>
    </row>
    <row r="248" spans="1:10" x14ac:dyDescent="0.3">
      <c r="A248" t="s">
        <v>66</v>
      </c>
      <c r="B248" t="s">
        <v>63</v>
      </c>
      <c r="C248">
        <v>65000</v>
      </c>
      <c r="D248" t="s">
        <v>19</v>
      </c>
      <c r="E248" t="s">
        <v>13</v>
      </c>
      <c r="F248" t="s">
        <v>21</v>
      </c>
      <c r="G248" s="2" t="s">
        <v>60</v>
      </c>
      <c r="H248" t="s">
        <v>27</v>
      </c>
      <c r="I248" t="s">
        <v>51</v>
      </c>
      <c r="J248" t="s">
        <v>28</v>
      </c>
    </row>
    <row r="249" spans="1:10" x14ac:dyDescent="0.3">
      <c r="A249" t="s">
        <v>53</v>
      </c>
      <c r="B249" t="s">
        <v>51</v>
      </c>
      <c r="C249">
        <v>70000</v>
      </c>
      <c r="D249" t="s">
        <v>19</v>
      </c>
      <c r="E249" t="s">
        <v>20</v>
      </c>
      <c r="F249" t="s">
        <v>14</v>
      </c>
      <c r="G249" s="2">
        <v>43881</v>
      </c>
      <c r="H249" t="s">
        <v>31</v>
      </c>
      <c r="I249" t="s">
        <v>51</v>
      </c>
      <c r="J249" t="s">
        <v>24</v>
      </c>
    </row>
    <row r="250" spans="1:10" x14ac:dyDescent="0.3">
      <c r="A250" t="s">
        <v>52</v>
      </c>
      <c r="B250">
        <v>50</v>
      </c>
      <c r="C250">
        <v>55000</v>
      </c>
      <c r="D250" t="s">
        <v>34</v>
      </c>
      <c r="E250" t="s">
        <v>30</v>
      </c>
      <c r="F250" t="s">
        <v>37</v>
      </c>
      <c r="G250" s="2" t="s">
        <v>60</v>
      </c>
      <c r="H250" t="s">
        <v>27</v>
      </c>
      <c r="I250" t="s">
        <v>51</v>
      </c>
      <c r="J250" t="s">
        <v>57</v>
      </c>
    </row>
    <row r="251" spans="1:10" x14ac:dyDescent="0.3">
      <c r="A251" t="s">
        <v>66</v>
      </c>
      <c r="B251">
        <v>35</v>
      </c>
      <c r="C251" t="s">
        <v>54</v>
      </c>
      <c r="D251" t="s">
        <v>34</v>
      </c>
      <c r="E251" t="s">
        <v>35</v>
      </c>
      <c r="F251" t="s">
        <v>41</v>
      </c>
      <c r="G251" s="2" t="s">
        <v>50</v>
      </c>
      <c r="H251" t="s">
        <v>31</v>
      </c>
      <c r="J251" t="s">
        <v>57</v>
      </c>
    </row>
    <row r="252" spans="1:10" x14ac:dyDescent="0.3">
      <c r="A252" t="s">
        <v>53</v>
      </c>
      <c r="B252">
        <v>25</v>
      </c>
      <c r="C252" t="s">
        <v>58</v>
      </c>
      <c r="D252" t="s">
        <v>19</v>
      </c>
      <c r="E252" t="s">
        <v>35</v>
      </c>
      <c r="F252" t="s">
        <v>14</v>
      </c>
      <c r="G252" s="2" t="s">
        <v>62</v>
      </c>
      <c r="H252" t="s">
        <v>27</v>
      </c>
      <c r="I252" t="s">
        <v>23</v>
      </c>
      <c r="J252" t="s">
        <v>24</v>
      </c>
    </row>
    <row r="253" spans="1:10" x14ac:dyDescent="0.3">
      <c r="A253" t="s">
        <v>52</v>
      </c>
      <c r="B253">
        <v>35</v>
      </c>
      <c r="C253" t="s">
        <v>58</v>
      </c>
      <c r="D253" t="s">
        <v>12</v>
      </c>
      <c r="E253" t="s">
        <v>30</v>
      </c>
      <c r="F253" t="s">
        <v>40</v>
      </c>
      <c r="G253" s="2" t="s">
        <v>60</v>
      </c>
      <c r="H253" t="s">
        <v>27</v>
      </c>
      <c r="I253" t="s">
        <v>23</v>
      </c>
      <c r="J253" t="s">
        <v>57</v>
      </c>
    </row>
    <row r="254" spans="1:10" x14ac:dyDescent="0.3">
      <c r="A254" t="s">
        <v>64</v>
      </c>
      <c r="B254">
        <v>40</v>
      </c>
      <c r="C254">
        <v>55000</v>
      </c>
      <c r="D254" t="s">
        <v>12</v>
      </c>
      <c r="E254" t="s">
        <v>13</v>
      </c>
      <c r="F254" t="s">
        <v>37</v>
      </c>
      <c r="G254" s="2" t="s">
        <v>60</v>
      </c>
      <c r="H254" t="s">
        <v>38</v>
      </c>
      <c r="J254" t="s">
        <v>51</v>
      </c>
    </row>
    <row r="255" spans="1:10" x14ac:dyDescent="0.3">
      <c r="A255" t="s">
        <v>53</v>
      </c>
      <c r="B255" t="s">
        <v>51</v>
      </c>
      <c r="C255">
        <v>65000</v>
      </c>
      <c r="D255" t="s">
        <v>12</v>
      </c>
      <c r="E255" t="s">
        <v>20</v>
      </c>
      <c r="F255" t="s">
        <v>37</v>
      </c>
      <c r="G255" s="2" t="s">
        <v>50</v>
      </c>
      <c r="H255" t="s">
        <v>22</v>
      </c>
      <c r="I255" t="s">
        <v>16</v>
      </c>
      <c r="J255" t="s">
        <v>57</v>
      </c>
    </row>
    <row r="256" spans="1:10" x14ac:dyDescent="0.3">
      <c r="A256" t="s">
        <v>52</v>
      </c>
      <c r="B256">
        <v>35</v>
      </c>
      <c r="C256">
        <v>55000</v>
      </c>
      <c r="D256" t="s">
        <v>12</v>
      </c>
      <c r="E256" t="s">
        <v>20</v>
      </c>
      <c r="F256" t="s">
        <v>40</v>
      </c>
      <c r="G256" s="2" t="s">
        <v>60</v>
      </c>
      <c r="H256" t="s">
        <v>15</v>
      </c>
      <c r="I256" t="s">
        <v>51</v>
      </c>
      <c r="J256" t="s">
        <v>24</v>
      </c>
    </row>
    <row r="257" spans="1:10" x14ac:dyDescent="0.3">
      <c r="A257" t="s">
        <v>61</v>
      </c>
      <c r="B257" t="s">
        <v>63</v>
      </c>
      <c r="C257" t="s">
        <v>58</v>
      </c>
      <c r="D257" t="s">
        <v>12</v>
      </c>
      <c r="E257" t="s">
        <v>35</v>
      </c>
      <c r="F257" t="s">
        <v>40</v>
      </c>
      <c r="G257" s="2" t="s">
        <v>55</v>
      </c>
      <c r="H257" t="s">
        <v>15</v>
      </c>
      <c r="I257" t="s">
        <v>51</v>
      </c>
      <c r="J257" t="s">
        <v>42</v>
      </c>
    </row>
    <row r="258" spans="1:10" x14ac:dyDescent="0.3">
      <c r="A258" t="s">
        <v>67</v>
      </c>
      <c r="B258">
        <v>40</v>
      </c>
      <c r="C258">
        <v>50000</v>
      </c>
      <c r="D258" t="s">
        <v>34</v>
      </c>
      <c r="E258" t="s">
        <v>20</v>
      </c>
      <c r="F258" t="s">
        <v>40</v>
      </c>
      <c r="G258" s="2" t="s">
        <v>50</v>
      </c>
      <c r="H258" t="s">
        <v>15</v>
      </c>
      <c r="I258" t="s">
        <v>16</v>
      </c>
      <c r="J258" t="s">
        <v>51</v>
      </c>
    </row>
    <row r="259" spans="1:10" x14ac:dyDescent="0.3">
      <c r="A259" t="s">
        <v>61</v>
      </c>
      <c r="B259">
        <v>40</v>
      </c>
      <c r="C259" t="s">
        <v>54</v>
      </c>
      <c r="D259" t="s">
        <v>19</v>
      </c>
      <c r="E259" t="s">
        <v>30</v>
      </c>
      <c r="F259" t="s">
        <v>41</v>
      </c>
      <c r="G259" s="2" t="s">
        <v>55</v>
      </c>
      <c r="H259" t="s">
        <v>31</v>
      </c>
      <c r="I259" t="s">
        <v>32</v>
      </c>
      <c r="J259" t="s">
        <v>28</v>
      </c>
    </row>
    <row r="260" spans="1:10" x14ac:dyDescent="0.3">
      <c r="A260" t="s">
        <v>67</v>
      </c>
      <c r="B260">
        <v>35</v>
      </c>
      <c r="C260">
        <v>55000</v>
      </c>
      <c r="D260" t="s">
        <v>34</v>
      </c>
      <c r="E260" t="s">
        <v>13</v>
      </c>
      <c r="F260" t="s">
        <v>21</v>
      </c>
      <c r="G260" s="2" t="s">
        <v>50</v>
      </c>
      <c r="H260" t="s">
        <v>15</v>
      </c>
      <c r="I260" t="s">
        <v>32</v>
      </c>
      <c r="J260" t="s">
        <v>24</v>
      </c>
    </row>
    <row r="261" spans="1:10" x14ac:dyDescent="0.3">
      <c r="A261" t="s">
        <v>65</v>
      </c>
      <c r="B261">
        <v>35</v>
      </c>
      <c r="C261" t="s">
        <v>58</v>
      </c>
      <c r="D261" t="s">
        <v>12</v>
      </c>
      <c r="E261" t="s">
        <v>30</v>
      </c>
      <c r="F261" t="s">
        <v>37</v>
      </c>
      <c r="G261" s="2" t="s">
        <v>60</v>
      </c>
      <c r="H261" t="s">
        <v>15</v>
      </c>
      <c r="I261" t="s">
        <v>23</v>
      </c>
      <c r="J261" t="s">
        <v>28</v>
      </c>
    </row>
    <row r="262" spans="1:10" x14ac:dyDescent="0.3">
      <c r="A262" t="s">
        <v>65</v>
      </c>
      <c r="B262" t="s">
        <v>51</v>
      </c>
      <c r="C262">
        <v>65000</v>
      </c>
      <c r="D262" t="s">
        <v>12</v>
      </c>
      <c r="E262" t="s">
        <v>26</v>
      </c>
      <c r="F262" t="s">
        <v>21</v>
      </c>
      <c r="G262" s="2" t="s">
        <v>55</v>
      </c>
      <c r="H262" t="s">
        <v>38</v>
      </c>
      <c r="J262" t="s">
        <v>42</v>
      </c>
    </row>
    <row r="263" spans="1:10" x14ac:dyDescent="0.3">
      <c r="A263" t="s">
        <v>65</v>
      </c>
      <c r="B263">
        <v>25</v>
      </c>
      <c r="C263" t="s">
        <v>58</v>
      </c>
      <c r="D263" t="s">
        <v>12</v>
      </c>
      <c r="E263" t="s">
        <v>35</v>
      </c>
      <c r="F263" t="s">
        <v>21</v>
      </c>
      <c r="G263" s="2" t="s">
        <v>60</v>
      </c>
      <c r="H263" t="s">
        <v>27</v>
      </c>
      <c r="I263" t="s">
        <v>23</v>
      </c>
      <c r="J263" t="s">
        <v>28</v>
      </c>
    </row>
    <row r="264" spans="1:10" x14ac:dyDescent="0.3">
      <c r="A264" t="s">
        <v>64</v>
      </c>
      <c r="B264">
        <v>35</v>
      </c>
      <c r="C264">
        <v>65000</v>
      </c>
      <c r="D264" t="s">
        <v>12</v>
      </c>
      <c r="E264" t="s">
        <v>20</v>
      </c>
      <c r="F264" t="s">
        <v>40</v>
      </c>
      <c r="G264" s="2" t="s">
        <v>50</v>
      </c>
      <c r="H264" t="s">
        <v>15</v>
      </c>
      <c r="I264" t="s">
        <v>32</v>
      </c>
      <c r="J264" t="s">
        <v>24</v>
      </c>
    </row>
    <row r="265" spans="1:10" x14ac:dyDescent="0.3">
      <c r="A265" t="s">
        <v>61</v>
      </c>
      <c r="B265">
        <v>35</v>
      </c>
      <c r="C265">
        <v>55000</v>
      </c>
      <c r="D265" t="s">
        <v>19</v>
      </c>
      <c r="E265" t="s">
        <v>26</v>
      </c>
      <c r="F265" t="s">
        <v>41</v>
      </c>
      <c r="G265" s="2" t="s">
        <v>60</v>
      </c>
      <c r="H265" t="s">
        <v>22</v>
      </c>
      <c r="I265" t="s">
        <v>16</v>
      </c>
      <c r="J265" t="s">
        <v>24</v>
      </c>
    </row>
    <row r="266" spans="1:10" x14ac:dyDescent="0.3">
      <c r="A266" t="s">
        <v>67</v>
      </c>
      <c r="B266">
        <v>50</v>
      </c>
      <c r="C266">
        <v>65000</v>
      </c>
      <c r="D266" t="s">
        <v>12</v>
      </c>
      <c r="E266" t="s">
        <v>20</v>
      </c>
      <c r="F266" t="s">
        <v>14</v>
      </c>
      <c r="G266" s="2" t="s">
        <v>55</v>
      </c>
      <c r="H266" t="s">
        <v>15</v>
      </c>
      <c r="I266" t="s">
        <v>23</v>
      </c>
      <c r="J266" t="s">
        <v>42</v>
      </c>
    </row>
    <row r="267" spans="1:10" x14ac:dyDescent="0.3">
      <c r="A267" t="s">
        <v>52</v>
      </c>
      <c r="B267" t="s">
        <v>63</v>
      </c>
      <c r="C267">
        <v>70000</v>
      </c>
      <c r="D267" t="s">
        <v>19</v>
      </c>
      <c r="E267" t="s">
        <v>13</v>
      </c>
      <c r="F267" t="s">
        <v>41</v>
      </c>
      <c r="G267" s="2" t="s">
        <v>55</v>
      </c>
      <c r="H267" t="s">
        <v>31</v>
      </c>
      <c r="I267" t="s">
        <v>51</v>
      </c>
      <c r="J267" t="s">
        <v>24</v>
      </c>
    </row>
    <row r="268" spans="1:10" x14ac:dyDescent="0.3">
      <c r="A268" t="s">
        <v>66</v>
      </c>
      <c r="B268">
        <v>50</v>
      </c>
      <c r="C268">
        <v>70000</v>
      </c>
      <c r="D268" t="s">
        <v>12</v>
      </c>
      <c r="E268" t="s">
        <v>13</v>
      </c>
      <c r="F268" t="s">
        <v>21</v>
      </c>
      <c r="G268" s="2" t="s">
        <v>60</v>
      </c>
      <c r="H268" t="s">
        <v>31</v>
      </c>
      <c r="I268" t="s">
        <v>51</v>
      </c>
      <c r="J268" t="s">
        <v>42</v>
      </c>
    </row>
    <row r="269" spans="1:10" x14ac:dyDescent="0.3">
      <c r="A269" t="s">
        <v>52</v>
      </c>
      <c r="B269">
        <v>50</v>
      </c>
      <c r="C269">
        <v>70000</v>
      </c>
      <c r="D269" t="s">
        <v>19</v>
      </c>
      <c r="E269" t="s">
        <v>13</v>
      </c>
      <c r="F269" t="s">
        <v>41</v>
      </c>
      <c r="G269" s="2">
        <v>43881</v>
      </c>
      <c r="H269" t="s">
        <v>31</v>
      </c>
      <c r="I269" t="s">
        <v>16</v>
      </c>
      <c r="J269" t="s">
        <v>42</v>
      </c>
    </row>
    <row r="270" spans="1:10" x14ac:dyDescent="0.3">
      <c r="A270" t="s">
        <v>66</v>
      </c>
      <c r="B270">
        <v>40</v>
      </c>
      <c r="C270">
        <v>50000</v>
      </c>
      <c r="D270" t="s">
        <v>34</v>
      </c>
      <c r="E270" t="s">
        <v>20</v>
      </c>
      <c r="F270" t="s">
        <v>40</v>
      </c>
      <c r="G270" s="2" t="s">
        <v>50</v>
      </c>
      <c r="H270" t="s">
        <v>15</v>
      </c>
      <c r="I270" t="s">
        <v>32</v>
      </c>
      <c r="J270" t="s">
        <v>24</v>
      </c>
    </row>
    <row r="271" spans="1:10" x14ac:dyDescent="0.3">
      <c r="A271" t="s">
        <v>56</v>
      </c>
      <c r="B271">
        <v>25</v>
      </c>
      <c r="C271">
        <v>55000</v>
      </c>
      <c r="D271" t="s">
        <v>12</v>
      </c>
      <c r="E271" t="s">
        <v>26</v>
      </c>
      <c r="F271" t="s">
        <v>14</v>
      </c>
      <c r="G271" s="2" t="s">
        <v>50</v>
      </c>
      <c r="H271" t="s">
        <v>38</v>
      </c>
      <c r="I271" t="s">
        <v>51</v>
      </c>
      <c r="J271" t="s">
        <v>57</v>
      </c>
    </row>
    <row r="272" spans="1:10" x14ac:dyDescent="0.3">
      <c r="A272" t="s">
        <v>52</v>
      </c>
      <c r="B272" t="s">
        <v>63</v>
      </c>
      <c r="C272" t="s">
        <v>58</v>
      </c>
      <c r="D272" t="s">
        <v>19</v>
      </c>
      <c r="E272" t="s">
        <v>13</v>
      </c>
      <c r="F272" t="s">
        <v>40</v>
      </c>
      <c r="G272" s="2" t="s">
        <v>60</v>
      </c>
      <c r="H272" t="s">
        <v>22</v>
      </c>
      <c r="I272" t="s">
        <v>51</v>
      </c>
      <c r="J272" t="s">
        <v>42</v>
      </c>
    </row>
    <row r="273" spans="1:10" x14ac:dyDescent="0.3">
      <c r="A273" t="s">
        <v>53</v>
      </c>
      <c r="B273" t="s">
        <v>51</v>
      </c>
      <c r="C273" t="s">
        <v>58</v>
      </c>
      <c r="D273" t="s">
        <v>34</v>
      </c>
      <c r="E273" t="s">
        <v>26</v>
      </c>
      <c r="F273" t="s">
        <v>14</v>
      </c>
      <c r="G273" s="2">
        <v>43881</v>
      </c>
      <c r="H273" t="s">
        <v>15</v>
      </c>
      <c r="J273" t="s">
        <v>24</v>
      </c>
    </row>
    <row r="274" spans="1:10" x14ac:dyDescent="0.3">
      <c r="A274" t="s">
        <v>53</v>
      </c>
      <c r="B274" t="s">
        <v>51</v>
      </c>
      <c r="C274">
        <v>50000</v>
      </c>
      <c r="D274" t="s">
        <v>12</v>
      </c>
      <c r="E274" t="s">
        <v>20</v>
      </c>
      <c r="F274" t="s">
        <v>21</v>
      </c>
      <c r="G274" s="2" t="s">
        <v>55</v>
      </c>
      <c r="H274" t="s">
        <v>38</v>
      </c>
      <c r="I274" t="s">
        <v>23</v>
      </c>
      <c r="J274" t="s">
        <v>57</v>
      </c>
    </row>
    <row r="275" spans="1:10" x14ac:dyDescent="0.3">
      <c r="A275" t="s">
        <v>49</v>
      </c>
      <c r="B275">
        <v>35</v>
      </c>
      <c r="C275">
        <v>65000</v>
      </c>
      <c r="D275" t="s">
        <v>12</v>
      </c>
      <c r="E275" t="s">
        <v>26</v>
      </c>
      <c r="F275" t="s">
        <v>14</v>
      </c>
      <c r="G275" s="2" t="s">
        <v>62</v>
      </c>
      <c r="H275" t="s">
        <v>38</v>
      </c>
      <c r="I275" t="s">
        <v>32</v>
      </c>
      <c r="J275" t="s">
        <v>42</v>
      </c>
    </row>
    <row r="276" spans="1:10" x14ac:dyDescent="0.3">
      <c r="A276" t="s">
        <v>61</v>
      </c>
      <c r="B276">
        <v>35</v>
      </c>
      <c r="C276">
        <v>50000</v>
      </c>
      <c r="D276" t="s">
        <v>12</v>
      </c>
      <c r="E276" t="s">
        <v>20</v>
      </c>
      <c r="F276" t="s">
        <v>14</v>
      </c>
      <c r="G276" s="2" t="s">
        <v>62</v>
      </c>
      <c r="H276" t="s">
        <v>15</v>
      </c>
      <c r="I276" t="s">
        <v>23</v>
      </c>
      <c r="J276" t="s">
        <v>57</v>
      </c>
    </row>
    <row r="277" spans="1:10" x14ac:dyDescent="0.3">
      <c r="A277" t="s">
        <v>66</v>
      </c>
      <c r="B277" t="s">
        <v>51</v>
      </c>
      <c r="C277">
        <v>65000</v>
      </c>
      <c r="D277" t="s">
        <v>19</v>
      </c>
      <c r="E277" t="s">
        <v>20</v>
      </c>
      <c r="F277" t="s">
        <v>14</v>
      </c>
      <c r="G277" s="2" t="s">
        <v>60</v>
      </c>
      <c r="H277" t="s">
        <v>15</v>
      </c>
      <c r="I277" t="s">
        <v>32</v>
      </c>
      <c r="J277" t="s">
        <v>51</v>
      </c>
    </row>
    <row r="278" spans="1:10" x14ac:dyDescent="0.3">
      <c r="A278" t="s">
        <v>66</v>
      </c>
      <c r="B278">
        <v>35</v>
      </c>
      <c r="C278">
        <v>65000</v>
      </c>
      <c r="D278" t="s">
        <v>19</v>
      </c>
      <c r="E278" t="s">
        <v>35</v>
      </c>
      <c r="F278" t="s">
        <v>41</v>
      </c>
      <c r="G278" s="2">
        <v>43881</v>
      </c>
      <c r="H278" t="s">
        <v>38</v>
      </c>
      <c r="I278" t="s">
        <v>51</v>
      </c>
      <c r="J278" t="s">
        <v>51</v>
      </c>
    </row>
    <row r="279" spans="1:10" x14ac:dyDescent="0.3">
      <c r="A279" t="s">
        <v>61</v>
      </c>
      <c r="B279">
        <v>25</v>
      </c>
      <c r="C279" t="s">
        <v>54</v>
      </c>
      <c r="D279" t="s">
        <v>34</v>
      </c>
      <c r="E279" t="s">
        <v>20</v>
      </c>
      <c r="F279" t="s">
        <v>41</v>
      </c>
      <c r="G279" s="2">
        <v>43881</v>
      </c>
      <c r="H279" t="s">
        <v>38</v>
      </c>
      <c r="J279" t="s">
        <v>57</v>
      </c>
    </row>
    <row r="280" spans="1:10" x14ac:dyDescent="0.3">
      <c r="A280" t="s">
        <v>64</v>
      </c>
      <c r="B280">
        <v>50</v>
      </c>
      <c r="C280" t="s">
        <v>58</v>
      </c>
      <c r="D280" t="s">
        <v>19</v>
      </c>
      <c r="E280" t="s">
        <v>20</v>
      </c>
      <c r="F280" t="s">
        <v>21</v>
      </c>
      <c r="G280" s="2" t="s">
        <v>50</v>
      </c>
      <c r="H280" t="s">
        <v>38</v>
      </c>
      <c r="I280" t="s">
        <v>23</v>
      </c>
      <c r="J280" t="s">
        <v>42</v>
      </c>
    </row>
    <row r="281" spans="1:10" x14ac:dyDescent="0.3">
      <c r="A281" t="s">
        <v>49</v>
      </c>
      <c r="B281">
        <v>35</v>
      </c>
      <c r="C281">
        <v>70000</v>
      </c>
      <c r="D281" t="s">
        <v>19</v>
      </c>
      <c r="E281" t="s">
        <v>30</v>
      </c>
      <c r="F281" t="s">
        <v>14</v>
      </c>
      <c r="G281" s="2" t="s">
        <v>55</v>
      </c>
      <c r="H281" t="s">
        <v>15</v>
      </c>
      <c r="I281" t="s">
        <v>51</v>
      </c>
      <c r="J281" t="s">
        <v>24</v>
      </c>
    </row>
    <row r="282" spans="1:10" x14ac:dyDescent="0.3">
      <c r="A282" t="s">
        <v>64</v>
      </c>
      <c r="B282">
        <v>40</v>
      </c>
      <c r="C282">
        <v>65000</v>
      </c>
      <c r="D282" t="s">
        <v>12</v>
      </c>
      <c r="E282" t="s">
        <v>13</v>
      </c>
      <c r="F282" t="s">
        <v>37</v>
      </c>
      <c r="G282" s="2">
        <v>43881</v>
      </c>
      <c r="H282" t="s">
        <v>38</v>
      </c>
      <c r="I282" t="s">
        <v>32</v>
      </c>
      <c r="J282" t="s">
        <v>28</v>
      </c>
    </row>
    <row r="283" spans="1:10" x14ac:dyDescent="0.3">
      <c r="A283" t="s">
        <v>64</v>
      </c>
      <c r="B283">
        <v>35</v>
      </c>
      <c r="C283" t="s">
        <v>54</v>
      </c>
      <c r="D283" t="s">
        <v>12</v>
      </c>
      <c r="E283" t="s">
        <v>35</v>
      </c>
      <c r="F283" t="s">
        <v>21</v>
      </c>
      <c r="G283" s="2" t="s">
        <v>62</v>
      </c>
      <c r="H283" t="s">
        <v>31</v>
      </c>
      <c r="I283" t="s">
        <v>23</v>
      </c>
      <c r="J283" t="s">
        <v>24</v>
      </c>
    </row>
    <row r="284" spans="1:10" x14ac:dyDescent="0.3">
      <c r="A284" t="s">
        <v>64</v>
      </c>
      <c r="B284" t="s">
        <v>63</v>
      </c>
      <c r="C284" t="s">
        <v>58</v>
      </c>
      <c r="D284" t="s">
        <v>12</v>
      </c>
      <c r="E284" t="s">
        <v>35</v>
      </c>
      <c r="F284" t="s">
        <v>14</v>
      </c>
      <c r="G284" s="2" t="s">
        <v>55</v>
      </c>
      <c r="H284" t="s">
        <v>15</v>
      </c>
      <c r="I284" t="s">
        <v>23</v>
      </c>
      <c r="J284" t="s">
        <v>28</v>
      </c>
    </row>
    <row r="285" spans="1:10" x14ac:dyDescent="0.3">
      <c r="A285" t="s">
        <v>61</v>
      </c>
      <c r="B285">
        <v>25</v>
      </c>
      <c r="C285">
        <v>70000</v>
      </c>
      <c r="D285" t="s">
        <v>12</v>
      </c>
      <c r="E285" t="s">
        <v>35</v>
      </c>
      <c r="F285" t="s">
        <v>14</v>
      </c>
      <c r="G285" s="2" t="s">
        <v>55</v>
      </c>
      <c r="H285" t="s">
        <v>31</v>
      </c>
      <c r="I285" t="s">
        <v>51</v>
      </c>
      <c r="J285" t="s">
        <v>28</v>
      </c>
    </row>
    <row r="286" spans="1:10" x14ac:dyDescent="0.3">
      <c r="A286" t="s">
        <v>64</v>
      </c>
      <c r="B286" t="s">
        <v>63</v>
      </c>
      <c r="C286">
        <v>65000</v>
      </c>
      <c r="D286" t="s">
        <v>12</v>
      </c>
      <c r="E286" t="s">
        <v>30</v>
      </c>
      <c r="F286" t="s">
        <v>41</v>
      </c>
      <c r="G286" s="2" t="s">
        <v>60</v>
      </c>
      <c r="H286" t="s">
        <v>27</v>
      </c>
      <c r="I286" t="s">
        <v>23</v>
      </c>
      <c r="J286" t="s">
        <v>42</v>
      </c>
    </row>
    <row r="287" spans="1:10" x14ac:dyDescent="0.3">
      <c r="A287" t="s">
        <v>53</v>
      </c>
      <c r="B287" t="s">
        <v>63</v>
      </c>
      <c r="C287">
        <v>65000</v>
      </c>
      <c r="D287" t="s">
        <v>12</v>
      </c>
      <c r="E287" t="s">
        <v>20</v>
      </c>
      <c r="F287" t="s">
        <v>21</v>
      </c>
      <c r="G287" s="2">
        <v>43881</v>
      </c>
      <c r="H287" t="s">
        <v>15</v>
      </c>
      <c r="J287" t="s">
        <v>57</v>
      </c>
    </row>
    <row r="288" spans="1:10" x14ac:dyDescent="0.3">
      <c r="A288" t="s">
        <v>65</v>
      </c>
      <c r="B288">
        <v>40</v>
      </c>
      <c r="C288">
        <v>50000</v>
      </c>
      <c r="D288" t="s">
        <v>12</v>
      </c>
      <c r="E288" t="s">
        <v>13</v>
      </c>
      <c r="F288" t="s">
        <v>14</v>
      </c>
      <c r="G288" s="2" t="s">
        <v>60</v>
      </c>
      <c r="H288" t="s">
        <v>27</v>
      </c>
      <c r="J288" t="s">
        <v>24</v>
      </c>
    </row>
    <row r="289" spans="1:10" x14ac:dyDescent="0.3">
      <c r="A289" t="s">
        <v>56</v>
      </c>
      <c r="B289">
        <v>25</v>
      </c>
      <c r="C289">
        <v>50000</v>
      </c>
      <c r="D289" t="s">
        <v>34</v>
      </c>
      <c r="E289" t="s">
        <v>26</v>
      </c>
      <c r="F289" t="s">
        <v>14</v>
      </c>
      <c r="G289" s="2">
        <v>43881</v>
      </c>
      <c r="H289" t="s">
        <v>38</v>
      </c>
      <c r="I289" t="s">
        <v>51</v>
      </c>
      <c r="J289" t="s">
        <v>57</v>
      </c>
    </row>
    <row r="290" spans="1:10" x14ac:dyDescent="0.3">
      <c r="A290" t="s">
        <v>66</v>
      </c>
      <c r="B290">
        <v>25</v>
      </c>
      <c r="C290" t="s">
        <v>58</v>
      </c>
      <c r="D290" t="s">
        <v>34</v>
      </c>
      <c r="E290" t="s">
        <v>20</v>
      </c>
      <c r="F290" t="s">
        <v>21</v>
      </c>
      <c r="G290" s="2" t="s">
        <v>50</v>
      </c>
      <c r="H290" t="s">
        <v>38</v>
      </c>
      <c r="I290" t="s">
        <v>32</v>
      </c>
      <c r="J290" t="s">
        <v>51</v>
      </c>
    </row>
    <row r="291" spans="1:10" x14ac:dyDescent="0.3">
      <c r="A291" t="s">
        <v>66</v>
      </c>
      <c r="B291">
        <v>25</v>
      </c>
      <c r="C291">
        <v>70000</v>
      </c>
      <c r="D291" t="s">
        <v>34</v>
      </c>
      <c r="E291" t="s">
        <v>30</v>
      </c>
      <c r="F291" t="s">
        <v>37</v>
      </c>
      <c r="G291" s="2" t="s">
        <v>60</v>
      </c>
      <c r="H291" t="s">
        <v>22</v>
      </c>
      <c r="I291" t="s">
        <v>51</v>
      </c>
      <c r="J291" t="s">
        <v>42</v>
      </c>
    </row>
    <row r="292" spans="1:10" x14ac:dyDescent="0.3">
      <c r="A292" t="s">
        <v>56</v>
      </c>
      <c r="B292">
        <v>25</v>
      </c>
      <c r="C292">
        <v>65000</v>
      </c>
      <c r="D292" t="s">
        <v>34</v>
      </c>
      <c r="E292" t="s">
        <v>20</v>
      </c>
      <c r="F292" t="s">
        <v>21</v>
      </c>
      <c r="G292" s="2" t="s">
        <v>60</v>
      </c>
      <c r="H292" t="s">
        <v>38</v>
      </c>
      <c r="J292" t="s">
        <v>42</v>
      </c>
    </row>
    <row r="293" spans="1:10" x14ac:dyDescent="0.3">
      <c r="A293" t="s">
        <v>61</v>
      </c>
      <c r="B293">
        <v>25</v>
      </c>
      <c r="C293" t="s">
        <v>58</v>
      </c>
      <c r="D293" t="s">
        <v>12</v>
      </c>
      <c r="E293" t="s">
        <v>20</v>
      </c>
      <c r="F293" t="s">
        <v>21</v>
      </c>
      <c r="G293" s="2" t="s">
        <v>62</v>
      </c>
      <c r="H293" t="s">
        <v>27</v>
      </c>
      <c r="I293" t="s">
        <v>16</v>
      </c>
      <c r="J293" t="s">
        <v>51</v>
      </c>
    </row>
    <row r="294" spans="1:10" x14ac:dyDescent="0.3">
      <c r="A294" t="s">
        <v>52</v>
      </c>
      <c r="B294">
        <v>40</v>
      </c>
      <c r="C294" t="s">
        <v>58</v>
      </c>
      <c r="D294" t="s">
        <v>34</v>
      </c>
      <c r="E294" t="s">
        <v>30</v>
      </c>
      <c r="F294" t="s">
        <v>37</v>
      </c>
      <c r="G294" s="2" t="s">
        <v>60</v>
      </c>
      <c r="H294" t="s">
        <v>38</v>
      </c>
      <c r="I294" t="s">
        <v>16</v>
      </c>
      <c r="J294" t="s">
        <v>24</v>
      </c>
    </row>
    <row r="295" spans="1:10" x14ac:dyDescent="0.3">
      <c r="A295" t="s">
        <v>61</v>
      </c>
      <c r="B295">
        <v>35</v>
      </c>
      <c r="C295">
        <v>55000</v>
      </c>
      <c r="D295" t="s">
        <v>12</v>
      </c>
      <c r="E295" t="s">
        <v>35</v>
      </c>
      <c r="F295" t="s">
        <v>21</v>
      </c>
      <c r="G295" s="2">
        <v>43881</v>
      </c>
      <c r="H295" t="s">
        <v>15</v>
      </c>
      <c r="I295" t="s">
        <v>23</v>
      </c>
      <c r="J295" t="s">
        <v>51</v>
      </c>
    </row>
    <row r="296" spans="1:10" x14ac:dyDescent="0.3">
      <c r="A296" t="s">
        <v>66</v>
      </c>
      <c r="B296" t="s">
        <v>63</v>
      </c>
      <c r="C296">
        <v>50000</v>
      </c>
      <c r="D296" t="s">
        <v>34</v>
      </c>
      <c r="E296" t="s">
        <v>35</v>
      </c>
      <c r="F296" t="s">
        <v>14</v>
      </c>
      <c r="G296" s="2" t="s">
        <v>62</v>
      </c>
      <c r="H296" t="s">
        <v>38</v>
      </c>
      <c r="I296" t="s">
        <v>23</v>
      </c>
      <c r="J296" t="s">
        <v>24</v>
      </c>
    </row>
    <row r="297" spans="1:10" x14ac:dyDescent="0.3">
      <c r="A297" t="s">
        <v>66</v>
      </c>
      <c r="B297">
        <v>25</v>
      </c>
      <c r="C297">
        <v>70000</v>
      </c>
      <c r="D297" t="s">
        <v>19</v>
      </c>
      <c r="E297" t="s">
        <v>13</v>
      </c>
      <c r="F297" t="s">
        <v>21</v>
      </c>
      <c r="G297" s="2" t="s">
        <v>60</v>
      </c>
      <c r="H297" t="s">
        <v>22</v>
      </c>
      <c r="I297" t="s">
        <v>16</v>
      </c>
      <c r="J297" t="s">
        <v>28</v>
      </c>
    </row>
    <row r="298" spans="1:10" x14ac:dyDescent="0.3">
      <c r="A298" t="s">
        <v>56</v>
      </c>
      <c r="B298">
        <v>35</v>
      </c>
      <c r="C298">
        <v>65000</v>
      </c>
      <c r="D298" t="s">
        <v>34</v>
      </c>
      <c r="E298" t="s">
        <v>13</v>
      </c>
      <c r="F298" t="s">
        <v>37</v>
      </c>
      <c r="G298" s="2" t="s">
        <v>60</v>
      </c>
      <c r="H298" t="s">
        <v>38</v>
      </c>
      <c r="J298" t="s">
        <v>42</v>
      </c>
    </row>
    <row r="299" spans="1:10" x14ac:dyDescent="0.3">
      <c r="A299" t="s">
        <v>64</v>
      </c>
      <c r="B299">
        <v>35</v>
      </c>
      <c r="C299" t="s">
        <v>58</v>
      </c>
      <c r="D299" t="s">
        <v>34</v>
      </c>
      <c r="E299" t="s">
        <v>35</v>
      </c>
      <c r="F299" t="s">
        <v>40</v>
      </c>
      <c r="G299" s="2" t="s">
        <v>50</v>
      </c>
      <c r="H299" t="s">
        <v>27</v>
      </c>
      <c r="I299" t="s">
        <v>23</v>
      </c>
      <c r="J299" t="s">
        <v>24</v>
      </c>
    </row>
    <row r="300" spans="1:10" x14ac:dyDescent="0.3">
      <c r="A300" t="s">
        <v>61</v>
      </c>
      <c r="B300" t="s">
        <v>63</v>
      </c>
      <c r="C300">
        <v>65000</v>
      </c>
      <c r="D300" t="s">
        <v>12</v>
      </c>
      <c r="E300" t="s">
        <v>26</v>
      </c>
      <c r="F300" t="s">
        <v>21</v>
      </c>
      <c r="G300" s="2" t="s">
        <v>60</v>
      </c>
      <c r="H300" t="s">
        <v>27</v>
      </c>
      <c r="I300" t="s">
        <v>51</v>
      </c>
      <c r="J300" t="s">
        <v>57</v>
      </c>
    </row>
    <row r="301" spans="1:10" x14ac:dyDescent="0.3">
      <c r="A301" t="s">
        <v>67</v>
      </c>
      <c r="B301">
        <v>40</v>
      </c>
      <c r="C301">
        <v>55000</v>
      </c>
      <c r="D301" t="s">
        <v>34</v>
      </c>
      <c r="E301" t="s">
        <v>20</v>
      </c>
      <c r="F301" t="s">
        <v>41</v>
      </c>
      <c r="G301" s="2" t="s">
        <v>55</v>
      </c>
      <c r="H301" t="s">
        <v>38</v>
      </c>
      <c r="I301" t="s">
        <v>51</v>
      </c>
      <c r="J301" t="s">
        <v>57</v>
      </c>
    </row>
    <row r="302" spans="1:10" x14ac:dyDescent="0.3">
      <c r="A302" t="s">
        <v>56</v>
      </c>
      <c r="B302" t="s">
        <v>51</v>
      </c>
      <c r="C302">
        <v>70000</v>
      </c>
      <c r="D302" t="s">
        <v>19</v>
      </c>
      <c r="E302" t="s">
        <v>26</v>
      </c>
      <c r="F302" t="s">
        <v>14</v>
      </c>
      <c r="G302" s="2" t="s">
        <v>62</v>
      </c>
      <c r="H302" t="s">
        <v>27</v>
      </c>
      <c r="J302" t="s">
        <v>42</v>
      </c>
    </row>
    <row r="303" spans="1:10" x14ac:dyDescent="0.3">
      <c r="A303" t="s">
        <v>53</v>
      </c>
      <c r="B303" t="s">
        <v>51</v>
      </c>
      <c r="C303" t="s">
        <v>58</v>
      </c>
      <c r="D303" t="s">
        <v>12</v>
      </c>
      <c r="E303" t="s">
        <v>20</v>
      </c>
      <c r="F303" t="s">
        <v>14</v>
      </c>
      <c r="G303" s="2" t="s">
        <v>55</v>
      </c>
      <c r="H303" t="s">
        <v>27</v>
      </c>
      <c r="I303" t="s">
        <v>23</v>
      </c>
      <c r="J303" t="s">
        <v>51</v>
      </c>
    </row>
    <row r="304" spans="1:10" x14ac:dyDescent="0.3">
      <c r="A304" t="s">
        <v>66</v>
      </c>
      <c r="B304">
        <v>35</v>
      </c>
      <c r="C304">
        <v>65000</v>
      </c>
      <c r="D304" t="s">
        <v>12</v>
      </c>
      <c r="E304" t="s">
        <v>35</v>
      </c>
      <c r="F304" t="s">
        <v>41</v>
      </c>
      <c r="G304" s="2" t="s">
        <v>62</v>
      </c>
      <c r="H304" t="s">
        <v>22</v>
      </c>
      <c r="I304" t="s">
        <v>51</v>
      </c>
      <c r="J304" t="s">
        <v>51</v>
      </c>
    </row>
    <row r="305" spans="1:10" x14ac:dyDescent="0.3">
      <c r="A305" t="s">
        <v>56</v>
      </c>
      <c r="B305">
        <v>50</v>
      </c>
      <c r="C305">
        <v>50000</v>
      </c>
      <c r="D305" t="s">
        <v>34</v>
      </c>
      <c r="E305" t="s">
        <v>13</v>
      </c>
      <c r="F305" t="s">
        <v>41</v>
      </c>
      <c r="G305" s="2" t="s">
        <v>50</v>
      </c>
      <c r="H305" t="s">
        <v>15</v>
      </c>
      <c r="I305" t="s">
        <v>23</v>
      </c>
      <c r="J305" t="s">
        <v>24</v>
      </c>
    </row>
    <row r="306" spans="1:10" x14ac:dyDescent="0.3">
      <c r="A306" t="s">
        <v>61</v>
      </c>
      <c r="B306">
        <v>50</v>
      </c>
      <c r="C306">
        <v>55000</v>
      </c>
      <c r="D306" t="s">
        <v>12</v>
      </c>
      <c r="E306" t="s">
        <v>13</v>
      </c>
      <c r="F306" t="s">
        <v>21</v>
      </c>
      <c r="G306" s="2" t="s">
        <v>60</v>
      </c>
      <c r="H306" t="s">
        <v>22</v>
      </c>
      <c r="I306" t="s">
        <v>23</v>
      </c>
      <c r="J306" t="s">
        <v>51</v>
      </c>
    </row>
    <row r="307" spans="1:10" x14ac:dyDescent="0.3">
      <c r="A307" t="s">
        <v>66</v>
      </c>
      <c r="B307" t="s">
        <v>63</v>
      </c>
      <c r="C307">
        <v>70000</v>
      </c>
      <c r="D307" t="s">
        <v>12</v>
      </c>
      <c r="E307" t="s">
        <v>26</v>
      </c>
      <c r="F307" t="s">
        <v>41</v>
      </c>
      <c r="G307" s="2" t="s">
        <v>60</v>
      </c>
      <c r="H307" t="s">
        <v>31</v>
      </c>
      <c r="I307" t="s">
        <v>51</v>
      </c>
      <c r="J307" t="s">
        <v>42</v>
      </c>
    </row>
    <row r="308" spans="1:10" x14ac:dyDescent="0.3">
      <c r="A308" t="s">
        <v>52</v>
      </c>
      <c r="B308" t="s">
        <v>51</v>
      </c>
      <c r="C308">
        <v>55000</v>
      </c>
      <c r="D308" t="s">
        <v>12</v>
      </c>
      <c r="E308" t="s">
        <v>13</v>
      </c>
      <c r="F308" t="s">
        <v>40</v>
      </c>
      <c r="G308" s="2" t="s">
        <v>60</v>
      </c>
      <c r="H308" t="s">
        <v>22</v>
      </c>
      <c r="I308" t="s">
        <v>16</v>
      </c>
      <c r="J308" t="s">
        <v>24</v>
      </c>
    </row>
    <row r="309" spans="1:10" x14ac:dyDescent="0.3">
      <c r="A309" t="s">
        <v>56</v>
      </c>
      <c r="B309">
        <v>35</v>
      </c>
      <c r="C309">
        <v>50000</v>
      </c>
      <c r="D309" t="s">
        <v>12</v>
      </c>
      <c r="E309" t="s">
        <v>35</v>
      </c>
      <c r="F309" t="s">
        <v>37</v>
      </c>
      <c r="G309" s="2" t="s">
        <v>62</v>
      </c>
      <c r="H309" t="s">
        <v>38</v>
      </c>
      <c r="I309" t="s">
        <v>51</v>
      </c>
      <c r="J309" t="s">
        <v>28</v>
      </c>
    </row>
    <row r="310" spans="1:10" x14ac:dyDescent="0.3">
      <c r="A310" t="s">
        <v>49</v>
      </c>
      <c r="B310">
        <v>40</v>
      </c>
      <c r="C310">
        <v>70000</v>
      </c>
      <c r="D310" t="s">
        <v>12</v>
      </c>
      <c r="E310" t="s">
        <v>26</v>
      </c>
      <c r="F310" t="s">
        <v>41</v>
      </c>
      <c r="G310" s="2" t="s">
        <v>60</v>
      </c>
      <c r="H310" t="s">
        <v>15</v>
      </c>
      <c r="J310" t="s">
        <v>51</v>
      </c>
    </row>
    <row r="311" spans="1:10" x14ac:dyDescent="0.3">
      <c r="A311" t="s">
        <v>66</v>
      </c>
      <c r="B311" t="s">
        <v>51</v>
      </c>
      <c r="C311">
        <v>55000</v>
      </c>
      <c r="D311" t="s">
        <v>12</v>
      </c>
      <c r="E311" t="s">
        <v>20</v>
      </c>
      <c r="F311" t="s">
        <v>41</v>
      </c>
      <c r="G311" s="2" t="s">
        <v>55</v>
      </c>
      <c r="H311" t="s">
        <v>38</v>
      </c>
      <c r="I311" t="s">
        <v>32</v>
      </c>
      <c r="J311" t="s">
        <v>51</v>
      </c>
    </row>
    <row r="312" spans="1:10" x14ac:dyDescent="0.3">
      <c r="A312" t="s">
        <v>61</v>
      </c>
      <c r="B312">
        <v>35</v>
      </c>
      <c r="C312" t="s">
        <v>54</v>
      </c>
      <c r="D312" t="s">
        <v>19</v>
      </c>
      <c r="E312" t="s">
        <v>13</v>
      </c>
      <c r="F312" t="s">
        <v>40</v>
      </c>
      <c r="G312" s="2" t="s">
        <v>60</v>
      </c>
      <c r="H312" t="s">
        <v>31</v>
      </c>
      <c r="I312" t="s">
        <v>51</v>
      </c>
      <c r="J312" t="s">
        <v>24</v>
      </c>
    </row>
    <row r="313" spans="1:10" x14ac:dyDescent="0.3">
      <c r="A313" t="s">
        <v>65</v>
      </c>
      <c r="B313">
        <v>35</v>
      </c>
      <c r="C313">
        <v>50000</v>
      </c>
      <c r="D313" t="s">
        <v>34</v>
      </c>
      <c r="E313" t="s">
        <v>30</v>
      </c>
      <c r="F313" t="s">
        <v>14</v>
      </c>
      <c r="G313" s="2" t="s">
        <v>50</v>
      </c>
      <c r="H313" t="s">
        <v>15</v>
      </c>
      <c r="I313" t="s">
        <v>23</v>
      </c>
      <c r="J313" t="s">
        <v>57</v>
      </c>
    </row>
    <row r="314" spans="1:10" x14ac:dyDescent="0.3">
      <c r="A314" t="s">
        <v>67</v>
      </c>
      <c r="B314">
        <v>25</v>
      </c>
      <c r="C314">
        <v>50000</v>
      </c>
      <c r="D314" t="s">
        <v>19</v>
      </c>
      <c r="E314" t="s">
        <v>13</v>
      </c>
      <c r="F314" t="s">
        <v>14</v>
      </c>
      <c r="G314" s="2" t="s">
        <v>55</v>
      </c>
      <c r="H314" t="s">
        <v>27</v>
      </c>
      <c r="I314" t="s">
        <v>23</v>
      </c>
      <c r="J314" t="s">
        <v>51</v>
      </c>
    </row>
    <row r="315" spans="1:10" x14ac:dyDescent="0.3">
      <c r="A315" t="s">
        <v>59</v>
      </c>
      <c r="B315">
        <v>40</v>
      </c>
      <c r="C315">
        <v>50000</v>
      </c>
      <c r="D315" t="s">
        <v>12</v>
      </c>
      <c r="E315" t="s">
        <v>20</v>
      </c>
      <c r="F315" t="s">
        <v>21</v>
      </c>
      <c r="G315" s="2" t="s">
        <v>60</v>
      </c>
      <c r="H315" t="s">
        <v>22</v>
      </c>
      <c r="I315" t="s">
        <v>51</v>
      </c>
      <c r="J315" t="s">
        <v>42</v>
      </c>
    </row>
    <row r="316" spans="1:10" x14ac:dyDescent="0.3">
      <c r="A316" t="s">
        <v>64</v>
      </c>
      <c r="B316">
        <v>25</v>
      </c>
      <c r="C316" t="s">
        <v>54</v>
      </c>
      <c r="D316" t="s">
        <v>12</v>
      </c>
      <c r="E316" t="s">
        <v>26</v>
      </c>
      <c r="F316" t="s">
        <v>40</v>
      </c>
      <c r="G316" s="2" t="s">
        <v>60</v>
      </c>
      <c r="H316" t="s">
        <v>38</v>
      </c>
      <c r="I316" t="s">
        <v>32</v>
      </c>
      <c r="J316" t="s">
        <v>51</v>
      </c>
    </row>
    <row r="317" spans="1:10" x14ac:dyDescent="0.3">
      <c r="A317" t="s">
        <v>59</v>
      </c>
      <c r="B317" t="s">
        <v>63</v>
      </c>
      <c r="C317" t="s">
        <v>54</v>
      </c>
      <c r="D317" t="s">
        <v>34</v>
      </c>
      <c r="E317" t="s">
        <v>20</v>
      </c>
      <c r="F317" t="s">
        <v>37</v>
      </c>
      <c r="G317" s="2">
        <v>43881</v>
      </c>
      <c r="H317" t="s">
        <v>31</v>
      </c>
      <c r="I317" t="s">
        <v>51</v>
      </c>
      <c r="J317" t="s">
        <v>28</v>
      </c>
    </row>
    <row r="318" spans="1:10" x14ac:dyDescent="0.3">
      <c r="A318" t="s">
        <v>61</v>
      </c>
      <c r="B318">
        <v>25</v>
      </c>
      <c r="C318">
        <v>65000</v>
      </c>
      <c r="D318" t="s">
        <v>19</v>
      </c>
      <c r="E318" t="s">
        <v>30</v>
      </c>
      <c r="F318" t="s">
        <v>37</v>
      </c>
      <c r="G318" s="2" t="s">
        <v>62</v>
      </c>
      <c r="H318" t="s">
        <v>27</v>
      </c>
      <c r="I318" t="s">
        <v>32</v>
      </c>
      <c r="J318" t="s">
        <v>51</v>
      </c>
    </row>
    <row r="319" spans="1:10" x14ac:dyDescent="0.3">
      <c r="A319" t="s">
        <v>53</v>
      </c>
      <c r="B319">
        <v>25</v>
      </c>
      <c r="C319" t="s">
        <v>58</v>
      </c>
      <c r="D319" t="s">
        <v>34</v>
      </c>
      <c r="E319" t="s">
        <v>35</v>
      </c>
      <c r="F319" t="s">
        <v>40</v>
      </c>
      <c r="G319" s="2" t="s">
        <v>55</v>
      </c>
      <c r="H319" t="s">
        <v>22</v>
      </c>
      <c r="I319" t="s">
        <v>32</v>
      </c>
      <c r="J319" t="s">
        <v>57</v>
      </c>
    </row>
    <row r="320" spans="1:10" x14ac:dyDescent="0.3">
      <c r="A320" t="s">
        <v>53</v>
      </c>
      <c r="B320" t="s">
        <v>51</v>
      </c>
      <c r="C320">
        <v>55000</v>
      </c>
      <c r="D320" t="s">
        <v>19</v>
      </c>
      <c r="E320" t="s">
        <v>13</v>
      </c>
      <c r="F320" t="s">
        <v>37</v>
      </c>
      <c r="G320" s="2">
        <v>43881</v>
      </c>
      <c r="H320" t="s">
        <v>27</v>
      </c>
      <c r="J320" t="s">
        <v>51</v>
      </c>
    </row>
    <row r="321" spans="1:10" x14ac:dyDescent="0.3">
      <c r="A321" t="s">
        <v>65</v>
      </c>
      <c r="B321">
        <v>50</v>
      </c>
      <c r="C321">
        <v>65000</v>
      </c>
      <c r="D321" t="s">
        <v>12</v>
      </c>
      <c r="E321" t="s">
        <v>26</v>
      </c>
      <c r="F321" t="s">
        <v>14</v>
      </c>
      <c r="G321" s="2" t="s">
        <v>50</v>
      </c>
      <c r="H321" t="s">
        <v>22</v>
      </c>
      <c r="I321" t="s">
        <v>23</v>
      </c>
      <c r="J321" t="s">
        <v>24</v>
      </c>
    </row>
    <row r="322" spans="1:10" x14ac:dyDescent="0.3">
      <c r="A322" t="s">
        <v>64</v>
      </c>
      <c r="B322">
        <v>35</v>
      </c>
      <c r="C322">
        <v>55000</v>
      </c>
      <c r="D322" t="s">
        <v>34</v>
      </c>
      <c r="E322" t="s">
        <v>35</v>
      </c>
      <c r="F322" t="s">
        <v>37</v>
      </c>
      <c r="G322" s="2" t="s">
        <v>62</v>
      </c>
      <c r="H322" t="s">
        <v>15</v>
      </c>
      <c r="I322" t="s">
        <v>23</v>
      </c>
      <c r="J322" t="s">
        <v>51</v>
      </c>
    </row>
    <row r="323" spans="1:10" x14ac:dyDescent="0.3">
      <c r="A323" t="s">
        <v>49</v>
      </c>
      <c r="B323">
        <v>40</v>
      </c>
      <c r="C323" t="s">
        <v>58</v>
      </c>
      <c r="D323" t="s">
        <v>34</v>
      </c>
      <c r="E323" t="s">
        <v>20</v>
      </c>
      <c r="F323" t="s">
        <v>37</v>
      </c>
      <c r="G323" s="2" t="s">
        <v>55</v>
      </c>
      <c r="H323" t="s">
        <v>27</v>
      </c>
      <c r="I323" t="s">
        <v>32</v>
      </c>
      <c r="J323" t="s">
        <v>57</v>
      </c>
    </row>
    <row r="324" spans="1:10" x14ac:dyDescent="0.3">
      <c r="A324" t="s">
        <v>65</v>
      </c>
      <c r="B324">
        <v>25</v>
      </c>
      <c r="C324" t="s">
        <v>54</v>
      </c>
      <c r="D324" t="s">
        <v>12</v>
      </c>
      <c r="E324" t="s">
        <v>26</v>
      </c>
      <c r="F324" t="s">
        <v>40</v>
      </c>
      <c r="G324" s="2" t="s">
        <v>60</v>
      </c>
      <c r="H324" t="s">
        <v>27</v>
      </c>
      <c r="I324" t="s">
        <v>23</v>
      </c>
      <c r="J324" t="s">
        <v>24</v>
      </c>
    </row>
    <row r="325" spans="1:10" x14ac:dyDescent="0.3">
      <c r="A325" t="s">
        <v>59</v>
      </c>
      <c r="B325">
        <v>40</v>
      </c>
      <c r="C325" t="s">
        <v>58</v>
      </c>
      <c r="D325" t="s">
        <v>34</v>
      </c>
      <c r="E325" t="s">
        <v>35</v>
      </c>
      <c r="F325" t="s">
        <v>40</v>
      </c>
      <c r="G325" s="2" t="s">
        <v>55</v>
      </c>
      <c r="H325" t="s">
        <v>27</v>
      </c>
      <c r="I325" t="s">
        <v>16</v>
      </c>
      <c r="J325" t="s">
        <v>42</v>
      </c>
    </row>
    <row r="326" spans="1:10" x14ac:dyDescent="0.3">
      <c r="A326" t="s">
        <v>65</v>
      </c>
      <c r="B326">
        <v>50</v>
      </c>
      <c r="C326" t="s">
        <v>54</v>
      </c>
      <c r="D326" t="s">
        <v>19</v>
      </c>
      <c r="E326" t="s">
        <v>26</v>
      </c>
      <c r="F326" t="s">
        <v>37</v>
      </c>
      <c r="G326" s="2" t="s">
        <v>60</v>
      </c>
      <c r="H326" t="s">
        <v>15</v>
      </c>
      <c r="I326" t="s">
        <v>32</v>
      </c>
      <c r="J326" t="s">
        <v>24</v>
      </c>
    </row>
    <row r="327" spans="1:10" x14ac:dyDescent="0.3">
      <c r="A327" t="s">
        <v>59</v>
      </c>
      <c r="B327">
        <v>50</v>
      </c>
      <c r="C327" t="s">
        <v>58</v>
      </c>
      <c r="D327" t="s">
        <v>19</v>
      </c>
      <c r="E327" t="s">
        <v>30</v>
      </c>
      <c r="F327" t="s">
        <v>41</v>
      </c>
      <c r="G327" s="2" t="s">
        <v>62</v>
      </c>
      <c r="H327" t="s">
        <v>31</v>
      </c>
      <c r="I327" t="s">
        <v>23</v>
      </c>
      <c r="J327" t="s">
        <v>28</v>
      </c>
    </row>
    <row r="328" spans="1:10" x14ac:dyDescent="0.3">
      <c r="A328" t="s">
        <v>66</v>
      </c>
      <c r="B328">
        <v>25</v>
      </c>
      <c r="C328">
        <v>65000</v>
      </c>
      <c r="D328" t="s">
        <v>19</v>
      </c>
      <c r="E328" t="s">
        <v>30</v>
      </c>
      <c r="F328" t="s">
        <v>40</v>
      </c>
      <c r="G328" s="2" t="s">
        <v>60</v>
      </c>
      <c r="H328" t="s">
        <v>22</v>
      </c>
      <c r="I328" t="s">
        <v>16</v>
      </c>
      <c r="J328" t="s">
        <v>24</v>
      </c>
    </row>
    <row r="329" spans="1:10" x14ac:dyDescent="0.3">
      <c r="A329" t="s">
        <v>53</v>
      </c>
      <c r="B329" t="s">
        <v>63</v>
      </c>
      <c r="C329">
        <v>70000</v>
      </c>
      <c r="D329" t="s">
        <v>19</v>
      </c>
      <c r="E329" t="s">
        <v>13</v>
      </c>
      <c r="F329" t="s">
        <v>21</v>
      </c>
      <c r="G329" s="2" t="s">
        <v>50</v>
      </c>
      <c r="H329" t="s">
        <v>27</v>
      </c>
      <c r="J329" t="s">
        <v>42</v>
      </c>
    </row>
    <row r="330" spans="1:10" x14ac:dyDescent="0.3">
      <c r="A330" t="s">
        <v>66</v>
      </c>
      <c r="B330">
        <v>25</v>
      </c>
      <c r="C330">
        <v>65000</v>
      </c>
      <c r="D330" t="s">
        <v>12</v>
      </c>
      <c r="E330" t="s">
        <v>13</v>
      </c>
      <c r="F330" t="s">
        <v>21</v>
      </c>
      <c r="G330" s="2" t="s">
        <v>60</v>
      </c>
      <c r="H330" t="s">
        <v>15</v>
      </c>
      <c r="I330" t="s">
        <v>23</v>
      </c>
      <c r="J330" t="s">
        <v>51</v>
      </c>
    </row>
    <row r="331" spans="1:10" x14ac:dyDescent="0.3">
      <c r="A331" t="s">
        <v>67</v>
      </c>
      <c r="B331" t="s">
        <v>51</v>
      </c>
      <c r="C331">
        <v>55000</v>
      </c>
      <c r="D331" t="s">
        <v>34</v>
      </c>
      <c r="E331" t="s">
        <v>30</v>
      </c>
      <c r="F331" t="s">
        <v>14</v>
      </c>
      <c r="G331" s="2" t="s">
        <v>50</v>
      </c>
      <c r="H331" t="s">
        <v>31</v>
      </c>
      <c r="I331" t="s">
        <v>16</v>
      </c>
      <c r="J331" t="s">
        <v>24</v>
      </c>
    </row>
    <row r="332" spans="1:10" x14ac:dyDescent="0.3">
      <c r="A332" t="s">
        <v>64</v>
      </c>
      <c r="B332">
        <v>35</v>
      </c>
      <c r="C332">
        <v>65000</v>
      </c>
      <c r="D332" t="s">
        <v>19</v>
      </c>
      <c r="E332" t="s">
        <v>26</v>
      </c>
      <c r="F332" t="s">
        <v>37</v>
      </c>
      <c r="G332" s="2" t="s">
        <v>62</v>
      </c>
      <c r="H332" t="s">
        <v>22</v>
      </c>
      <c r="I332" t="s">
        <v>51</v>
      </c>
      <c r="J332" t="s">
        <v>24</v>
      </c>
    </row>
    <row r="333" spans="1:10" x14ac:dyDescent="0.3">
      <c r="A333" t="s">
        <v>49</v>
      </c>
      <c r="B333" t="s">
        <v>63</v>
      </c>
      <c r="C333">
        <v>50000</v>
      </c>
      <c r="D333" t="s">
        <v>12</v>
      </c>
      <c r="E333" t="s">
        <v>30</v>
      </c>
      <c r="F333" t="s">
        <v>41</v>
      </c>
      <c r="G333" s="2" t="s">
        <v>62</v>
      </c>
      <c r="H333" t="s">
        <v>15</v>
      </c>
      <c r="I333" t="s">
        <v>51</v>
      </c>
      <c r="J333" t="s">
        <v>24</v>
      </c>
    </row>
    <row r="334" spans="1:10" x14ac:dyDescent="0.3">
      <c r="A334" t="s">
        <v>59</v>
      </c>
      <c r="B334">
        <v>25</v>
      </c>
      <c r="C334">
        <v>55000</v>
      </c>
      <c r="D334" t="s">
        <v>34</v>
      </c>
      <c r="E334" t="s">
        <v>13</v>
      </c>
      <c r="F334" t="s">
        <v>14</v>
      </c>
      <c r="G334" s="2" t="s">
        <v>55</v>
      </c>
      <c r="H334" t="s">
        <v>22</v>
      </c>
      <c r="I334" t="s">
        <v>16</v>
      </c>
      <c r="J334" t="s">
        <v>24</v>
      </c>
    </row>
    <row r="335" spans="1:10" x14ac:dyDescent="0.3">
      <c r="A335" t="s">
        <v>49</v>
      </c>
      <c r="B335">
        <v>40</v>
      </c>
      <c r="C335" t="s">
        <v>58</v>
      </c>
      <c r="D335" t="s">
        <v>34</v>
      </c>
      <c r="E335" t="s">
        <v>30</v>
      </c>
      <c r="F335" t="s">
        <v>37</v>
      </c>
      <c r="G335" s="2" t="s">
        <v>50</v>
      </c>
      <c r="H335" t="s">
        <v>27</v>
      </c>
      <c r="I335" t="s">
        <v>32</v>
      </c>
      <c r="J335" t="s">
        <v>42</v>
      </c>
    </row>
    <row r="336" spans="1:10" x14ac:dyDescent="0.3">
      <c r="A336" t="s">
        <v>59</v>
      </c>
      <c r="B336" t="s">
        <v>63</v>
      </c>
      <c r="C336">
        <v>55000</v>
      </c>
      <c r="D336" t="s">
        <v>12</v>
      </c>
      <c r="E336" t="s">
        <v>30</v>
      </c>
      <c r="F336" t="s">
        <v>40</v>
      </c>
      <c r="G336" s="2" t="s">
        <v>50</v>
      </c>
      <c r="H336" t="s">
        <v>31</v>
      </c>
      <c r="I336" t="s">
        <v>32</v>
      </c>
      <c r="J336" t="s">
        <v>57</v>
      </c>
    </row>
    <row r="337" spans="1:10" x14ac:dyDescent="0.3">
      <c r="A337" t="s">
        <v>61</v>
      </c>
      <c r="B337" t="s">
        <v>63</v>
      </c>
      <c r="C337">
        <v>70000</v>
      </c>
      <c r="D337" t="s">
        <v>12</v>
      </c>
      <c r="E337" t="s">
        <v>26</v>
      </c>
      <c r="F337" t="s">
        <v>21</v>
      </c>
      <c r="G337" s="2">
        <v>43881</v>
      </c>
      <c r="H337" t="s">
        <v>15</v>
      </c>
      <c r="I337" t="s">
        <v>23</v>
      </c>
      <c r="J337" t="s">
        <v>57</v>
      </c>
    </row>
    <row r="338" spans="1:10" x14ac:dyDescent="0.3">
      <c r="A338" t="s">
        <v>65</v>
      </c>
      <c r="B338">
        <v>25</v>
      </c>
      <c r="C338" t="s">
        <v>54</v>
      </c>
      <c r="D338" t="s">
        <v>19</v>
      </c>
      <c r="E338" t="s">
        <v>35</v>
      </c>
      <c r="F338" t="s">
        <v>41</v>
      </c>
      <c r="G338" s="2">
        <v>43881</v>
      </c>
      <c r="H338" t="s">
        <v>31</v>
      </c>
      <c r="I338" t="s">
        <v>51</v>
      </c>
      <c r="J338" t="s">
        <v>24</v>
      </c>
    </row>
    <row r="339" spans="1:10" x14ac:dyDescent="0.3">
      <c r="A339" t="s">
        <v>67</v>
      </c>
      <c r="B339" t="s">
        <v>63</v>
      </c>
      <c r="C339" t="s">
        <v>58</v>
      </c>
      <c r="D339" t="s">
        <v>34</v>
      </c>
      <c r="E339" t="s">
        <v>13</v>
      </c>
      <c r="F339" t="s">
        <v>21</v>
      </c>
      <c r="G339" s="2">
        <v>43881</v>
      </c>
      <c r="H339" t="s">
        <v>27</v>
      </c>
      <c r="I339" t="s">
        <v>32</v>
      </c>
      <c r="J339" t="s">
        <v>42</v>
      </c>
    </row>
    <row r="340" spans="1:10" x14ac:dyDescent="0.3">
      <c r="A340" t="s">
        <v>53</v>
      </c>
      <c r="B340">
        <v>40</v>
      </c>
      <c r="C340">
        <v>55000</v>
      </c>
      <c r="D340" t="s">
        <v>34</v>
      </c>
      <c r="E340" t="s">
        <v>26</v>
      </c>
      <c r="F340" t="s">
        <v>40</v>
      </c>
      <c r="G340" s="2" t="s">
        <v>60</v>
      </c>
      <c r="H340" t="s">
        <v>31</v>
      </c>
      <c r="I340" t="s">
        <v>32</v>
      </c>
      <c r="J340" t="s">
        <v>42</v>
      </c>
    </row>
    <row r="341" spans="1:10" x14ac:dyDescent="0.3">
      <c r="A341" t="s">
        <v>59</v>
      </c>
      <c r="B341">
        <v>50</v>
      </c>
      <c r="C341" t="s">
        <v>58</v>
      </c>
      <c r="D341" t="s">
        <v>12</v>
      </c>
      <c r="E341" t="s">
        <v>30</v>
      </c>
      <c r="F341" t="s">
        <v>37</v>
      </c>
      <c r="G341" s="2">
        <v>43881</v>
      </c>
      <c r="H341" t="s">
        <v>31</v>
      </c>
      <c r="I341" t="s">
        <v>51</v>
      </c>
      <c r="J341" t="s">
        <v>24</v>
      </c>
    </row>
    <row r="342" spans="1:10" x14ac:dyDescent="0.3">
      <c r="A342" t="s">
        <v>49</v>
      </c>
      <c r="B342" t="s">
        <v>63</v>
      </c>
      <c r="C342" t="s">
        <v>58</v>
      </c>
      <c r="D342" t="s">
        <v>34</v>
      </c>
      <c r="E342" t="s">
        <v>30</v>
      </c>
      <c r="F342" t="s">
        <v>40</v>
      </c>
      <c r="G342" s="2" t="s">
        <v>50</v>
      </c>
      <c r="H342" t="s">
        <v>38</v>
      </c>
      <c r="J342" t="s">
        <v>28</v>
      </c>
    </row>
    <row r="343" spans="1:10" x14ac:dyDescent="0.3">
      <c r="A343" t="s">
        <v>67</v>
      </c>
      <c r="B343">
        <v>50</v>
      </c>
      <c r="C343" t="s">
        <v>58</v>
      </c>
      <c r="D343" t="s">
        <v>19</v>
      </c>
      <c r="E343" t="s">
        <v>35</v>
      </c>
      <c r="F343" t="s">
        <v>40</v>
      </c>
      <c r="G343" s="2" t="s">
        <v>60</v>
      </c>
      <c r="H343" t="s">
        <v>31</v>
      </c>
      <c r="I343" t="s">
        <v>32</v>
      </c>
      <c r="J343" t="s">
        <v>24</v>
      </c>
    </row>
    <row r="344" spans="1:10" x14ac:dyDescent="0.3">
      <c r="A344" t="s">
        <v>52</v>
      </c>
      <c r="B344">
        <v>40</v>
      </c>
      <c r="C344" t="s">
        <v>54</v>
      </c>
      <c r="D344" t="s">
        <v>34</v>
      </c>
      <c r="E344" t="s">
        <v>13</v>
      </c>
      <c r="F344" t="s">
        <v>21</v>
      </c>
      <c r="G344" s="2" t="s">
        <v>62</v>
      </c>
      <c r="H344" t="s">
        <v>22</v>
      </c>
      <c r="I344" t="s">
        <v>16</v>
      </c>
      <c r="J344" t="s">
        <v>28</v>
      </c>
    </row>
    <row r="345" spans="1:10" x14ac:dyDescent="0.3">
      <c r="A345" t="s">
        <v>52</v>
      </c>
      <c r="B345">
        <v>25</v>
      </c>
      <c r="C345">
        <v>65000</v>
      </c>
      <c r="D345" t="s">
        <v>12</v>
      </c>
      <c r="E345" t="s">
        <v>13</v>
      </c>
      <c r="F345" t="s">
        <v>41</v>
      </c>
      <c r="G345" s="2" t="s">
        <v>55</v>
      </c>
      <c r="H345" t="s">
        <v>15</v>
      </c>
      <c r="I345" t="s">
        <v>23</v>
      </c>
      <c r="J345" t="s">
        <v>24</v>
      </c>
    </row>
    <row r="346" spans="1:10" x14ac:dyDescent="0.3">
      <c r="A346" t="s">
        <v>66</v>
      </c>
      <c r="B346">
        <v>35</v>
      </c>
      <c r="C346" t="s">
        <v>58</v>
      </c>
      <c r="D346" t="s">
        <v>12</v>
      </c>
      <c r="E346" t="s">
        <v>20</v>
      </c>
      <c r="F346" t="s">
        <v>40</v>
      </c>
      <c r="G346" s="2">
        <v>43881</v>
      </c>
      <c r="H346" t="s">
        <v>38</v>
      </c>
      <c r="I346" t="s">
        <v>32</v>
      </c>
      <c r="J346" t="s">
        <v>28</v>
      </c>
    </row>
    <row r="347" spans="1:10" x14ac:dyDescent="0.3">
      <c r="A347" t="s">
        <v>53</v>
      </c>
      <c r="B347" t="s">
        <v>63</v>
      </c>
      <c r="C347">
        <v>50000</v>
      </c>
      <c r="D347" t="s">
        <v>19</v>
      </c>
      <c r="E347" t="s">
        <v>13</v>
      </c>
      <c r="F347" t="s">
        <v>21</v>
      </c>
      <c r="G347" s="2" t="s">
        <v>62</v>
      </c>
      <c r="H347" t="s">
        <v>15</v>
      </c>
      <c r="I347" t="s">
        <v>32</v>
      </c>
      <c r="J347" t="s">
        <v>28</v>
      </c>
    </row>
    <row r="348" spans="1:10" x14ac:dyDescent="0.3">
      <c r="A348" t="s">
        <v>61</v>
      </c>
      <c r="B348">
        <v>35</v>
      </c>
      <c r="C348">
        <v>70000</v>
      </c>
      <c r="D348" t="s">
        <v>19</v>
      </c>
      <c r="E348" t="s">
        <v>35</v>
      </c>
      <c r="F348" t="s">
        <v>41</v>
      </c>
      <c r="G348" s="2" t="s">
        <v>50</v>
      </c>
      <c r="H348" t="s">
        <v>15</v>
      </c>
      <c r="J348" t="s">
        <v>24</v>
      </c>
    </row>
    <row r="349" spans="1:10" x14ac:dyDescent="0.3">
      <c r="A349" t="s">
        <v>49</v>
      </c>
      <c r="B349">
        <v>40</v>
      </c>
      <c r="C349" t="s">
        <v>54</v>
      </c>
      <c r="D349" t="s">
        <v>34</v>
      </c>
      <c r="E349" t="s">
        <v>20</v>
      </c>
      <c r="F349" t="s">
        <v>37</v>
      </c>
      <c r="G349" s="2" t="s">
        <v>55</v>
      </c>
      <c r="H349" t="s">
        <v>27</v>
      </c>
      <c r="I349" t="s">
        <v>16</v>
      </c>
      <c r="J349" t="s">
        <v>28</v>
      </c>
    </row>
    <row r="350" spans="1:10" x14ac:dyDescent="0.3">
      <c r="A350" t="s">
        <v>65</v>
      </c>
      <c r="B350" t="s">
        <v>63</v>
      </c>
      <c r="C350">
        <v>55000</v>
      </c>
      <c r="D350" t="s">
        <v>34</v>
      </c>
      <c r="E350" t="s">
        <v>20</v>
      </c>
      <c r="F350" t="s">
        <v>37</v>
      </c>
      <c r="G350" s="2" t="s">
        <v>62</v>
      </c>
      <c r="H350" t="s">
        <v>27</v>
      </c>
      <c r="I350" t="s">
        <v>23</v>
      </c>
      <c r="J350" t="s">
        <v>51</v>
      </c>
    </row>
    <row r="351" spans="1:10" x14ac:dyDescent="0.3">
      <c r="A351" t="s">
        <v>65</v>
      </c>
      <c r="B351">
        <v>50</v>
      </c>
      <c r="C351" t="s">
        <v>54</v>
      </c>
      <c r="D351" t="s">
        <v>12</v>
      </c>
      <c r="E351" t="s">
        <v>30</v>
      </c>
      <c r="F351" t="s">
        <v>14</v>
      </c>
      <c r="G351" s="2" t="s">
        <v>55</v>
      </c>
      <c r="H351" t="s">
        <v>38</v>
      </c>
      <c r="I351" t="s">
        <v>32</v>
      </c>
      <c r="J351" t="s">
        <v>57</v>
      </c>
    </row>
    <row r="352" spans="1:10" x14ac:dyDescent="0.3">
      <c r="A352" t="s">
        <v>49</v>
      </c>
      <c r="B352" t="s">
        <v>51</v>
      </c>
      <c r="C352">
        <v>55000</v>
      </c>
      <c r="D352" t="s">
        <v>19</v>
      </c>
      <c r="E352" t="s">
        <v>30</v>
      </c>
      <c r="F352" t="s">
        <v>21</v>
      </c>
      <c r="G352" s="2">
        <v>43881</v>
      </c>
      <c r="H352" t="s">
        <v>27</v>
      </c>
      <c r="I352" t="s">
        <v>23</v>
      </c>
      <c r="J352" t="s">
        <v>42</v>
      </c>
    </row>
    <row r="353" spans="1:10" x14ac:dyDescent="0.3">
      <c r="A353" t="s">
        <v>64</v>
      </c>
      <c r="B353">
        <v>35</v>
      </c>
      <c r="C353" t="s">
        <v>54</v>
      </c>
      <c r="D353" t="s">
        <v>19</v>
      </c>
      <c r="E353" t="s">
        <v>13</v>
      </c>
      <c r="F353" t="s">
        <v>41</v>
      </c>
      <c r="G353" s="2" t="s">
        <v>50</v>
      </c>
      <c r="H353" t="s">
        <v>27</v>
      </c>
      <c r="I353" t="s">
        <v>51</v>
      </c>
      <c r="J353" t="s">
        <v>28</v>
      </c>
    </row>
    <row r="354" spans="1:10" x14ac:dyDescent="0.3">
      <c r="A354" t="s">
        <v>61</v>
      </c>
      <c r="B354" t="s">
        <v>63</v>
      </c>
      <c r="C354">
        <v>55000</v>
      </c>
      <c r="D354" t="s">
        <v>19</v>
      </c>
      <c r="E354" t="s">
        <v>20</v>
      </c>
      <c r="F354" t="s">
        <v>40</v>
      </c>
      <c r="G354" s="2" t="s">
        <v>55</v>
      </c>
      <c r="H354" t="s">
        <v>27</v>
      </c>
      <c r="I354" t="s">
        <v>32</v>
      </c>
      <c r="J354" t="s">
        <v>28</v>
      </c>
    </row>
    <row r="355" spans="1:10" x14ac:dyDescent="0.3">
      <c r="A355" t="s">
        <v>67</v>
      </c>
      <c r="B355">
        <v>35</v>
      </c>
      <c r="C355" t="s">
        <v>58</v>
      </c>
      <c r="D355" t="s">
        <v>34</v>
      </c>
      <c r="E355" t="s">
        <v>30</v>
      </c>
      <c r="F355" t="s">
        <v>37</v>
      </c>
      <c r="G355" s="2" t="s">
        <v>62</v>
      </c>
      <c r="H355" t="s">
        <v>15</v>
      </c>
      <c r="I355" t="s">
        <v>32</v>
      </c>
      <c r="J355" t="s">
        <v>42</v>
      </c>
    </row>
    <row r="356" spans="1:10" x14ac:dyDescent="0.3">
      <c r="A356" t="s">
        <v>59</v>
      </c>
      <c r="B356" t="s">
        <v>63</v>
      </c>
      <c r="C356">
        <v>65000</v>
      </c>
      <c r="D356" t="s">
        <v>19</v>
      </c>
      <c r="E356" t="s">
        <v>35</v>
      </c>
      <c r="F356" t="s">
        <v>41</v>
      </c>
      <c r="G356" s="2">
        <v>43881</v>
      </c>
      <c r="H356" t="s">
        <v>38</v>
      </c>
      <c r="I356" t="s">
        <v>51</v>
      </c>
      <c r="J356" t="s">
        <v>28</v>
      </c>
    </row>
    <row r="357" spans="1:10" x14ac:dyDescent="0.3">
      <c r="A357" t="s">
        <v>64</v>
      </c>
      <c r="B357">
        <v>25</v>
      </c>
      <c r="C357">
        <v>55000</v>
      </c>
      <c r="D357" t="s">
        <v>12</v>
      </c>
      <c r="E357" t="s">
        <v>30</v>
      </c>
      <c r="F357" t="s">
        <v>21</v>
      </c>
      <c r="G357" s="2">
        <v>43881</v>
      </c>
      <c r="H357" t="s">
        <v>15</v>
      </c>
      <c r="J357" t="s">
        <v>42</v>
      </c>
    </row>
    <row r="358" spans="1:10" x14ac:dyDescent="0.3">
      <c r="A358" t="s">
        <v>59</v>
      </c>
      <c r="B358">
        <v>50</v>
      </c>
      <c r="C358">
        <v>55000</v>
      </c>
      <c r="D358" t="s">
        <v>12</v>
      </c>
      <c r="E358" t="s">
        <v>30</v>
      </c>
      <c r="F358" t="s">
        <v>14</v>
      </c>
      <c r="G358" s="2" t="s">
        <v>62</v>
      </c>
      <c r="H358" t="s">
        <v>22</v>
      </c>
      <c r="I358" t="s">
        <v>32</v>
      </c>
      <c r="J358" t="s">
        <v>24</v>
      </c>
    </row>
    <row r="359" spans="1:10" x14ac:dyDescent="0.3">
      <c r="A359" t="s">
        <v>59</v>
      </c>
      <c r="B359">
        <v>35</v>
      </c>
      <c r="C359">
        <v>50000</v>
      </c>
      <c r="D359" t="s">
        <v>34</v>
      </c>
      <c r="E359" t="s">
        <v>20</v>
      </c>
      <c r="F359" t="s">
        <v>37</v>
      </c>
      <c r="G359" s="2" t="s">
        <v>62</v>
      </c>
      <c r="H359" t="s">
        <v>15</v>
      </c>
      <c r="I359" t="s">
        <v>23</v>
      </c>
      <c r="J359" t="s">
        <v>51</v>
      </c>
    </row>
    <row r="360" spans="1:10" x14ac:dyDescent="0.3">
      <c r="A360" t="s">
        <v>64</v>
      </c>
      <c r="B360" t="s">
        <v>51</v>
      </c>
      <c r="C360">
        <v>55000</v>
      </c>
      <c r="D360" t="s">
        <v>34</v>
      </c>
      <c r="E360" t="s">
        <v>20</v>
      </c>
      <c r="F360" t="s">
        <v>41</v>
      </c>
      <c r="G360" s="2" t="s">
        <v>55</v>
      </c>
      <c r="H360" t="s">
        <v>22</v>
      </c>
      <c r="I360" t="s">
        <v>16</v>
      </c>
      <c r="J360" t="s">
        <v>51</v>
      </c>
    </row>
    <row r="361" spans="1:10" x14ac:dyDescent="0.3">
      <c r="A361" t="s">
        <v>66</v>
      </c>
      <c r="B361" t="s">
        <v>51</v>
      </c>
      <c r="C361">
        <v>50000</v>
      </c>
      <c r="D361" t="s">
        <v>19</v>
      </c>
      <c r="E361" t="s">
        <v>26</v>
      </c>
      <c r="F361" t="s">
        <v>41</v>
      </c>
      <c r="G361" s="2" t="s">
        <v>60</v>
      </c>
      <c r="H361" t="s">
        <v>31</v>
      </c>
      <c r="I361" t="s">
        <v>23</v>
      </c>
      <c r="J361" t="s">
        <v>57</v>
      </c>
    </row>
    <row r="362" spans="1:10" x14ac:dyDescent="0.3">
      <c r="A362" t="s">
        <v>52</v>
      </c>
      <c r="B362">
        <v>40</v>
      </c>
      <c r="C362">
        <v>70000</v>
      </c>
      <c r="D362" t="s">
        <v>34</v>
      </c>
      <c r="E362" t="s">
        <v>35</v>
      </c>
      <c r="F362" t="s">
        <v>41</v>
      </c>
      <c r="G362" s="2">
        <v>43881</v>
      </c>
      <c r="H362" t="s">
        <v>31</v>
      </c>
      <c r="J362" t="s">
        <v>28</v>
      </c>
    </row>
    <row r="363" spans="1:10" x14ac:dyDescent="0.3">
      <c r="A363" t="s">
        <v>59</v>
      </c>
      <c r="B363" t="s">
        <v>63</v>
      </c>
      <c r="C363" t="s">
        <v>58</v>
      </c>
      <c r="D363" t="s">
        <v>12</v>
      </c>
      <c r="E363" t="s">
        <v>20</v>
      </c>
      <c r="F363" t="s">
        <v>21</v>
      </c>
      <c r="G363" s="2" t="s">
        <v>55</v>
      </c>
      <c r="H363" t="s">
        <v>22</v>
      </c>
      <c r="I363" t="s">
        <v>16</v>
      </c>
      <c r="J363" t="s">
        <v>57</v>
      </c>
    </row>
    <row r="364" spans="1:10" x14ac:dyDescent="0.3">
      <c r="A364" t="s">
        <v>64</v>
      </c>
      <c r="B364">
        <v>35</v>
      </c>
      <c r="C364">
        <v>50000</v>
      </c>
      <c r="D364" t="s">
        <v>19</v>
      </c>
      <c r="E364" t="s">
        <v>13</v>
      </c>
      <c r="F364" t="s">
        <v>21</v>
      </c>
      <c r="G364" s="2" t="s">
        <v>62</v>
      </c>
      <c r="H364" t="s">
        <v>22</v>
      </c>
      <c r="I364" t="s">
        <v>23</v>
      </c>
      <c r="J364" t="s">
        <v>24</v>
      </c>
    </row>
    <row r="365" spans="1:10" x14ac:dyDescent="0.3">
      <c r="A365" t="s">
        <v>64</v>
      </c>
      <c r="B365">
        <v>40</v>
      </c>
      <c r="C365">
        <v>65000</v>
      </c>
      <c r="D365" t="s">
        <v>12</v>
      </c>
      <c r="E365" t="s">
        <v>35</v>
      </c>
      <c r="F365" t="s">
        <v>21</v>
      </c>
      <c r="G365" s="2" t="s">
        <v>55</v>
      </c>
      <c r="H365" t="s">
        <v>15</v>
      </c>
      <c r="I365" t="s">
        <v>23</v>
      </c>
      <c r="J365" t="s">
        <v>51</v>
      </c>
    </row>
    <row r="366" spans="1:10" x14ac:dyDescent="0.3">
      <c r="A366" t="s">
        <v>56</v>
      </c>
      <c r="B366">
        <v>35</v>
      </c>
      <c r="C366" t="s">
        <v>58</v>
      </c>
      <c r="D366" t="s">
        <v>19</v>
      </c>
      <c r="E366" t="s">
        <v>35</v>
      </c>
      <c r="F366" t="s">
        <v>40</v>
      </c>
      <c r="G366" s="2" t="s">
        <v>62</v>
      </c>
      <c r="H366" t="s">
        <v>22</v>
      </c>
      <c r="I366" t="s">
        <v>51</v>
      </c>
      <c r="J366" t="s">
        <v>24</v>
      </c>
    </row>
    <row r="367" spans="1:10" x14ac:dyDescent="0.3">
      <c r="A367" t="s">
        <v>66</v>
      </c>
      <c r="B367" t="s">
        <v>63</v>
      </c>
      <c r="C367">
        <v>50000</v>
      </c>
      <c r="D367" t="s">
        <v>34</v>
      </c>
      <c r="E367" t="s">
        <v>20</v>
      </c>
      <c r="F367" t="s">
        <v>41</v>
      </c>
      <c r="G367" s="2" t="s">
        <v>50</v>
      </c>
      <c r="H367" t="s">
        <v>38</v>
      </c>
      <c r="J367" t="s">
        <v>24</v>
      </c>
    </row>
    <row r="368" spans="1:10" x14ac:dyDescent="0.3">
      <c r="A368" t="s">
        <v>53</v>
      </c>
      <c r="B368" t="s">
        <v>51</v>
      </c>
      <c r="C368" t="s">
        <v>58</v>
      </c>
      <c r="D368" t="s">
        <v>19</v>
      </c>
      <c r="E368" t="s">
        <v>35</v>
      </c>
      <c r="F368" t="s">
        <v>37</v>
      </c>
      <c r="G368" s="2" t="s">
        <v>62</v>
      </c>
      <c r="H368" t="s">
        <v>31</v>
      </c>
      <c r="I368" t="s">
        <v>51</v>
      </c>
      <c r="J368" t="s">
        <v>28</v>
      </c>
    </row>
    <row r="369" spans="1:10" x14ac:dyDescent="0.3">
      <c r="A369" t="s">
        <v>56</v>
      </c>
      <c r="B369">
        <v>25</v>
      </c>
      <c r="C369" t="s">
        <v>58</v>
      </c>
      <c r="D369" t="s">
        <v>19</v>
      </c>
      <c r="E369" t="s">
        <v>20</v>
      </c>
      <c r="F369" t="s">
        <v>21</v>
      </c>
      <c r="G369" s="2" t="s">
        <v>62</v>
      </c>
      <c r="H369" t="s">
        <v>31</v>
      </c>
      <c r="I369" t="s">
        <v>16</v>
      </c>
      <c r="J369" t="s">
        <v>24</v>
      </c>
    </row>
    <row r="370" spans="1:10" x14ac:dyDescent="0.3">
      <c r="A370" t="s">
        <v>56</v>
      </c>
      <c r="B370" t="s">
        <v>51</v>
      </c>
      <c r="C370" t="s">
        <v>58</v>
      </c>
      <c r="D370" t="s">
        <v>12</v>
      </c>
      <c r="E370" t="s">
        <v>30</v>
      </c>
      <c r="F370" t="s">
        <v>21</v>
      </c>
      <c r="G370" s="2" t="s">
        <v>62</v>
      </c>
      <c r="H370" t="s">
        <v>22</v>
      </c>
      <c r="I370" t="s">
        <v>51</v>
      </c>
      <c r="J370" t="s">
        <v>51</v>
      </c>
    </row>
    <row r="371" spans="1:10" x14ac:dyDescent="0.3">
      <c r="A371" t="s">
        <v>49</v>
      </c>
      <c r="B371">
        <v>40</v>
      </c>
      <c r="C371">
        <v>70000</v>
      </c>
      <c r="D371" t="s">
        <v>12</v>
      </c>
      <c r="E371" t="s">
        <v>26</v>
      </c>
      <c r="F371" t="s">
        <v>41</v>
      </c>
      <c r="G371" s="2" t="s">
        <v>60</v>
      </c>
      <c r="H371" t="s">
        <v>27</v>
      </c>
      <c r="J371" t="s">
        <v>57</v>
      </c>
    </row>
    <row r="372" spans="1:10" x14ac:dyDescent="0.3">
      <c r="A372" t="s">
        <v>52</v>
      </c>
      <c r="B372">
        <v>50</v>
      </c>
      <c r="C372">
        <v>65000</v>
      </c>
      <c r="D372" t="s">
        <v>19</v>
      </c>
      <c r="E372" t="s">
        <v>30</v>
      </c>
      <c r="F372" t="s">
        <v>21</v>
      </c>
      <c r="G372" s="2" t="s">
        <v>62</v>
      </c>
      <c r="H372" t="s">
        <v>27</v>
      </c>
      <c r="I372" t="s">
        <v>32</v>
      </c>
      <c r="J372" t="s">
        <v>51</v>
      </c>
    </row>
    <row r="373" spans="1:10" x14ac:dyDescent="0.3">
      <c r="A373" t="s">
        <v>64</v>
      </c>
      <c r="B373">
        <v>25</v>
      </c>
      <c r="C373" t="s">
        <v>54</v>
      </c>
      <c r="D373" t="s">
        <v>34</v>
      </c>
      <c r="E373" t="s">
        <v>20</v>
      </c>
      <c r="F373" t="s">
        <v>40</v>
      </c>
      <c r="G373" s="2">
        <v>43881</v>
      </c>
      <c r="H373" t="s">
        <v>22</v>
      </c>
      <c r="I373" t="s">
        <v>32</v>
      </c>
      <c r="J373" t="s">
        <v>28</v>
      </c>
    </row>
    <row r="374" spans="1:10" x14ac:dyDescent="0.3">
      <c r="A374" t="s">
        <v>52</v>
      </c>
      <c r="B374">
        <v>40</v>
      </c>
      <c r="C374" t="s">
        <v>54</v>
      </c>
      <c r="D374" t="s">
        <v>34</v>
      </c>
      <c r="E374" t="s">
        <v>20</v>
      </c>
      <c r="F374" t="s">
        <v>40</v>
      </c>
      <c r="G374" s="2">
        <v>43881</v>
      </c>
      <c r="H374" t="s">
        <v>38</v>
      </c>
      <c r="I374" t="s">
        <v>16</v>
      </c>
      <c r="J374" t="s">
        <v>51</v>
      </c>
    </row>
    <row r="375" spans="1:10" x14ac:dyDescent="0.3">
      <c r="A375" t="s">
        <v>61</v>
      </c>
      <c r="B375" t="s">
        <v>63</v>
      </c>
      <c r="C375">
        <v>50000</v>
      </c>
      <c r="D375" t="s">
        <v>12</v>
      </c>
      <c r="E375" t="s">
        <v>30</v>
      </c>
      <c r="F375" t="s">
        <v>21</v>
      </c>
      <c r="G375" s="2" t="s">
        <v>55</v>
      </c>
      <c r="H375" t="s">
        <v>27</v>
      </c>
      <c r="I375" t="s">
        <v>32</v>
      </c>
      <c r="J375" t="s">
        <v>42</v>
      </c>
    </row>
    <row r="376" spans="1:10" x14ac:dyDescent="0.3">
      <c r="A376" t="s">
        <v>49</v>
      </c>
      <c r="B376">
        <v>25</v>
      </c>
      <c r="C376" t="s">
        <v>58</v>
      </c>
      <c r="D376" t="s">
        <v>34</v>
      </c>
      <c r="E376" t="s">
        <v>13</v>
      </c>
      <c r="F376" t="s">
        <v>41</v>
      </c>
      <c r="G376" s="2" t="s">
        <v>60</v>
      </c>
      <c r="H376" t="s">
        <v>22</v>
      </c>
      <c r="I376" t="s">
        <v>51</v>
      </c>
      <c r="J376" t="s">
        <v>57</v>
      </c>
    </row>
    <row r="377" spans="1:10" x14ac:dyDescent="0.3">
      <c r="A377" t="s">
        <v>53</v>
      </c>
      <c r="B377">
        <v>40</v>
      </c>
      <c r="C377">
        <v>50000</v>
      </c>
      <c r="D377" t="s">
        <v>12</v>
      </c>
      <c r="E377" t="s">
        <v>13</v>
      </c>
      <c r="F377" t="s">
        <v>41</v>
      </c>
      <c r="G377" s="2" t="s">
        <v>55</v>
      </c>
      <c r="H377" t="s">
        <v>38</v>
      </c>
      <c r="I377" t="s">
        <v>16</v>
      </c>
      <c r="J377" t="s">
        <v>42</v>
      </c>
    </row>
    <row r="378" spans="1:10" x14ac:dyDescent="0.3">
      <c r="A378" t="s">
        <v>52</v>
      </c>
      <c r="B378" t="s">
        <v>63</v>
      </c>
      <c r="C378">
        <v>70000</v>
      </c>
      <c r="D378" t="s">
        <v>34</v>
      </c>
      <c r="E378" t="s">
        <v>13</v>
      </c>
      <c r="F378" t="s">
        <v>41</v>
      </c>
      <c r="G378" s="2">
        <v>43881</v>
      </c>
      <c r="H378" t="s">
        <v>38</v>
      </c>
      <c r="J378" t="s">
        <v>42</v>
      </c>
    </row>
    <row r="379" spans="1:10" x14ac:dyDescent="0.3">
      <c r="A379" t="s">
        <v>65</v>
      </c>
      <c r="B379" t="s">
        <v>51</v>
      </c>
      <c r="C379">
        <v>70000</v>
      </c>
      <c r="D379" t="s">
        <v>19</v>
      </c>
      <c r="E379" t="s">
        <v>20</v>
      </c>
      <c r="F379" t="s">
        <v>14</v>
      </c>
      <c r="G379" s="2">
        <v>43881</v>
      </c>
      <c r="H379" t="s">
        <v>15</v>
      </c>
      <c r="I379" t="s">
        <v>16</v>
      </c>
      <c r="J379" t="s">
        <v>28</v>
      </c>
    </row>
    <row r="380" spans="1:10" x14ac:dyDescent="0.3">
      <c r="A380" t="s">
        <v>59</v>
      </c>
      <c r="B380">
        <v>50</v>
      </c>
      <c r="C380">
        <v>55000</v>
      </c>
      <c r="D380" t="s">
        <v>12</v>
      </c>
      <c r="E380" t="s">
        <v>35</v>
      </c>
      <c r="F380" t="s">
        <v>21</v>
      </c>
      <c r="G380" s="2" t="s">
        <v>50</v>
      </c>
      <c r="H380" t="s">
        <v>38</v>
      </c>
      <c r="I380" t="s">
        <v>16</v>
      </c>
      <c r="J380" t="s">
        <v>24</v>
      </c>
    </row>
    <row r="381" spans="1:10" x14ac:dyDescent="0.3">
      <c r="A381" t="s">
        <v>61</v>
      </c>
      <c r="B381" t="s">
        <v>63</v>
      </c>
      <c r="C381">
        <v>70000</v>
      </c>
      <c r="D381" t="s">
        <v>12</v>
      </c>
      <c r="E381" t="s">
        <v>20</v>
      </c>
      <c r="F381" t="s">
        <v>41</v>
      </c>
      <c r="G381" s="2" t="s">
        <v>62</v>
      </c>
      <c r="H381" t="s">
        <v>27</v>
      </c>
      <c r="I381" t="s">
        <v>23</v>
      </c>
      <c r="J381" t="s">
        <v>42</v>
      </c>
    </row>
    <row r="382" spans="1:10" x14ac:dyDescent="0.3">
      <c r="A382" t="s">
        <v>66</v>
      </c>
      <c r="B382">
        <v>35</v>
      </c>
      <c r="C382">
        <v>55000</v>
      </c>
      <c r="D382" t="s">
        <v>19</v>
      </c>
      <c r="E382" t="s">
        <v>35</v>
      </c>
      <c r="F382" t="s">
        <v>40</v>
      </c>
      <c r="G382" s="2">
        <v>43881</v>
      </c>
      <c r="H382" t="s">
        <v>27</v>
      </c>
      <c r="I382" t="s">
        <v>23</v>
      </c>
      <c r="J382" t="s">
        <v>51</v>
      </c>
    </row>
    <row r="383" spans="1:10" x14ac:dyDescent="0.3">
      <c r="A383" t="s">
        <v>53</v>
      </c>
      <c r="B383" t="s">
        <v>63</v>
      </c>
      <c r="C383">
        <v>65000</v>
      </c>
      <c r="D383" t="s">
        <v>12</v>
      </c>
      <c r="E383" t="s">
        <v>30</v>
      </c>
      <c r="F383" t="s">
        <v>37</v>
      </c>
      <c r="G383" s="2" t="s">
        <v>55</v>
      </c>
      <c r="H383" t="s">
        <v>22</v>
      </c>
      <c r="I383" t="s">
        <v>16</v>
      </c>
      <c r="J383" t="s">
        <v>24</v>
      </c>
    </row>
    <row r="384" spans="1:10" x14ac:dyDescent="0.3">
      <c r="A384" t="s">
        <v>61</v>
      </c>
      <c r="B384" t="s">
        <v>63</v>
      </c>
      <c r="C384">
        <v>50000</v>
      </c>
      <c r="D384" t="s">
        <v>34</v>
      </c>
      <c r="E384" t="s">
        <v>26</v>
      </c>
      <c r="F384" t="s">
        <v>37</v>
      </c>
      <c r="G384" s="2" t="s">
        <v>55</v>
      </c>
      <c r="H384" t="s">
        <v>22</v>
      </c>
      <c r="I384" t="s">
        <v>32</v>
      </c>
      <c r="J384" t="s">
        <v>51</v>
      </c>
    </row>
    <row r="385" spans="1:10" x14ac:dyDescent="0.3">
      <c r="A385" t="s">
        <v>59</v>
      </c>
      <c r="B385">
        <v>50</v>
      </c>
      <c r="C385">
        <v>65000</v>
      </c>
      <c r="D385" t="s">
        <v>34</v>
      </c>
      <c r="E385" t="s">
        <v>35</v>
      </c>
      <c r="F385" t="s">
        <v>41</v>
      </c>
      <c r="G385" s="2" t="s">
        <v>62</v>
      </c>
      <c r="H385" t="s">
        <v>38</v>
      </c>
      <c r="I385" t="s">
        <v>23</v>
      </c>
      <c r="J385" t="s">
        <v>51</v>
      </c>
    </row>
    <row r="386" spans="1:10" x14ac:dyDescent="0.3">
      <c r="A386" t="s">
        <v>49</v>
      </c>
      <c r="B386">
        <v>35</v>
      </c>
      <c r="C386">
        <v>70000</v>
      </c>
      <c r="D386" t="s">
        <v>12</v>
      </c>
      <c r="E386" t="s">
        <v>13</v>
      </c>
      <c r="F386" t="s">
        <v>37</v>
      </c>
      <c r="G386" s="2" t="s">
        <v>62</v>
      </c>
      <c r="H386" t="s">
        <v>31</v>
      </c>
      <c r="J386" t="s">
        <v>24</v>
      </c>
    </row>
    <row r="387" spans="1:10" x14ac:dyDescent="0.3">
      <c r="A387" t="s">
        <v>59</v>
      </c>
      <c r="B387">
        <v>40</v>
      </c>
      <c r="C387">
        <v>65000</v>
      </c>
      <c r="D387" t="s">
        <v>34</v>
      </c>
      <c r="E387" t="s">
        <v>20</v>
      </c>
      <c r="F387" t="s">
        <v>37</v>
      </c>
      <c r="G387" s="2" t="s">
        <v>50</v>
      </c>
      <c r="H387" t="s">
        <v>15</v>
      </c>
      <c r="I387" t="s">
        <v>51</v>
      </c>
      <c r="J387" t="s">
        <v>24</v>
      </c>
    </row>
    <row r="388" spans="1:10" x14ac:dyDescent="0.3">
      <c r="A388" t="s">
        <v>56</v>
      </c>
      <c r="B388">
        <v>40</v>
      </c>
      <c r="C388">
        <v>65000</v>
      </c>
      <c r="D388" t="s">
        <v>12</v>
      </c>
      <c r="E388" t="s">
        <v>30</v>
      </c>
      <c r="F388" t="s">
        <v>14</v>
      </c>
      <c r="G388" s="2" t="s">
        <v>60</v>
      </c>
      <c r="H388" t="s">
        <v>31</v>
      </c>
      <c r="I388" t="s">
        <v>23</v>
      </c>
      <c r="J388" t="s">
        <v>51</v>
      </c>
    </row>
    <row r="389" spans="1:10" x14ac:dyDescent="0.3">
      <c r="A389" t="s">
        <v>59</v>
      </c>
      <c r="B389" t="s">
        <v>63</v>
      </c>
      <c r="C389">
        <v>65000</v>
      </c>
      <c r="D389" t="s">
        <v>19</v>
      </c>
      <c r="E389" t="s">
        <v>13</v>
      </c>
      <c r="F389" t="s">
        <v>40</v>
      </c>
      <c r="G389" s="2" t="s">
        <v>55</v>
      </c>
      <c r="H389" t="s">
        <v>38</v>
      </c>
      <c r="I389" t="s">
        <v>16</v>
      </c>
      <c r="J389" t="s">
        <v>28</v>
      </c>
    </row>
    <row r="390" spans="1:10" x14ac:dyDescent="0.3">
      <c r="A390" t="s">
        <v>56</v>
      </c>
      <c r="B390">
        <v>35</v>
      </c>
      <c r="C390">
        <v>70000</v>
      </c>
      <c r="D390" t="s">
        <v>12</v>
      </c>
      <c r="E390" t="s">
        <v>30</v>
      </c>
      <c r="F390" t="s">
        <v>40</v>
      </c>
      <c r="G390" s="2" t="s">
        <v>62</v>
      </c>
      <c r="H390" t="s">
        <v>38</v>
      </c>
      <c r="I390" t="s">
        <v>32</v>
      </c>
      <c r="J390" t="s">
        <v>57</v>
      </c>
    </row>
    <row r="391" spans="1:10" x14ac:dyDescent="0.3">
      <c r="A391" t="s">
        <v>49</v>
      </c>
      <c r="B391">
        <v>35</v>
      </c>
      <c r="C391" t="s">
        <v>58</v>
      </c>
      <c r="D391" t="s">
        <v>19</v>
      </c>
      <c r="E391" t="s">
        <v>26</v>
      </c>
      <c r="F391" t="s">
        <v>14</v>
      </c>
      <c r="G391" s="2" t="s">
        <v>55</v>
      </c>
      <c r="H391" t="s">
        <v>31</v>
      </c>
      <c r="I391" t="s">
        <v>51</v>
      </c>
      <c r="J391" t="s">
        <v>57</v>
      </c>
    </row>
    <row r="392" spans="1:10" x14ac:dyDescent="0.3">
      <c r="A392" t="s">
        <v>67</v>
      </c>
      <c r="B392">
        <v>50</v>
      </c>
      <c r="C392">
        <v>65000</v>
      </c>
      <c r="D392" t="s">
        <v>34</v>
      </c>
      <c r="E392" t="s">
        <v>20</v>
      </c>
      <c r="F392" t="s">
        <v>14</v>
      </c>
      <c r="G392" s="2" t="s">
        <v>62</v>
      </c>
      <c r="H392" t="s">
        <v>15</v>
      </c>
      <c r="I392" t="s">
        <v>23</v>
      </c>
      <c r="J392" t="s">
        <v>28</v>
      </c>
    </row>
    <row r="393" spans="1:10" x14ac:dyDescent="0.3">
      <c r="A393" t="s">
        <v>56</v>
      </c>
      <c r="B393" t="s">
        <v>51</v>
      </c>
      <c r="C393">
        <v>55000</v>
      </c>
      <c r="D393" t="s">
        <v>19</v>
      </c>
      <c r="E393" t="s">
        <v>20</v>
      </c>
      <c r="F393" t="s">
        <v>37</v>
      </c>
      <c r="G393" s="2">
        <v>43881</v>
      </c>
      <c r="H393" t="s">
        <v>31</v>
      </c>
      <c r="I393" t="s">
        <v>32</v>
      </c>
      <c r="J393" t="s">
        <v>24</v>
      </c>
    </row>
    <row r="394" spans="1:10" x14ac:dyDescent="0.3">
      <c r="A394" t="s">
        <v>66</v>
      </c>
      <c r="B394">
        <v>40</v>
      </c>
      <c r="C394">
        <v>70000</v>
      </c>
      <c r="D394" t="s">
        <v>34</v>
      </c>
      <c r="E394" t="s">
        <v>26</v>
      </c>
      <c r="F394" t="s">
        <v>21</v>
      </c>
      <c r="G394" s="2" t="s">
        <v>55</v>
      </c>
      <c r="H394" t="s">
        <v>22</v>
      </c>
      <c r="I394" t="s">
        <v>32</v>
      </c>
      <c r="J394" t="s">
        <v>51</v>
      </c>
    </row>
    <row r="395" spans="1:10" x14ac:dyDescent="0.3">
      <c r="A395" t="s">
        <v>59</v>
      </c>
      <c r="B395">
        <v>50</v>
      </c>
      <c r="C395">
        <v>65000</v>
      </c>
      <c r="D395" t="s">
        <v>12</v>
      </c>
      <c r="E395" t="s">
        <v>20</v>
      </c>
      <c r="F395" t="s">
        <v>37</v>
      </c>
      <c r="G395" s="2">
        <v>43881</v>
      </c>
      <c r="H395" t="s">
        <v>27</v>
      </c>
      <c r="I395" t="s">
        <v>32</v>
      </c>
      <c r="J395" t="s">
        <v>57</v>
      </c>
    </row>
    <row r="396" spans="1:10" x14ac:dyDescent="0.3">
      <c r="A396" t="s">
        <v>59</v>
      </c>
      <c r="B396">
        <v>25</v>
      </c>
      <c r="C396" t="s">
        <v>58</v>
      </c>
      <c r="D396" t="s">
        <v>34</v>
      </c>
      <c r="E396" t="s">
        <v>35</v>
      </c>
      <c r="F396" t="s">
        <v>14</v>
      </c>
      <c r="G396" s="2" t="s">
        <v>55</v>
      </c>
      <c r="H396" t="s">
        <v>22</v>
      </c>
      <c r="I396" t="s">
        <v>16</v>
      </c>
      <c r="J396" t="s">
        <v>51</v>
      </c>
    </row>
    <row r="397" spans="1:10" x14ac:dyDescent="0.3">
      <c r="A397" t="s">
        <v>66</v>
      </c>
      <c r="B397">
        <v>40</v>
      </c>
      <c r="C397">
        <v>70000</v>
      </c>
      <c r="D397" t="s">
        <v>12</v>
      </c>
      <c r="E397" t="s">
        <v>30</v>
      </c>
      <c r="F397" t="s">
        <v>40</v>
      </c>
      <c r="G397" s="2" t="s">
        <v>60</v>
      </c>
      <c r="H397" t="s">
        <v>27</v>
      </c>
      <c r="J397" t="s">
        <v>28</v>
      </c>
    </row>
    <row r="398" spans="1:10" x14ac:dyDescent="0.3">
      <c r="A398" t="s">
        <v>65</v>
      </c>
      <c r="B398">
        <v>50</v>
      </c>
      <c r="C398" t="s">
        <v>54</v>
      </c>
      <c r="D398" t="s">
        <v>12</v>
      </c>
      <c r="E398" t="s">
        <v>13</v>
      </c>
      <c r="F398" t="s">
        <v>37</v>
      </c>
      <c r="G398" s="2" t="s">
        <v>50</v>
      </c>
      <c r="H398" t="s">
        <v>38</v>
      </c>
      <c r="I398" t="s">
        <v>32</v>
      </c>
      <c r="J398" t="s">
        <v>51</v>
      </c>
    </row>
    <row r="399" spans="1:10" x14ac:dyDescent="0.3">
      <c r="A399" t="s">
        <v>64</v>
      </c>
      <c r="B399">
        <v>40</v>
      </c>
      <c r="C399" t="s">
        <v>58</v>
      </c>
      <c r="D399" t="s">
        <v>19</v>
      </c>
      <c r="E399" t="s">
        <v>26</v>
      </c>
      <c r="F399" t="s">
        <v>21</v>
      </c>
      <c r="G399" s="2">
        <v>43881</v>
      </c>
      <c r="H399" t="s">
        <v>15</v>
      </c>
      <c r="I399" t="s">
        <v>51</v>
      </c>
      <c r="J399" t="s">
        <v>28</v>
      </c>
    </row>
    <row r="400" spans="1:10" x14ac:dyDescent="0.3">
      <c r="A400" t="s">
        <v>67</v>
      </c>
      <c r="B400" t="s">
        <v>51</v>
      </c>
      <c r="C400">
        <v>55000</v>
      </c>
      <c r="D400" t="s">
        <v>19</v>
      </c>
      <c r="E400" t="s">
        <v>35</v>
      </c>
      <c r="F400" t="s">
        <v>37</v>
      </c>
      <c r="G400" s="2" t="s">
        <v>62</v>
      </c>
      <c r="H400" t="s">
        <v>31</v>
      </c>
      <c r="I400" t="s">
        <v>23</v>
      </c>
      <c r="J400" t="s">
        <v>24</v>
      </c>
    </row>
    <row r="401" spans="1:10" x14ac:dyDescent="0.3">
      <c r="A401" t="s">
        <v>53</v>
      </c>
      <c r="B401">
        <v>25</v>
      </c>
      <c r="C401">
        <v>65000</v>
      </c>
      <c r="D401" t="s">
        <v>19</v>
      </c>
      <c r="E401" t="s">
        <v>13</v>
      </c>
      <c r="F401" t="s">
        <v>41</v>
      </c>
      <c r="G401" s="2" t="s">
        <v>60</v>
      </c>
      <c r="H401" t="s">
        <v>15</v>
      </c>
      <c r="I401" t="s">
        <v>51</v>
      </c>
      <c r="J401" t="s">
        <v>28</v>
      </c>
    </row>
    <row r="402" spans="1:10" x14ac:dyDescent="0.3">
      <c r="A402" t="s">
        <v>56</v>
      </c>
      <c r="B402" t="s">
        <v>51</v>
      </c>
      <c r="C402" t="s">
        <v>54</v>
      </c>
      <c r="D402" t="s">
        <v>19</v>
      </c>
      <c r="E402" t="s">
        <v>13</v>
      </c>
      <c r="F402" t="s">
        <v>37</v>
      </c>
      <c r="G402" s="2" t="s">
        <v>55</v>
      </c>
      <c r="H402" t="s">
        <v>31</v>
      </c>
      <c r="I402" t="s">
        <v>16</v>
      </c>
      <c r="J402" t="s">
        <v>28</v>
      </c>
    </row>
    <row r="403" spans="1:10" x14ac:dyDescent="0.3">
      <c r="A403" t="s">
        <v>66</v>
      </c>
      <c r="B403">
        <v>25</v>
      </c>
      <c r="C403" t="s">
        <v>54</v>
      </c>
      <c r="D403" t="s">
        <v>34</v>
      </c>
      <c r="E403" t="s">
        <v>26</v>
      </c>
      <c r="F403" t="s">
        <v>14</v>
      </c>
      <c r="G403" s="2">
        <v>43881</v>
      </c>
      <c r="H403" t="s">
        <v>22</v>
      </c>
      <c r="I403" t="s">
        <v>16</v>
      </c>
      <c r="J403" t="s">
        <v>57</v>
      </c>
    </row>
    <row r="404" spans="1:10" x14ac:dyDescent="0.3">
      <c r="A404" t="s">
        <v>49</v>
      </c>
      <c r="B404" t="s">
        <v>63</v>
      </c>
      <c r="C404">
        <v>70000</v>
      </c>
      <c r="D404" t="s">
        <v>34</v>
      </c>
      <c r="E404" t="s">
        <v>35</v>
      </c>
      <c r="F404" t="s">
        <v>40</v>
      </c>
      <c r="G404" s="2" t="s">
        <v>55</v>
      </c>
      <c r="H404" t="s">
        <v>22</v>
      </c>
      <c r="I404" t="s">
        <v>51</v>
      </c>
      <c r="J404" t="s">
        <v>51</v>
      </c>
    </row>
    <row r="405" spans="1:10" x14ac:dyDescent="0.3">
      <c r="A405" t="s">
        <v>56</v>
      </c>
      <c r="B405">
        <v>50</v>
      </c>
      <c r="C405" t="s">
        <v>54</v>
      </c>
      <c r="D405" t="s">
        <v>34</v>
      </c>
      <c r="E405" t="s">
        <v>13</v>
      </c>
      <c r="F405" t="s">
        <v>40</v>
      </c>
      <c r="G405" s="2" t="s">
        <v>55</v>
      </c>
      <c r="H405" t="s">
        <v>31</v>
      </c>
      <c r="J405" t="s">
        <v>57</v>
      </c>
    </row>
    <row r="406" spans="1:10" x14ac:dyDescent="0.3">
      <c r="A406" t="s">
        <v>64</v>
      </c>
      <c r="B406">
        <v>25</v>
      </c>
      <c r="C406">
        <v>55000</v>
      </c>
      <c r="D406" t="s">
        <v>12</v>
      </c>
      <c r="E406" t="s">
        <v>13</v>
      </c>
      <c r="F406" t="s">
        <v>14</v>
      </c>
      <c r="G406" s="2" t="s">
        <v>55</v>
      </c>
      <c r="H406" t="s">
        <v>15</v>
      </c>
      <c r="I406" t="s">
        <v>16</v>
      </c>
      <c r="J406" t="s">
        <v>42</v>
      </c>
    </row>
    <row r="407" spans="1:10" x14ac:dyDescent="0.3">
      <c r="A407" t="s">
        <v>49</v>
      </c>
      <c r="B407" t="s">
        <v>51</v>
      </c>
      <c r="C407">
        <v>55000</v>
      </c>
      <c r="D407" t="s">
        <v>34</v>
      </c>
      <c r="E407" t="s">
        <v>35</v>
      </c>
      <c r="F407" t="s">
        <v>41</v>
      </c>
      <c r="G407" s="2" t="s">
        <v>50</v>
      </c>
      <c r="H407" t="s">
        <v>31</v>
      </c>
      <c r="I407" t="s">
        <v>16</v>
      </c>
      <c r="J407" t="s">
        <v>28</v>
      </c>
    </row>
    <row r="408" spans="1:10" x14ac:dyDescent="0.3">
      <c r="A408" t="s">
        <v>61</v>
      </c>
      <c r="B408">
        <v>40</v>
      </c>
      <c r="C408">
        <v>50000</v>
      </c>
      <c r="D408" t="s">
        <v>34</v>
      </c>
      <c r="E408" t="s">
        <v>20</v>
      </c>
      <c r="F408" t="s">
        <v>14</v>
      </c>
      <c r="G408" s="2" t="s">
        <v>50</v>
      </c>
      <c r="H408" t="s">
        <v>38</v>
      </c>
      <c r="I408" t="s">
        <v>51</v>
      </c>
      <c r="J408" t="s">
        <v>42</v>
      </c>
    </row>
    <row r="409" spans="1:10" x14ac:dyDescent="0.3">
      <c r="A409" t="s">
        <v>59</v>
      </c>
      <c r="B409">
        <v>25</v>
      </c>
      <c r="C409">
        <v>55000</v>
      </c>
      <c r="D409" t="s">
        <v>34</v>
      </c>
      <c r="E409" t="s">
        <v>13</v>
      </c>
      <c r="F409" t="s">
        <v>37</v>
      </c>
      <c r="G409" s="2" t="s">
        <v>62</v>
      </c>
      <c r="H409" t="s">
        <v>22</v>
      </c>
      <c r="I409" t="s">
        <v>16</v>
      </c>
      <c r="J409" t="s">
        <v>57</v>
      </c>
    </row>
    <row r="410" spans="1:10" x14ac:dyDescent="0.3">
      <c r="A410" t="s">
        <v>61</v>
      </c>
      <c r="B410">
        <v>50</v>
      </c>
      <c r="C410" t="s">
        <v>58</v>
      </c>
      <c r="D410" t="s">
        <v>19</v>
      </c>
      <c r="E410" t="s">
        <v>30</v>
      </c>
      <c r="F410" t="s">
        <v>14</v>
      </c>
      <c r="G410" s="2">
        <v>43881</v>
      </c>
      <c r="H410" t="s">
        <v>38</v>
      </c>
      <c r="J410" t="s">
        <v>51</v>
      </c>
    </row>
    <row r="411" spans="1:10" x14ac:dyDescent="0.3">
      <c r="A411" t="s">
        <v>56</v>
      </c>
      <c r="B411">
        <v>25</v>
      </c>
      <c r="C411" t="s">
        <v>54</v>
      </c>
      <c r="D411" t="s">
        <v>34</v>
      </c>
      <c r="E411" t="s">
        <v>35</v>
      </c>
      <c r="F411" t="s">
        <v>14</v>
      </c>
      <c r="G411" s="2" t="s">
        <v>60</v>
      </c>
      <c r="H411" t="s">
        <v>22</v>
      </c>
      <c r="J411" t="s">
        <v>57</v>
      </c>
    </row>
    <row r="412" spans="1:10" x14ac:dyDescent="0.3">
      <c r="A412" t="s">
        <v>64</v>
      </c>
      <c r="B412">
        <v>35</v>
      </c>
      <c r="C412">
        <v>55000</v>
      </c>
      <c r="D412" t="s">
        <v>12</v>
      </c>
      <c r="E412" t="s">
        <v>13</v>
      </c>
      <c r="F412" t="s">
        <v>41</v>
      </c>
      <c r="G412" s="2" t="s">
        <v>60</v>
      </c>
      <c r="H412" t="s">
        <v>22</v>
      </c>
      <c r="J412" t="s">
        <v>51</v>
      </c>
    </row>
    <row r="413" spans="1:10" x14ac:dyDescent="0.3">
      <c r="A413" t="s">
        <v>67</v>
      </c>
      <c r="B413">
        <v>40</v>
      </c>
      <c r="C413">
        <v>70000</v>
      </c>
      <c r="D413" t="s">
        <v>19</v>
      </c>
      <c r="E413" t="s">
        <v>26</v>
      </c>
      <c r="F413" t="s">
        <v>37</v>
      </c>
      <c r="G413" s="2" t="s">
        <v>60</v>
      </c>
      <c r="H413" t="s">
        <v>27</v>
      </c>
      <c r="I413" t="s">
        <v>23</v>
      </c>
      <c r="J413" t="s">
        <v>51</v>
      </c>
    </row>
    <row r="414" spans="1:10" x14ac:dyDescent="0.3">
      <c r="A414" t="s">
        <v>56</v>
      </c>
      <c r="B414">
        <v>50</v>
      </c>
      <c r="C414">
        <v>50000</v>
      </c>
      <c r="D414" t="s">
        <v>12</v>
      </c>
      <c r="E414" t="s">
        <v>30</v>
      </c>
      <c r="F414" t="s">
        <v>21</v>
      </c>
      <c r="G414" s="2" t="s">
        <v>55</v>
      </c>
      <c r="H414" t="s">
        <v>38</v>
      </c>
      <c r="J414" t="s">
        <v>24</v>
      </c>
    </row>
    <row r="415" spans="1:10" x14ac:dyDescent="0.3">
      <c r="A415" t="s">
        <v>66</v>
      </c>
      <c r="B415">
        <v>50</v>
      </c>
      <c r="C415" t="s">
        <v>54</v>
      </c>
      <c r="D415" t="s">
        <v>34</v>
      </c>
      <c r="E415" t="s">
        <v>13</v>
      </c>
      <c r="F415" t="s">
        <v>21</v>
      </c>
      <c r="G415" s="2" t="s">
        <v>50</v>
      </c>
      <c r="H415" t="s">
        <v>38</v>
      </c>
      <c r="J415" t="s">
        <v>28</v>
      </c>
    </row>
    <row r="416" spans="1:10" x14ac:dyDescent="0.3">
      <c r="A416" t="s">
        <v>52</v>
      </c>
      <c r="B416" t="s">
        <v>63</v>
      </c>
      <c r="C416">
        <v>50000</v>
      </c>
      <c r="D416" t="s">
        <v>19</v>
      </c>
      <c r="E416" t="s">
        <v>30</v>
      </c>
      <c r="F416" t="s">
        <v>40</v>
      </c>
      <c r="G416" s="2">
        <v>43881</v>
      </c>
      <c r="H416" t="s">
        <v>27</v>
      </c>
      <c r="I416" t="s">
        <v>23</v>
      </c>
      <c r="J416" t="s">
        <v>57</v>
      </c>
    </row>
    <row r="417" spans="1:10" x14ac:dyDescent="0.3">
      <c r="A417" t="s">
        <v>56</v>
      </c>
      <c r="B417" t="s">
        <v>51</v>
      </c>
      <c r="C417" t="s">
        <v>54</v>
      </c>
      <c r="D417" t="s">
        <v>12</v>
      </c>
      <c r="E417" t="s">
        <v>30</v>
      </c>
      <c r="F417" t="s">
        <v>14</v>
      </c>
      <c r="G417" s="2" t="s">
        <v>55</v>
      </c>
      <c r="H417" t="s">
        <v>15</v>
      </c>
      <c r="I417" t="s">
        <v>32</v>
      </c>
      <c r="J417" t="s">
        <v>51</v>
      </c>
    </row>
    <row r="418" spans="1:10" x14ac:dyDescent="0.3">
      <c r="A418" t="s">
        <v>59</v>
      </c>
      <c r="B418" t="s">
        <v>63</v>
      </c>
      <c r="C418">
        <v>70000</v>
      </c>
      <c r="D418" t="s">
        <v>34</v>
      </c>
      <c r="E418" t="s">
        <v>20</v>
      </c>
      <c r="F418" t="s">
        <v>40</v>
      </c>
      <c r="G418" s="2" t="s">
        <v>50</v>
      </c>
      <c r="H418" t="s">
        <v>38</v>
      </c>
      <c r="I418" t="s">
        <v>16</v>
      </c>
      <c r="J418" t="s">
        <v>57</v>
      </c>
    </row>
    <row r="419" spans="1:10" x14ac:dyDescent="0.3">
      <c r="A419" t="s">
        <v>59</v>
      </c>
      <c r="B419">
        <v>50</v>
      </c>
      <c r="C419">
        <v>50000</v>
      </c>
      <c r="D419" t="s">
        <v>12</v>
      </c>
      <c r="E419" t="s">
        <v>30</v>
      </c>
      <c r="F419" t="s">
        <v>41</v>
      </c>
      <c r="G419" s="2" t="s">
        <v>50</v>
      </c>
      <c r="H419" t="s">
        <v>31</v>
      </c>
      <c r="J419" t="s">
        <v>57</v>
      </c>
    </row>
    <row r="420" spans="1:10" x14ac:dyDescent="0.3">
      <c r="A420" t="s">
        <v>56</v>
      </c>
      <c r="B420">
        <v>40</v>
      </c>
      <c r="C420">
        <v>65000</v>
      </c>
      <c r="D420" t="s">
        <v>12</v>
      </c>
      <c r="E420" t="s">
        <v>20</v>
      </c>
      <c r="F420" t="s">
        <v>21</v>
      </c>
      <c r="G420" s="2">
        <v>43881</v>
      </c>
      <c r="H420" t="s">
        <v>27</v>
      </c>
      <c r="I420" t="s">
        <v>16</v>
      </c>
      <c r="J420" t="s">
        <v>51</v>
      </c>
    </row>
    <row r="421" spans="1:10" x14ac:dyDescent="0.3">
      <c r="A421" t="s">
        <v>49</v>
      </c>
      <c r="B421">
        <v>25</v>
      </c>
      <c r="C421" t="s">
        <v>58</v>
      </c>
      <c r="D421" t="s">
        <v>12</v>
      </c>
      <c r="E421" t="s">
        <v>35</v>
      </c>
      <c r="F421" t="s">
        <v>14</v>
      </c>
      <c r="G421" s="2">
        <v>43881</v>
      </c>
      <c r="H421" t="s">
        <v>38</v>
      </c>
      <c r="I421" t="s">
        <v>51</v>
      </c>
      <c r="J421" t="s">
        <v>42</v>
      </c>
    </row>
    <row r="422" spans="1:10" x14ac:dyDescent="0.3">
      <c r="A422" t="s">
        <v>52</v>
      </c>
      <c r="B422">
        <v>25</v>
      </c>
      <c r="C422" t="s">
        <v>58</v>
      </c>
      <c r="D422" t="s">
        <v>34</v>
      </c>
      <c r="E422" t="s">
        <v>20</v>
      </c>
      <c r="F422" t="s">
        <v>41</v>
      </c>
      <c r="G422" s="2">
        <v>43881</v>
      </c>
      <c r="H422" t="s">
        <v>15</v>
      </c>
      <c r="I422" t="s">
        <v>16</v>
      </c>
      <c r="J422" t="s">
        <v>28</v>
      </c>
    </row>
    <row r="423" spans="1:10" x14ac:dyDescent="0.3">
      <c r="A423" t="s">
        <v>66</v>
      </c>
      <c r="B423">
        <v>40</v>
      </c>
      <c r="C423" t="s">
        <v>54</v>
      </c>
      <c r="D423" t="s">
        <v>34</v>
      </c>
      <c r="E423" t="s">
        <v>26</v>
      </c>
      <c r="F423" t="s">
        <v>41</v>
      </c>
      <c r="G423" s="2" t="s">
        <v>55</v>
      </c>
      <c r="H423" t="s">
        <v>38</v>
      </c>
      <c r="I423" t="s">
        <v>23</v>
      </c>
      <c r="J423" t="s">
        <v>28</v>
      </c>
    </row>
    <row r="424" spans="1:10" x14ac:dyDescent="0.3">
      <c r="A424" t="s">
        <v>56</v>
      </c>
      <c r="B424">
        <v>50</v>
      </c>
      <c r="C424">
        <v>65000</v>
      </c>
      <c r="D424" t="s">
        <v>12</v>
      </c>
      <c r="E424" t="s">
        <v>13</v>
      </c>
      <c r="F424" t="s">
        <v>14</v>
      </c>
      <c r="G424" s="2" t="s">
        <v>62</v>
      </c>
      <c r="H424" t="s">
        <v>22</v>
      </c>
      <c r="I424" t="s">
        <v>16</v>
      </c>
      <c r="J424" t="s">
        <v>24</v>
      </c>
    </row>
    <row r="425" spans="1:10" x14ac:dyDescent="0.3">
      <c r="A425" t="s">
        <v>49</v>
      </c>
      <c r="B425">
        <v>25</v>
      </c>
      <c r="C425">
        <v>50000</v>
      </c>
      <c r="D425" t="s">
        <v>19</v>
      </c>
      <c r="E425" t="s">
        <v>35</v>
      </c>
      <c r="F425" t="s">
        <v>41</v>
      </c>
      <c r="G425" s="2">
        <v>43881</v>
      </c>
      <c r="H425" t="s">
        <v>31</v>
      </c>
      <c r="I425" t="s">
        <v>16</v>
      </c>
      <c r="J425" t="s">
        <v>24</v>
      </c>
    </row>
    <row r="426" spans="1:10" x14ac:dyDescent="0.3">
      <c r="A426" t="s">
        <v>59</v>
      </c>
      <c r="B426">
        <v>25</v>
      </c>
      <c r="C426">
        <v>65000</v>
      </c>
      <c r="D426" t="s">
        <v>19</v>
      </c>
      <c r="E426" t="s">
        <v>35</v>
      </c>
      <c r="F426" t="s">
        <v>14</v>
      </c>
      <c r="G426" s="2" t="s">
        <v>62</v>
      </c>
      <c r="H426" t="s">
        <v>27</v>
      </c>
      <c r="I426" t="s">
        <v>16</v>
      </c>
      <c r="J426" t="s">
        <v>24</v>
      </c>
    </row>
    <row r="427" spans="1:10" x14ac:dyDescent="0.3">
      <c r="A427" t="s">
        <v>59</v>
      </c>
      <c r="B427">
        <v>25</v>
      </c>
      <c r="C427">
        <v>65000</v>
      </c>
      <c r="D427" t="s">
        <v>34</v>
      </c>
      <c r="E427" t="s">
        <v>26</v>
      </c>
      <c r="F427" t="s">
        <v>14</v>
      </c>
      <c r="G427" s="2" t="s">
        <v>55</v>
      </c>
      <c r="H427" t="s">
        <v>22</v>
      </c>
      <c r="I427" t="s">
        <v>32</v>
      </c>
      <c r="J427" t="s">
        <v>28</v>
      </c>
    </row>
    <row r="428" spans="1:10" x14ac:dyDescent="0.3">
      <c r="A428" t="s">
        <v>64</v>
      </c>
      <c r="B428" t="s">
        <v>51</v>
      </c>
      <c r="C428">
        <v>50000</v>
      </c>
      <c r="D428" t="s">
        <v>34</v>
      </c>
      <c r="E428" t="s">
        <v>20</v>
      </c>
      <c r="F428" t="s">
        <v>37</v>
      </c>
      <c r="G428" s="2" t="s">
        <v>62</v>
      </c>
      <c r="H428" t="s">
        <v>15</v>
      </c>
      <c r="I428" t="s">
        <v>32</v>
      </c>
      <c r="J428" t="s">
        <v>42</v>
      </c>
    </row>
    <row r="429" spans="1:10" x14ac:dyDescent="0.3">
      <c r="A429" t="s">
        <v>56</v>
      </c>
      <c r="B429" t="s">
        <v>51</v>
      </c>
      <c r="C429">
        <v>70000</v>
      </c>
      <c r="D429" t="s">
        <v>34</v>
      </c>
      <c r="E429" t="s">
        <v>13</v>
      </c>
      <c r="F429" t="s">
        <v>40</v>
      </c>
      <c r="G429" s="2" t="s">
        <v>60</v>
      </c>
      <c r="H429" t="s">
        <v>22</v>
      </c>
      <c r="I429" t="s">
        <v>51</v>
      </c>
      <c r="J429" t="s">
        <v>28</v>
      </c>
    </row>
    <row r="430" spans="1:10" x14ac:dyDescent="0.3">
      <c r="A430" t="s">
        <v>52</v>
      </c>
      <c r="B430">
        <v>35</v>
      </c>
      <c r="C430">
        <v>65000</v>
      </c>
      <c r="D430" t="s">
        <v>34</v>
      </c>
      <c r="E430" t="s">
        <v>20</v>
      </c>
      <c r="F430" t="s">
        <v>41</v>
      </c>
      <c r="G430" s="2" t="s">
        <v>62</v>
      </c>
      <c r="H430" t="s">
        <v>22</v>
      </c>
      <c r="I430" t="s">
        <v>23</v>
      </c>
      <c r="J430" t="s">
        <v>28</v>
      </c>
    </row>
    <row r="431" spans="1:10" x14ac:dyDescent="0.3">
      <c r="A431" t="s">
        <v>65</v>
      </c>
      <c r="B431" t="s">
        <v>63</v>
      </c>
      <c r="C431">
        <v>65000</v>
      </c>
      <c r="D431" t="s">
        <v>34</v>
      </c>
      <c r="E431" t="s">
        <v>30</v>
      </c>
      <c r="F431" t="s">
        <v>41</v>
      </c>
      <c r="G431" s="2">
        <v>43881</v>
      </c>
      <c r="H431" t="s">
        <v>15</v>
      </c>
      <c r="I431" t="s">
        <v>16</v>
      </c>
      <c r="J431" t="s">
        <v>28</v>
      </c>
    </row>
    <row r="432" spans="1:10" x14ac:dyDescent="0.3">
      <c r="A432" t="s">
        <v>52</v>
      </c>
      <c r="B432">
        <v>40</v>
      </c>
      <c r="C432">
        <v>70000</v>
      </c>
      <c r="D432" t="s">
        <v>19</v>
      </c>
      <c r="E432" t="s">
        <v>20</v>
      </c>
      <c r="F432" t="s">
        <v>37</v>
      </c>
      <c r="G432" s="2" t="s">
        <v>55</v>
      </c>
      <c r="H432" t="s">
        <v>22</v>
      </c>
      <c r="I432" t="s">
        <v>16</v>
      </c>
      <c r="J432" t="s">
        <v>28</v>
      </c>
    </row>
    <row r="433" spans="1:10" x14ac:dyDescent="0.3">
      <c r="A433" t="s">
        <v>59</v>
      </c>
      <c r="B433">
        <v>40</v>
      </c>
      <c r="C433">
        <v>65000</v>
      </c>
      <c r="D433" t="s">
        <v>34</v>
      </c>
      <c r="E433" t="s">
        <v>35</v>
      </c>
      <c r="F433" t="s">
        <v>37</v>
      </c>
      <c r="G433" s="2">
        <v>43881</v>
      </c>
      <c r="H433" t="s">
        <v>27</v>
      </c>
      <c r="I433" t="s">
        <v>16</v>
      </c>
      <c r="J433" t="s">
        <v>42</v>
      </c>
    </row>
    <row r="434" spans="1:10" x14ac:dyDescent="0.3">
      <c r="A434" t="s">
        <v>59</v>
      </c>
      <c r="B434">
        <v>40</v>
      </c>
      <c r="C434">
        <v>65000</v>
      </c>
      <c r="D434" t="s">
        <v>12</v>
      </c>
      <c r="E434" t="s">
        <v>13</v>
      </c>
      <c r="F434" t="s">
        <v>37</v>
      </c>
      <c r="G434" s="2" t="s">
        <v>60</v>
      </c>
      <c r="H434" t="s">
        <v>38</v>
      </c>
      <c r="I434" t="s">
        <v>16</v>
      </c>
      <c r="J434" t="s">
        <v>24</v>
      </c>
    </row>
    <row r="435" spans="1:10" x14ac:dyDescent="0.3">
      <c r="A435" t="s">
        <v>61</v>
      </c>
      <c r="B435">
        <v>35</v>
      </c>
      <c r="C435">
        <v>65000</v>
      </c>
      <c r="D435" t="s">
        <v>12</v>
      </c>
      <c r="E435" t="s">
        <v>20</v>
      </c>
      <c r="F435" t="s">
        <v>21</v>
      </c>
      <c r="G435" s="2">
        <v>43881</v>
      </c>
      <c r="H435" t="s">
        <v>22</v>
      </c>
      <c r="I435" t="s">
        <v>32</v>
      </c>
      <c r="J435" t="s">
        <v>57</v>
      </c>
    </row>
    <row r="436" spans="1:10" x14ac:dyDescent="0.3">
      <c r="A436" t="s">
        <v>59</v>
      </c>
      <c r="B436" t="s">
        <v>51</v>
      </c>
      <c r="C436" t="s">
        <v>58</v>
      </c>
      <c r="D436" t="s">
        <v>19</v>
      </c>
      <c r="E436" t="s">
        <v>13</v>
      </c>
      <c r="F436" t="s">
        <v>21</v>
      </c>
      <c r="G436" s="2">
        <v>43881</v>
      </c>
      <c r="H436" t="s">
        <v>27</v>
      </c>
      <c r="I436" t="s">
        <v>51</v>
      </c>
      <c r="J436" t="s">
        <v>24</v>
      </c>
    </row>
    <row r="437" spans="1:10" x14ac:dyDescent="0.3">
      <c r="A437" t="s">
        <v>66</v>
      </c>
      <c r="B437">
        <v>50</v>
      </c>
      <c r="C437">
        <v>55000</v>
      </c>
      <c r="D437" t="s">
        <v>12</v>
      </c>
      <c r="E437" t="s">
        <v>13</v>
      </c>
      <c r="F437" t="s">
        <v>21</v>
      </c>
      <c r="G437" s="2">
        <v>43881</v>
      </c>
      <c r="H437" t="s">
        <v>38</v>
      </c>
      <c r="J437" t="s">
        <v>24</v>
      </c>
    </row>
    <row r="438" spans="1:10" x14ac:dyDescent="0.3">
      <c r="A438" t="s">
        <v>53</v>
      </c>
      <c r="B438">
        <v>50</v>
      </c>
      <c r="C438">
        <v>70000</v>
      </c>
      <c r="D438" t="s">
        <v>19</v>
      </c>
      <c r="E438" t="s">
        <v>30</v>
      </c>
      <c r="F438" t="s">
        <v>14</v>
      </c>
      <c r="G438" s="2" t="s">
        <v>50</v>
      </c>
      <c r="H438" t="s">
        <v>38</v>
      </c>
      <c r="I438" t="s">
        <v>23</v>
      </c>
      <c r="J438" t="s">
        <v>57</v>
      </c>
    </row>
    <row r="439" spans="1:10" x14ac:dyDescent="0.3">
      <c r="A439" t="s">
        <v>56</v>
      </c>
      <c r="B439">
        <v>35</v>
      </c>
      <c r="C439">
        <v>65000</v>
      </c>
      <c r="D439" t="s">
        <v>19</v>
      </c>
      <c r="E439" t="s">
        <v>30</v>
      </c>
      <c r="F439" t="s">
        <v>41</v>
      </c>
      <c r="G439" s="2" t="s">
        <v>60</v>
      </c>
      <c r="H439" t="s">
        <v>22</v>
      </c>
      <c r="I439" t="s">
        <v>16</v>
      </c>
      <c r="J439" t="s">
        <v>28</v>
      </c>
    </row>
    <row r="440" spans="1:10" x14ac:dyDescent="0.3">
      <c r="A440" t="s">
        <v>52</v>
      </c>
      <c r="B440">
        <v>50</v>
      </c>
      <c r="C440" t="s">
        <v>58</v>
      </c>
      <c r="D440" t="s">
        <v>12</v>
      </c>
      <c r="E440" t="s">
        <v>35</v>
      </c>
      <c r="F440" t="s">
        <v>40</v>
      </c>
      <c r="G440" s="2">
        <v>43881</v>
      </c>
      <c r="H440" t="s">
        <v>27</v>
      </c>
      <c r="I440" t="s">
        <v>51</v>
      </c>
      <c r="J440" t="s">
        <v>42</v>
      </c>
    </row>
    <row r="441" spans="1:10" x14ac:dyDescent="0.3">
      <c r="A441" t="s">
        <v>53</v>
      </c>
      <c r="B441">
        <v>40</v>
      </c>
      <c r="C441">
        <v>70000</v>
      </c>
      <c r="D441" t="s">
        <v>34</v>
      </c>
      <c r="E441" t="s">
        <v>26</v>
      </c>
      <c r="F441" t="s">
        <v>14</v>
      </c>
      <c r="G441" s="2">
        <v>43881</v>
      </c>
      <c r="H441" t="s">
        <v>22</v>
      </c>
      <c r="J441" t="s">
        <v>42</v>
      </c>
    </row>
    <row r="442" spans="1:10" x14ac:dyDescent="0.3">
      <c r="A442" t="s">
        <v>49</v>
      </c>
      <c r="B442" t="s">
        <v>63</v>
      </c>
      <c r="C442" t="s">
        <v>54</v>
      </c>
      <c r="D442" t="s">
        <v>12</v>
      </c>
      <c r="E442" t="s">
        <v>13</v>
      </c>
      <c r="F442" t="s">
        <v>41</v>
      </c>
      <c r="G442" s="2">
        <v>43881</v>
      </c>
      <c r="H442" t="s">
        <v>15</v>
      </c>
      <c r="I442" t="s">
        <v>51</v>
      </c>
      <c r="J442" t="s">
        <v>24</v>
      </c>
    </row>
    <row r="443" spans="1:10" x14ac:dyDescent="0.3">
      <c r="A443" t="s">
        <v>65</v>
      </c>
      <c r="B443">
        <v>25</v>
      </c>
      <c r="C443" t="s">
        <v>54</v>
      </c>
      <c r="D443" t="s">
        <v>12</v>
      </c>
      <c r="E443" t="s">
        <v>26</v>
      </c>
      <c r="F443" t="s">
        <v>41</v>
      </c>
      <c r="G443" s="2" t="s">
        <v>55</v>
      </c>
      <c r="H443" t="s">
        <v>38</v>
      </c>
      <c r="I443" t="s">
        <v>32</v>
      </c>
      <c r="J443" t="s">
        <v>57</v>
      </c>
    </row>
    <row r="444" spans="1:10" x14ac:dyDescent="0.3">
      <c r="A444" t="s">
        <v>66</v>
      </c>
      <c r="B444" t="s">
        <v>51</v>
      </c>
      <c r="C444">
        <v>65000</v>
      </c>
      <c r="D444" t="s">
        <v>19</v>
      </c>
      <c r="E444" t="s">
        <v>35</v>
      </c>
      <c r="F444" t="s">
        <v>37</v>
      </c>
      <c r="G444" s="2" t="s">
        <v>50</v>
      </c>
      <c r="H444" t="s">
        <v>22</v>
      </c>
      <c r="J444" t="s">
        <v>51</v>
      </c>
    </row>
    <row r="445" spans="1:10" x14ac:dyDescent="0.3">
      <c r="A445" t="s">
        <v>52</v>
      </c>
      <c r="B445" t="s">
        <v>51</v>
      </c>
      <c r="C445" t="s">
        <v>58</v>
      </c>
      <c r="D445" t="s">
        <v>12</v>
      </c>
      <c r="E445" t="s">
        <v>13</v>
      </c>
      <c r="F445" t="s">
        <v>37</v>
      </c>
      <c r="G445" s="2" t="s">
        <v>55</v>
      </c>
      <c r="H445" t="s">
        <v>38</v>
      </c>
      <c r="I445" t="s">
        <v>51</v>
      </c>
      <c r="J445" t="s">
        <v>28</v>
      </c>
    </row>
    <row r="446" spans="1:10" x14ac:dyDescent="0.3">
      <c r="A446" t="s">
        <v>53</v>
      </c>
      <c r="B446">
        <v>35</v>
      </c>
      <c r="C446" t="s">
        <v>58</v>
      </c>
      <c r="D446" t="s">
        <v>19</v>
      </c>
      <c r="E446" t="s">
        <v>13</v>
      </c>
      <c r="F446" t="s">
        <v>14</v>
      </c>
      <c r="G446" s="2" t="s">
        <v>50</v>
      </c>
      <c r="H446" t="s">
        <v>27</v>
      </c>
      <c r="I446" t="s">
        <v>32</v>
      </c>
      <c r="J446" t="s">
        <v>24</v>
      </c>
    </row>
    <row r="447" spans="1:10" x14ac:dyDescent="0.3">
      <c r="A447" t="s">
        <v>65</v>
      </c>
      <c r="B447" t="s">
        <v>51</v>
      </c>
      <c r="C447">
        <v>70000</v>
      </c>
      <c r="D447" t="s">
        <v>34</v>
      </c>
      <c r="E447" t="s">
        <v>26</v>
      </c>
      <c r="F447" t="s">
        <v>37</v>
      </c>
      <c r="G447" s="2">
        <v>43881</v>
      </c>
      <c r="H447" t="s">
        <v>31</v>
      </c>
      <c r="I447" t="s">
        <v>51</v>
      </c>
      <c r="J447" t="s">
        <v>42</v>
      </c>
    </row>
    <row r="448" spans="1:10" x14ac:dyDescent="0.3">
      <c r="A448" t="s">
        <v>61</v>
      </c>
      <c r="B448">
        <v>40</v>
      </c>
      <c r="C448">
        <v>70000</v>
      </c>
      <c r="D448" t="s">
        <v>34</v>
      </c>
      <c r="E448" t="s">
        <v>20</v>
      </c>
      <c r="F448" t="s">
        <v>41</v>
      </c>
      <c r="G448" s="2" t="s">
        <v>60</v>
      </c>
      <c r="H448" t="s">
        <v>22</v>
      </c>
      <c r="I448" t="s">
        <v>51</v>
      </c>
      <c r="J448" t="s">
        <v>57</v>
      </c>
    </row>
    <row r="449" spans="1:10" x14ac:dyDescent="0.3">
      <c r="A449" t="s">
        <v>66</v>
      </c>
      <c r="B449">
        <v>50</v>
      </c>
      <c r="C449" t="s">
        <v>58</v>
      </c>
      <c r="D449" t="s">
        <v>34</v>
      </c>
      <c r="E449" t="s">
        <v>30</v>
      </c>
      <c r="F449" t="s">
        <v>37</v>
      </c>
      <c r="G449" s="2" t="s">
        <v>62</v>
      </c>
      <c r="H449" t="s">
        <v>22</v>
      </c>
      <c r="J449" t="s">
        <v>57</v>
      </c>
    </row>
    <row r="450" spans="1:10" x14ac:dyDescent="0.3">
      <c r="A450" t="s">
        <v>66</v>
      </c>
      <c r="B450">
        <v>40</v>
      </c>
      <c r="C450">
        <v>70000</v>
      </c>
      <c r="D450" t="s">
        <v>12</v>
      </c>
      <c r="E450" t="s">
        <v>20</v>
      </c>
      <c r="F450" t="s">
        <v>21</v>
      </c>
      <c r="G450" s="2" t="s">
        <v>62</v>
      </c>
      <c r="H450" t="s">
        <v>38</v>
      </c>
      <c r="I450" t="s">
        <v>32</v>
      </c>
      <c r="J450" t="s">
        <v>24</v>
      </c>
    </row>
    <row r="451" spans="1:10" x14ac:dyDescent="0.3">
      <c r="A451" t="s">
        <v>61</v>
      </c>
      <c r="B451">
        <v>35</v>
      </c>
      <c r="C451" t="s">
        <v>58</v>
      </c>
      <c r="D451" t="s">
        <v>19</v>
      </c>
      <c r="E451" t="s">
        <v>26</v>
      </c>
      <c r="F451" t="s">
        <v>37</v>
      </c>
      <c r="G451" s="2">
        <v>43881</v>
      </c>
      <c r="H451" t="s">
        <v>27</v>
      </c>
      <c r="I451" t="s">
        <v>16</v>
      </c>
      <c r="J451" t="s">
        <v>51</v>
      </c>
    </row>
    <row r="452" spans="1:10" x14ac:dyDescent="0.3">
      <c r="A452" t="s">
        <v>56</v>
      </c>
      <c r="B452">
        <v>40</v>
      </c>
      <c r="C452">
        <v>55000</v>
      </c>
      <c r="D452" t="s">
        <v>34</v>
      </c>
      <c r="E452" t="s">
        <v>30</v>
      </c>
      <c r="F452" t="s">
        <v>41</v>
      </c>
      <c r="G452" s="2" t="s">
        <v>55</v>
      </c>
      <c r="H452" t="s">
        <v>15</v>
      </c>
      <c r="I452" t="s">
        <v>23</v>
      </c>
      <c r="J452" t="s">
        <v>42</v>
      </c>
    </row>
    <row r="453" spans="1:10" x14ac:dyDescent="0.3">
      <c r="A453" t="s">
        <v>61</v>
      </c>
      <c r="B453">
        <v>50</v>
      </c>
      <c r="C453" t="s">
        <v>58</v>
      </c>
      <c r="D453" t="s">
        <v>19</v>
      </c>
      <c r="E453" t="s">
        <v>20</v>
      </c>
      <c r="F453" t="s">
        <v>14</v>
      </c>
      <c r="G453" s="2" t="s">
        <v>60</v>
      </c>
      <c r="H453" t="s">
        <v>27</v>
      </c>
      <c r="J453" t="s">
        <v>24</v>
      </c>
    </row>
    <row r="454" spans="1:10" x14ac:dyDescent="0.3">
      <c r="A454" t="s">
        <v>66</v>
      </c>
      <c r="B454" t="s">
        <v>63</v>
      </c>
      <c r="C454" t="s">
        <v>54</v>
      </c>
      <c r="D454" t="s">
        <v>19</v>
      </c>
      <c r="E454" t="s">
        <v>30</v>
      </c>
      <c r="F454" t="s">
        <v>40</v>
      </c>
      <c r="G454" s="2" t="s">
        <v>50</v>
      </c>
      <c r="H454" t="s">
        <v>22</v>
      </c>
      <c r="I454" t="s">
        <v>32</v>
      </c>
      <c r="J454" t="s">
        <v>51</v>
      </c>
    </row>
    <row r="455" spans="1:10" x14ac:dyDescent="0.3">
      <c r="A455" t="s">
        <v>66</v>
      </c>
      <c r="B455">
        <v>35</v>
      </c>
      <c r="C455">
        <v>70000</v>
      </c>
      <c r="D455" t="s">
        <v>34</v>
      </c>
      <c r="E455" t="s">
        <v>13</v>
      </c>
      <c r="F455" t="s">
        <v>37</v>
      </c>
      <c r="G455" s="2">
        <v>43881</v>
      </c>
      <c r="H455" t="s">
        <v>15</v>
      </c>
      <c r="I455" t="s">
        <v>51</v>
      </c>
      <c r="J455" t="s">
        <v>57</v>
      </c>
    </row>
    <row r="456" spans="1:10" x14ac:dyDescent="0.3">
      <c r="A456" t="s">
        <v>53</v>
      </c>
      <c r="B456" t="s">
        <v>63</v>
      </c>
      <c r="C456" t="s">
        <v>58</v>
      </c>
      <c r="D456" t="s">
        <v>34</v>
      </c>
      <c r="E456" t="s">
        <v>20</v>
      </c>
      <c r="F456" t="s">
        <v>41</v>
      </c>
      <c r="G456" s="2" t="s">
        <v>60</v>
      </c>
      <c r="H456" t="s">
        <v>27</v>
      </c>
      <c r="I456" t="s">
        <v>32</v>
      </c>
      <c r="J456" t="s">
        <v>28</v>
      </c>
    </row>
    <row r="457" spans="1:10" x14ac:dyDescent="0.3">
      <c r="A457" t="s">
        <v>59</v>
      </c>
      <c r="B457">
        <v>25</v>
      </c>
      <c r="C457" t="s">
        <v>58</v>
      </c>
      <c r="D457" t="s">
        <v>19</v>
      </c>
      <c r="E457" t="s">
        <v>30</v>
      </c>
      <c r="F457" t="s">
        <v>40</v>
      </c>
      <c r="G457" s="2" t="s">
        <v>60</v>
      </c>
      <c r="H457" t="s">
        <v>31</v>
      </c>
      <c r="I457" t="s">
        <v>23</v>
      </c>
      <c r="J457" t="s">
        <v>42</v>
      </c>
    </row>
    <row r="458" spans="1:10" x14ac:dyDescent="0.3">
      <c r="A458" t="s">
        <v>65</v>
      </c>
      <c r="B458" t="s">
        <v>63</v>
      </c>
      <c r="C458">
        <v>70000</v>
      </c>
      <c r="D458" t="s">
        <v>34</v>
      </c>
      <c r="E458" t="s">
        <v>30</v>
      </c>
      <c r="F458" t="s">
        <v>40</v>
      </c>
      <c r="G458" s="2" t="s">
        <v>50</v>
      </c>
      <c r="H458" t="s">
        <v>38</v>
      </c>
      <c r="I458" t="s">
        <v>23</v>
      </c>
      <c r="J458" t="s">
        <v>42</v>
      </c>
    </row>
    <row r="459" spans="1:10" x14ac:dyDescent="0.3">
      <c r="A459" t="s">
        <v>61</v>
      </c>
      <c r="B459">
        <v>25</v>
      </c>
      <c r="C459">
        <v>55000</v>
      </c>
      <c r="D459" t="s">
        <v>19</v>
      </c>
      <c r="E459" t="s">
        <v>30</v>
      </c>
      <c r="F459" t="s">
        <v>21</v>
      </c>
      <c r="G459" s="2" t="s">
        <v>60</v>
      </c>
      <c r="H459" t="s">
        <v>27</v>
      </c>
      <c r="I459" t="s">
        <v>16</v>
      </c>
      <c r="J459" t="s">
        <v>51</v>
      </c>
    </row>
    <row r="460" spans="1:10" x14ac:dyDescent="0.3">
      <c r="A460" t="s">
        <v>65</v>
      </c>
      <c r="B460">
        <v>25</v>
      </c>
      <c r="C460">
        <v>55000</v>
      </c>
      <c r="D460" t="s">
        <v>19</v>
      </c>
      <c r="E460" t="s">
        <v>20</v>
      </c>
      <c r="F460" t="s">
        <v>40</v>
      </c>
      <c r="G460" s="2" t="s">
        <v>55</v>
      </c>
      <c r="H460" t="s">
        <v>27</v>
      </c>
      <c r="I460" t="s">
        <v>16</v>
      </c>
      <c r="J460" t="s">
        <v>24</v>
      </c>
    </row>
    <row r="461" spans="1:10" x14ac:dyDescent="0.3">
      <c r="A461" t="s">
        <v>61</v>
      </c>
      <c r="B461" t="s">
        <v>63</v>
      </c>
      <c r="C461">
        <v>70000</v>
      </c>
      <c r="D461" t="s">
        <v>34</v>
      </c>
      <c r="E461" t="s">
        <v>35</v>
      </c>
      <c r="F461" t="s">
        <v>41</v>
      </c>
      <c r="G461" s="2" t="s">
        <v>55</v>
      </c>
      <c r="H461" t="s">
        <v>31</v>
      </c>
      <c r="I461" t="s">
        <v>23</v>
      </c>
      <c r="J461" t="s">
        <v>57</v>
      </c>
    </row>
    <row r="462" spans="1:10" x14ac:dyDescent="0.3">
      <c r="A462" t="s">
        <v>49</v>
      </c>
      <c r="B462">
        <v>35</v>
      </c>
      <c r="C462">
        <v>50000</v>
      </c>
      <c r="D462" t="s">
        <v>12</v>
      </c>
      <c r="E462" t="s">
        <v>20</v>
      </c>
      <c r="F462" t="s">
        <v>41</v>
      </c>
      <c r="G462" s="2" t="s">
        <v>55</v>
      </c>
      <c r="H462" t="s">
        <v>22</v>
      </c>
      <c r="J462" t="s">
        <v>51</v>
      </c>
    </row>
    <row r="463" spans="1:10" x14ac:dyDescent="0.3">
      <c r="A463" t="s">
        <v>66</v>
      </c>
      <c r="B463">
        <v>50</v>
      </c>
      <c r="C463">
        <v>70000</v>
      </c>
      <c r="D463" t="s">
        <v>34</v>
      </c>
      <c r="E463" t="s">
        <v>26</v>
      </c>
      <c r="F463" t="s">
        <v>37</v>
      </c>
      <c r="G463" s="2" t="s">
        <v>60</v>
      </c>
      <c r="H463" t="s">
        <v>38</v>
      </c>
      <c r="J463" t="s">
        <v>28</v>
      </c>
    </row>
    <row r="464" spans="1:10" x14ac:dyDescent="0.3">
      <c r="A464" t="s">
        <v>59</v>
      </c>
      <c r="B464">
        <v>40</v>
      </c>
      <c r="C464">
        <v>70000</v>
      </c>
      <c r="D464" t="s">
        <v>12</v>
      </c>
      <c r="E464" t="s">
        <v>20</v>
      </c>
      <c r="F464" t="s">
        <v>37</v>
      </c>
      <c r="G464" s="2" t="s">
        <v>55</v>
      </c>
      <c r="H464" t="s">
        <v>27</v>
      </c>
      <c r="I464" t="s">
        <v>51</v>
      </c>
      <c r="J464" t="s">
        <v>28</v>
      </c>
    </row>
    <row r="465" spans="1:10" x14ac:dyDescent="0.3">
      <c r="A465" t="s">
        <v>53</v>
      </c>
      <c r="B465">
        <v>40</v>
      </c>
      <c r="C465">
        <v>55000</v>
      </c>
      <c r="D465" t="s">
        <v>19</v>
      </c>
      <c r="E465" t="s">
        <v>30</v>
      </c>
      <c r="F465" t="s">
        <v>37</v>
      </c>
      <c r="G465" s="2" t="s">
        <v>50</v>
      </c>
      <c r="H465" t="s">
        <v>15</v>
      </c>
      <c r="I465" t="s">
        <v>16</v>
      </c>
      <c r="J465" t="s">
        <v>28</v>
      </c>
    </row>
    <row r="466" spans="1:10" x14ac:dyDescent="0.3">
      <c r="A466" t="s">
        <v>59</v>
      </c>
      <c r="B466">
        <v>50</v>
      </c>
      <c r="C466">
        <v>55000</v>
      </c>
      <c r="D466" t="s">
        <v>19</v>
      </c>
      <c r="E466" t="s">
        <v>13</v>
      </c>
      <c r="F466" t="s">
        <v>40</v>
      </c>
      <c r="G466" s="2" t="s">
        <v>60</v>
      </c>
      <c r="H466" t="s">
        <v>27</v>
      </c>
      <c r="I466" t="s">
        <v>51</v>
      </c>
      <c r="J466" t="s">
        <v>51</v>
      </c>
    </row>
    <row r="467" spans="1:10" x14ac:dyDescent="0.3">
      <c r="A467" t="s">
        <v>59</v>
      </c>
      <c r="B467">
        <v>25</v>
      </c>
      <c r="C467">
        <v>70000</v>
      </c>
      <c r="D467" t="s">
        <v>12</v>
      </c>
      <c r="E467" t="s">
        <v>20</v>
      </c>
      <c r="F467" t="s">
        <v>40</v>
      </c>
      <c r="G467" s="2" t="s">
        <v>62</v>
      </c>
      <c r="H467" t="s">
        <v>38</v>
      </c>
      <c r="I467" t="s">
        <v>16</v>
      </c>
      <c r="J467" t="s">
        <v>57</v>
      </c>
    </row>
    <row r="468" spans="1:10" x14ac:dyDescent="0.3">
      <c r="A468" t="s">
        <v>59</v>
      </c>
      <c r="B468">
        <v>25</v>
      </c>
      <c r="C468">
        <v>70000</v>
      </c>
      <c r="D468" t="s">
        <v>19</v>
      </c>
      <c r="E468" t="s">
        <v>20</v>
      </c>
      <c r="F468" t="s">
        <v>21</v>
      </c>
      <c r="G468" s="2" t="s">
        <v>60</v>
      </c>
      <c r="H468" t="s">
        <v>27</v>
      </c>
      <c r="I468" t="s">
        <v>23</v>
      </c>
      <c r="J468" t="s">
        <v>42</v>
      </c>
    </row>
    <row r="469" spans="1:10" x14ac:dyDescent="0.3">
      <c r="A469" t="s">
        <v>65</v>
      </c>
      <c r="B469">
        <v>35</v>
      </c>
      <c r="C469">
        <v>70000</v>
      </c>
      <c r="D469" t="s">
        <v>12</v>
      </c>
      <c r="E469" t="s">
        <v>30</v>
      </c>
      <c r="F469" t="s">
        <v>37</v>
      </c>
      <c r="G469" s="2" t="s">
        <v>50</v>
      </c>
      <c r="H469" t="s">
        <v>31</v>
      </c>
      <c r="J469" t="s">
        <v>24</v>
      </c>
    </row>
    <row r="470" spans="1:10" x14ac:dyDescent="0.3">
      <c r="A470" t="s">
        <v>61</v>
      </c>
      <c r="B470" t="s">
        <v>51</v>
      </c>
      <c r="C470">
        <v>55000</v>
      </c>
      <c r="D470" t="s">
        <v>12</v>
      </c>
      <c r="E470" t="s">
        <v>13</v>
      </c>
      <c r="F470" t="s">
        <v>14</v>
      </c>
      <c r="G470" s="2" t="s">
        <v>62</v>
      </c>
      <c r="H470" t="s">
        <v>27</v>
      </c>
      <c r="J470" t="s">
        <v>42</v>
      </c>
    </row>
    <row r="471" spans="1:10" x14ac:dyDescent="0.3">
      <c r="A471" t="s">
        <v>67</v>
      </c>
      <c r="B471" t="s">
        <v>63</v>
      </c>
      <c r="C471">
        <v>70000</v>
      </c>
      <c r="D471" t="s">
        <v>19</v>
      </c>
      <c r="E471" t="s">
        <v>13</v>
      </c>
      <c r="F471" t="s">
        <v>21</v>
      </c>
      <c r="G471" s="2" t="s">
        <v>60</v>
      </c>
      <c r="H471" t="s">
        <v>27</v>
      </c>
      <c r="I471" t="s">
        <v>23</v>
      </c>
      <c r="J471" t="s">
        <v>57</v>
      </c>
    </row>
    <row r="472" spans="1:10" x14ac:dyDescent="0.3">
      <c r="A472" t="s">
        <v>49</v>
      </c>
      <c r="B472">
        <v>25</v>
      </c>
      <c r="C472">
        <v>70000</v>
      </c>
      <c r="D472" t="s">
        <v>12</v>
      </c>
      <c r="E472" t="s">
        <v>26</v>
      </c>
      <c r="F472" t="s">
        <v>14</v>
      </c>
      <c r="G472" s="2" t="s">
        <v>55</v>
      </c>
      <c r="H472" t="s">
        <v>15</v>
      </c>
      <c r="I472" t="s">
        <v>51</v>
      </c>
      <c r="J472" t="s">
        <v>42</v>
      </c>
    </row>
    <row r="473" spans="1:10" x14ac:dyDescent="0.3">
      <c r="A473" t="s">
        <v>52</v>
      </c>
      <c r="B473">
        <v>40</v>
      </c>
      <c r="C473">
        <v>65000</v>
      </c>
      <c r="D473" t="s">
        <v>34</v>
      </c>
      <c r="E473" t="s">
        <v>20</v>
      </c>
      <c r="F473" t="s">
        <v>40</v>
      </c>
      <c r="G473" s="2">
        <v>43881</v>
      </c>
      <c r="H473" t="s">
        <v>31</v>
      </c>
      <c r="I473" t="s">
        <v>51</v>
      </c>
      <c r="J473" t="s">
        <v>51</v>
      </c>
    </row>
    <row r="474" spans="1:10" x14ac:dyDescent="0.3">
      <c r="A474" t="s">
        <v>59</v>
      </c>
      <c r="B474">
        <v>35</v>
      </c>
      <c r="C474">
        <v>50000</v>
      </c>
      <c r="D474" t="s">
        <v>34</v>
      </c>
      <c r="E474" t="s">
        <v>13</v>
      </c>
      <c r="F474" t="s">
        <v>21</v>
      </c>
      <c r="G474" s="2">
        <v>43881</v>
      </c>
      <c r="H474" t="s">
        <v>31</v>
      </c>
      <c r="I474" t="s">
        <v>32</v>
      </c>
      <c r="J474" t="s">
        <v>28</v>
      </c>
    </row>
    <row r="475" spans="1:10" x14ac:dyDescent="0.3">
      <c r="A475" t="s">
        <v>56</v>
      </c>
      <c r="B475" t="s">
        <v>63</v>
      </c>
      <c r="C475" t="s">
        <v>54</v>
      </c>
      <c r="D475" t="s">
        <v>19</v>
      </c>
      <c r="E475" t="s">
        <v>13</v>
      </c>
      <c r="F475" t="s">
        <v>21</v>
      </c>
      <c r="G475" s="2" t="s">
        <v>55</v>
      </c>
      <c r="H475" t="s">
        <v>27</v>
      </c>
      <c r="I475" t="s">
        <v>16</v>
      </c>
      <c r="J475" t="s">
        <v>57</v>
      </c>
    </row>
    <row r="476" spans="1:10" x14ac:dyDescent="0.3">
      <c r="A476" t="s">
        <v>65</v>
      </c>
      <c r="B476">
        <v>35</v>
      </c>
      <c r="C476">
        <v>50000</v>
      </c>
      <c r="D476" t="s">
        <v>19</v>
      </c>
      <c r="E476" t="s">
        <v>35</v>
      </c>
      <c r="F476" t="s">
        <v>41</v>
      </c>
      <c r="G476" s="2">
        <v>43881</v>
      </c>
      <c r="H476" t="s">
        <v>15</v>
      </c>
      <c r="I476" t="s">
        <v>51</v>
      </c>
      <c r="J476" t="s">
        <v>57</v>
      </c>
    </row>
    <row r="477" spans="1:10" x14ac:dyDescent="0.3">
      <c r="A477" t="s">
        <v>53</v>
      </c>
      <c r="B477" t="s">
        <v>63</v>
      </c>
      <c r="C477">
        <v>65000</v>
      </c>
      <c r="D477" t="s">
        <v>12</v>
      </c>
      <c r="E477" t="s">
        <v>35</v>
      </c>
      <c r="F477" t="s">
        <v>40</v>
      </c>
      <c r="G477" s="2">
        <v>43881</v>
      </c>
      <c r="H477" t="s">
        <v>27</v>
      </c>
      <c r="I477" t="s">
        <v>23</v>
      </c>
      <c r="J477" t="s">
        <v>42</v>
      </c>
    </row>
    <row r="478" spans="1:10" x14ac:dyDescent="0.3">
      <c r="A478" t="s">
        <v>52</v>
      </c>
      <c r="B478" t="s">
        <v>63</v>
      </c>
      <c r="C478" t="s">
        <v>54</v>
      </c>
      <c r="D478" t="s">
        <v>12</v>
      </c>
      <c r="E478" t="s">
        <v>13</v>
      </c>
      <c r="F478" t="s">
        <v>40</v>
      </c>
      <c r="G478" s="2" t="s">
        <v>55</v>
      </c>
      <c r="H478" t="s">
        <v>27</v>
      </c>
      <c r="I478" t="s">
        <v>51</v>
      </c>
      <c r="J478" t="s">
        <v>51</v>
      </c>
    </row>
    <row r="479" spans="1:10" x14ac:dyDescent="0.3">
      <c r="A479" t="s">
        <v>67</v>
      </c>
      <c r="B479">
        <v>50</v>
      </c>
      <c r="C479">
        <v>70000</v>
      </c>
      <c r="D479" t="s">
        <v>12</v>
      </c>
      <c r="E479" t="s">
        <v>26</v>
      </c>
      <c r="F479" t="s">
        <v>21</v>
      </c>
      <c r="G479" s="2" t="s">
        <v>55</v>
      </c>
      <c r="H479" t="s">
        <v>38</v>
      </c>
      <c r="J479" t="s">
        <v>42</v>
      </c>
    </row>
    <row r="480" spans="1:10" x14ac:dyDescent="0.3">
      <c r="A480" t="s">
        <v>56</v>
      </c>
      <c r="B480">
        <v>25</v>
      </c>
      <c r="C480">
        <v>65000</v>
      </c>
      <c r="D480" t="s">
        <v>12</v>
      </c>
      <c r="E480" t="s">
        <v>13</v>
      </c>
      <c r="F480" t="s">
        <v>40</v>
      </c>
      <c r="G480" s="2" t="s">
        <v>60</v>
      </c>
      <c r="H480" t="s">
        <v>38</v>
      </c>
      <c r="I480" t="s">
        <v>16</v>
      </c>
      <c r="J480" t="s">
        <v>42</v>
      </c>
    </row>
    <row r="481" spans="1:10" x14ac:dyDescent="0.3">
      <c r="A481" t="s">
        <v>67</v>
      </c>
      <c r="B481">
        <v>35</v>
      </c>
      <c r="C481">
        <v>70000</v>
      </c>
      <c r="D481" t="s">
        <v>34</v>
      </c>
      <c r="E481" t="s">
        <v>30</v>
      </c>
      <c r="F481" t="s">
        <v>21</v>
      </c>
      <c r="G481" s="2" t="s">
        <v>60</v>
      </c>
      <c r="H481" t="s">
        <v>15</v>
      </c>
      <c r="I481" t="s">
        <v>32</v>
      </c>
      <c r="J481" t="s">
        <v>57</v>
      </c>
    </row>
    <row r="482" spans="1:10" x14ac:dyDescent="0.3">
      <c r="A482" t="s">
        <v>52</v>
      </c>
      <c r="B482">
        <v>35</v>
      </c>
      <c r="C482">
        <v>55000</v>
      </c>
      <c r="D482" t="s">
        <v>34</v>
      </c>
      <c r="E482" t="s">
        <v>20</v>
      </c>
      <c r="F482" t="s">
        <v>41</v>
      </c>
      <c r="G482" s="2" t="s">
        <v>55</v>
      </c>
      <c r="H482" t="s">
        <v>22</v>
      </c>
      <c r="I482" t="s">
        <v>16</v>
      </c>
      <c r="J482" t="s">
        <v>42</v>
      </c>
    </row>
    <row r="483" spans="1:10" x14ac:dyDescent="0.3">
      <c r="A483" t="s">
        <v>59</v>
      </c>
      <c r="B483">
        <v>50</v>
      </c>
      <c r="C483" t="s">
        <v>58</v>
      </c>
      <c r="D483" t="s">
        <v>19</v>
      </c>
      <c r="E483" t="s">
        <v>26</v>
      </c>
      <c r="F483" t="s">
        <v>21</v>
      </c>
      <c r="G483" s="2" t="s">
        <v>50</v>
      </c>
      <c r="H483" t="s">
        <v>38</v>
      </c>
      <c r="J483" t="s">
        <v>28</v>
      </c>
    </row>
    <row r="484" spans="1:10" x14ac:dyDescent="0.3">
      <c r="A484" t="s">
        <v>56</v>
      </c>
      <c r="B484">
        <v>40</v>
      </c>
      <c r="C484">
        <v>65000</v>
      </c>
      <c r="D484" t="s">
        <v>12</v>
      </c>
      <c r="E484" t="s">
        <v>30</v>
      </c>
      <c r="F484" t="s">
        <v>40</v>
      </c>
      <c r="G484" s="2">
        <v>43881</v>
      </c>
      <c r="H484" t="s">
        <v>22</v>
      </c>
      <c r="J484" t="s">
        <v>42</v>
      </c>
    </row>
    <row r="485" spans="1:10" x14ac:dyDescent="0.3">
      <c r="A485" t="s">
        <v>67</v>
      </c>
      <c r="B485">
        <v>40</v>
      </c>
      <c r="C485">
        <v>55000</v>
      </c>
      <c r="D485" t="s">
        <v>12</v>
      </c>
      <c r="E485" t="s">
        <v>26</v>
      </c>
      <c r="F485" t="s">
        <v>40</v>
      </c>
      <c r="G485" s="2" t="s">
        <v>60</v>
      </c>
      <c r="H485" t="s">
        <v>31</v>
      </c>
      <c r="J485" t="s">
        <v>28</v>
      </c>
    </row>
    <row r="486" spans="1:10" x14ac:dyDescent="0.3">
      <c r="A486" t="s">
        <v>53</v>
      </c>
      <c r="B486">
        <v>25</v>
      </c>
      <c r="C486">
        <v>65000</v>
      </c>
      <c r="D486" t="s">
        <v>19</v>
      </c>
      <c r="E486" t="s">
        <v>30</v>
      </c>
      <c r="F486" t="s">
        <v>21</v>
      </c>
      <c r="G486" s="2">
        <v>43881</v>
      </c>
      <c r="H486" t="s">
        <v>38</v>
      </c>
      <c r="J486" t="s">
        <v>57</v>
      </c>
    </row>
    <row r="487" spans="1:10" x14ac:dyDescent="0.3">
      <c r="A487" t="s">
        <v>61</v>
      </c>
      <c r="B487">
        <v>25</v>
      </c>
      <c r="C487">
        <v>65000</v>
      </c>
      <c r="D487" t="s">
        <v>12</v>
      </c>
      <c r="E487" t="s">
        <v>20</v>
      </c>
      <c r="F487" t="s">
        <v>21</v>
      </c>
      <c r="G487" s="2" t="s">
        <v>62</v>
      </c>
      <c r="H487" t="s">
        <v>38</v>
      </c>
      <c r="I487" t="s">
        <v>23</v>
      </c>
      <c r="J487" t="s">
        <v>51</v>
      </c>
    </row>
    <row r="488" spans="1:10" x14ac:dyDescent="0.3">
      <c r="A488" t="s">
        <v>66</v>
      </c>
      <c r="B488" t="s">
        <v>51</v>
      </c>
      <c r="C488">
        <v>55000</v>
      </c>
      <c r="D488" t="s">
        <v>12</v>
      </c>
      <c r="E488" t="s">
        <v>20</v>
      </c>
      <c r="F488" t="s">
        <v>21</v>
      </c>
      <c r="G488" s="2" t="s">
        <v>55</v>
      </c>
      <c r="H488" t="s">
        <v>15</v>
      </c>
      <c r="I488" t="s">
        <v>32</v>
      </c>
      <c r="J488" t="s">
        <v>28</v>
      </c>
    </row>
    <row r="489" spans="1:10" x14ac:dyDescent="0.3">
      <c r="A489" t="s">
        <v>61</v>
      </c>
      <c r="B489">
        <v>50</v>
      </c>
      <c r="C489" t="s">
        <v>54</v>
      </c>
      <c r="D489" t="s">
        <v>12</v>
      </c>
      <c r="E489" t="s">
        <v>35</v>
      </c>
      <c r="F489" t="s">
        <v>37</v>
      </c>
      <c r="G489" s="2" t="s">
        <v>50</v>
      </c>
      <c r="H489" t="s">
        <v>22</v>
      </c>
      <c r="J489" t="s">
        <v>51</v>
      </c>
    </row>
    <row r="490" spans="1:10" x14ac:dyDescent="0.3">
      <c r="A490" t="s">
        <v>52</v>
      </c>
      <c r="B490">
        <v>40</v>
      </c>
      <c r="C490">
        <v>50000</v>
      </c>
      <c r="D490" t="s">
        <v>12</v>
      </c>
      <c r="E490" t="s">
        <v>30</v>
      </c>
      <c r="F490" t="s">
        <v>40</v>
      </c>
      <c r="G490" s="2" t="s">
        <v>62</v>
      </c>
      <c r="H490" t="s">
        <v>38</v>
      </c>
      <c r="J490" t="s">
        <v>51</v>
      </c>
    </row>
    <row r="491" spans="1:10" x14ac:dyDescent="0.3">
      <c r="A491" t="s">
        <v>65</v>
      </c>
      <c r="B491" t="s">
        <v>63</v>
      </c>
      <c r="C491">
        <v>70000</v>
      </c>
      <c r="D491" t="s">
        <v>12</v>
      </c>
      <c r="E491" t="s">
        <v>35</v>
      </c>
      <c r="F491" t="s">
        <v>40</v>
      </c>
      <c r="G491" s="2" t="s">
        <v>62</v>
      </c>
      <c r="H491" t="s">
        <v>38</v>
      </c>
      <c r="I491" t="s">
        <v>51</v>
      </c>
      <c r="J491" t="s">
        <v>28</v>
      </c>
    </row>
    <row r="492" spans="1:10" x14ac:dyDescent="0.3">
      <c r="A492" t="s">
        <v>66</v>
      </c>
      <c r="B492">
        <v>35</v>
      </c>
      <c r="C492">
        <v>65000</v>
      </c>
      <c r="D492" t="s">
        <v>19</v>
      </c>
      <c r="E492" t="s">
        <v>30</v>
      </c>
      <c r="F492" t="s">
        <v>37</v>
      </c>
      <c r="G492" s="2" t="s">
        <v>62</v>
      </c>
      <c r="H492" t="s">
        <v>15</v>
      </c>
      <c r="I492" t="s">
        <v>32</v>
      </c>
      <c r="J492" t="s">
        <v>57</v>
      </c>
    </row>
    <row r="493" spans="1:10" x14ac:dyDescent="0.3">
      <c r="A493" t="s">
        <v>49</v>
      </c>
      <c r="B493">
        <v>25</v>
      </c>
      <c r="C493">
        <v>70000</v>
      </c>
      <c r="D493" t="s">
        <v>12</v>
      </c>
      <c r="E493" t="s">
        <v>35</v>
      </c>
      <c r="F493" t="s">
        <v>21</v>
      </c>
      <c r="G493" s="2" t="s">
        <v>55</v>
      </c>
      <c r="H493" t="s">
        <v>15</v>
      </c>
      <c r="I493" t="s">
        <v>16</v>
      </c>
      <c r="J493" t="s">
        <v>24</v>
      </c>
    </row>
    <row r="494" spans="1:10" x14ac:dyDescent="0.3">
      <c r="A494" t="s">
        <v>53</v>
      </c>
      <c r="B494">
        <v>35</v>
      </c>
      <c r="C494" t="s">
        <v>58</v>
      </c>
      <c r="D494" t="s">
        <v>19</v>
      </c>
      <c r="E494" t="s">
        <v>20</v>
      </c>
      <c r="F494" t="s">
        <v>41</v>
      </c>
      <c r="G494" s="2" t="s">
        <v>60</v>
      </c>
      <c r="H494" t="s">
        <v>22</v>
      </c>
      <c r="I494" t="s">
        <v>32</v>
      </c>
      <c r="J494" t="s">
        <v>51</v>
      </c>
    </row>
    <row r="495" spans="1:10" x14ac:dyDescent="0.3">
      <c r="A495" t="s">
        <v>49</v>
      </c>
      <c r="B495">
        <v>35</v>
      </c>
      <c r="C495">
        <v>55000</v>
      </c>
      <c r="D495" t="s">
        <v>12</v>
      </c>
      <c r="E495" t="s">
        <v>26</v>
      </c>
      <c r="F495" t="s">
        <v>21</v>
      </c>
      <c r="G495" s="2" t="s">
        <v>55</v>
      </c>
      <c r="H495" t="s">
        <v>31</v>
      </c>
      <c r="I495" t="s">
        <v>32</v>
      </c>
      <c r="J495" t="s">
        <v>51</v>
      </c>
    </row>
    <row r="496" spans="1:10" x14ac:dyDescent="0.3">
      <c r="A496" t="s">
        <v>56</v>
      </c>
      <c r="B496" t="s">
        <v>51</v>
      </c>
      <c r="C496">
        <v>70000</v>
      </c>
      <c r="D496" t="s">
        <v>34</v>
      </c>
      <c r="E496" t="s">
        <v>35</v>
      </c>
      <c r="F496" t="s">
        <v>21</v>
      </c>
      <c r="G496" s="2" t="s">
        <v>60</v>
      </c>
      <c r="H496" t="s">
        <v>31</v>
      </c>
      <c r="I496" t="s">
        <v>32</v>
      </c>
      <c r="J496" t="s">
        <v>57</v>
      </c>
    </row>
    <row r="497" spans="1:10" x14ac:dyDescent="0.3">
      <c r="A497" t="s">
        <v>66</v>
      </c>
      <c r="B497">
        <v>40</v>
      </c>
      <c r="C497">
        <v>55000</v>
      </c>
      <c r="D497" t="s">
        <v>34</v>
      </c>
      <c r="E497" t="s">
        <v>30</v>
      </c>
      <c r="F497" t="s">
        <v>37</v>
      </c>
      <c r="G497" s="2" t="s">
        <v>62</v>
      </c>
      <c r="H497" t="s">
        <v>27</v>
      </c>
      <c r="J497" t="s">
        <v>57</v>
      </c>
    </row>
    <row r="498" spans="1:10" x14ac:dyDescent="0.3">
      <c r="A498" t="s">
        <v>49</v>
      </c>
      <c r="B498">
        <v>25</v>
      </c>
      <c r="C498">
        <v>70000</v>
      </c>
      <c r="D498" t="s">
        <v>34</v>
      </c>
      <c r="E498" t="s">
        <v>30</v>
      </c>
      <c r="F498" t="s">
        <v>40</v>
      </c>
      <c r="G498" s="2" t="s">
        <v>62</v>
      </c>
      <c r="H498" t="s">
        <v>38</v>
      </c>
      <c r="J498" t="s">
        <v>42</v>
      </c>
    </row>
    <row r="499" spans="1:10" x14ac:dyDescent="0.3">
      <c r="A499" t="s">
        <v>49</v>
      </c>
      <c r="B499">
        <v>35</v>
      </c>
      <c r="C499">
        <v>50000</v>
      </c>
      <c r="D499" t="s">
        <v>34</v>
      </c>
      <c r="E499" t="s">
        <v>20</v>
      </c>
      <c r="F499" t="s">
        <v>21</v>
      </c>
      <c r="G499" s="2" t="s">
        <v>50</v>
      </c>
      <c r="H499" t="s">
        <v>22</v>
      </c>
      <c r="I499" t="s">
        <v>23</v>
      </c>
      <c r="J499" t="s">
        <v>57</v>
      </c>
    </row>
    <row r="500" spans="1:10" x14ac:dyDescent="0.3">
      <c r="A500" t="s">
        <v>67</v>
      </c>
      <c r="B500">
        <v>25</v>
      </c>
      <c r="C500">
        <v>50000</v>
      </c>
      <c r="D500" t="s">
        <v>19</v>
      </c>
      <c r="E500" t="s">
        <v>30</v>
      </c>
      <c r="F500" t="s">
        <v>40</v>
      </c>
      <c r="G500" s="2" t="s">
        <v>60</v>
      </c>
      <c r="H500" t="s">
        <v>38</v>
      </c>
      <c r="I500" t="s">
        <v>16</v>
      </c>
      <c r="J500" t="s">
        <v>51</v>
      </c>
    </row>
    <row r="501" spans="1:10" x14ac:dyDescent="0.3">
      <c r="A501" t="s">
        <v>61</v>
      </c>
      <c r="B501" t="s">
        <v>63</v>
      </c>
      <c r="C501">
        <v>50000</v>
      </c>
      <c r="D501" t="s">
        <v>19</v>
      </c>
      <c r="E501" t="s">
        <v>13</v>
      </c>
      <c r="F501" t="s">
        <v>14</v>
      </c>
      <c r="G501" s="2" t="s">
        <v>62</v>
      </c>
      <c r="H501" t="s">
        <v>22</v>
      </c>
      <c r="I501" t="s">
        <v>51</v>
      </c>
      <c r="J501" t="s">
        <v>28</v>
      </c>
    </row>
    <row r="502" spans="1:10" x14ac:dyDescent="0.3">
      <c r="A502" t="s">
        <v>67</v>
      </c>
      <c r="B502" t="s">
        <v>51</v>
      </c>
      <c r="C502">
        <v>50000</v>
      </c>
      <c r="D502" t="s">
        <v>12</v>
      </c>
      <c r="E502" t="s">
        <v>26</v>
      </c>
      <c r="F502" t="s">
        <v>40</v>
      </c>
      <c r="G502" s="2">
        <v>43881</v>
      </c>
      <c r="H502" t="s">
        <v>22</v>
      </c>
      <c r="I502" t="s">
        <v>32</v>
      </c>
      <c r="J502" t="s">
        <v>24</v>
      </c>
    </row>
    <row r="503" spans="1:10" x14ac:dyDescent="0.3">
      <c r="A503" t="s">
        <v>66</v>
      </c>
      <c r="B503" t="s">
        <v>63</v>
      </c>
      <c r="C503">
        <v>50000</v>
      </c>
      <c r="D503" t="s">
        <v>34</v>
      </c>
      <c r="E503" t="s">
        <v>35</v>
      </c>
      <c r="F503" t="s">
        <v>41</v>
      </c>
      <c r="G503" s="2" t="s">
        <v>50</v>
      </c>
      <c r="H503" t="s">
        <v>22</v>
      </c>
      <c r="I503" t="s">
        <v>16</v>
      </c>
      <c r="J503" t="s">
        <v>42</v>
      </c>
    </row>
    <row r="504" spans="1:10" x14ac:dyDescent="0.3">
      <c r="A504" t="s">
        <v>66</v>
      </c>
      <c r="B504">
        <v>25</v>
      </c>
      <c r="C504">
        <v>50000</v>
      </c>
      <c r="D504" t="s">
        <v>19</v>
      </c>
      <c r="E504" t="s">
        <v>26</v>
      </c>
      <c r="F504" t="s">
        <v>41</v>
      </c>
      <c r="G504" s="2" t="s">
        <v>55</v>
      </c>
      <c r="H504" t="s">
        <v>38</v>
      </c>
      <c r="I504" t="s">
        <v>16</v>
      </c>
      <c r="J504" t="s">
        <v>28</v>
      </c>
    </row>
    <row r="505" spans="1:10" x14ac:dyDescent="0.3">
      <c r="A505" t="s">
        <v>52</v>
      </c>
      <c r="B505">
        <v>25</v>
      </c>
      <c r="C505">
        <v>55000</v>
      </c>
      <c r="D505" t="s">
        <v>12</v>
      </c>
      <c r="E505" t="s">
        <v>20</v>
      </c>
      <c r="F505" t="s">
        <v>21</v>
      </c>
      <c r="G505" s="2" t="s">
        <v>50</v>
      </c>
      <c r="H505" t="s">
        <v>15</v>
      </c>
      <c r="I505" t="s">
        <v>23</v>
      </c>
      <c r="J505" t="s">
        <v>24</v>
      </c>
    </row>
    <row r="506" spans="1:10" x14ac:dyDescent="0.3">
      <c r="A506" t="s">
        <v>67</v>
      </c>
      <c r="B506">
        <v>40</v>
      </c>
      <c r="C506">
        <v>65000</v>
      </c>
      <c r="D506" t="s">
        <v>12</v>
      </c>
      <c r="E506" t="s">
        <v>35</v>
      </c>
      <c r="F506" t="s">
        <v>40</v>
      </c>
      <c r="G506" s="2">
        <v>43881</v>
      </c>
      <c r="H506" t="s">
        <v>38</v>
      </c>
      <c r="I506" t="s">
        <v>51</v>
      </c>
      <c r="J506" t="s">
        <v>24</v>
      </c>
    </row>
    <row r="507" spans="1:10" x14ac:dyDescent="0.3">
      <c r="A507" t="s">
        <v>64</v>
      </c>
      <c r="B507">
        <v>35</v>
      </c>
      <c r="C507">
        <v>70000</v>
      </c>
      <c r="D507" t="s">
        <v>19</v>
      </c>
      <c r="E507" t="s">
        <v>35</v>
      </c>
      <c r="F507" t="s">
        <v>21</v>
      </c>
      <c r="G507" s="2" t="s">
        <v>60</v>
      </c>
      <c r="H507" t="s">
        <v>22</v>
      </c>
      <c r="I507" t="s">
        <v>32</v>
      </c>
      <c r="J507" t="s">
        <v>24</v>
      </c>
    </row>
    <row r="508" spans="1:10" x14ac:dyDescent="0.3">
      <c r="A508" t="s">
        <v>61</v>
      </c>
      <c r="B508">
        <v>35</v>
      </c>
      <c r="C508">
        <v>50000</v>
      </c>
      <c r="D508" t="s">
        <v>34</v>
      </c>
      <c r="E508" t="s">
        <v>13</v>
      </c>
      <c r="F508" t="s">
        <v>37</v>
      </c>
      <c r="G508" s="2" t="s">
        <v>55</v>
      </c>
      <c r="H508" t="s">
        <v>27</v>
      </c>
      <c r="I508" t="s">
        <v>51</v>
      </c>
      <c r="J508" t="s">
        <v>28</v>
      </c>
    </row>
    <row r="509" spans="1:10" x14ac:dyDescent="0.3">
      <c r="A509" t="s">
        <v>66</v>
      </c>
      <c r="B509" t="s">
        <v>63</v>
      </c>
      <c r="C509">
        <v>55000</v>
      </c>
      <c r="D509" t="s">
        <v>12</v>
      </c>
      <c r="E509" t="s">
        <v>20</v>
      </c>
      <c r="F509" t="s">
        <v>41</v>
      </c>
      <c r="G509" s="2" t="s">
        <v>55</v>
      </c>
      <c r="H509" t="s">
        <v>31</v>
      </c>
      <c r="I509" t="s">
        <v>23</v>
      </c>
      <c r="J509" t="s">
        <v>42</v>
      </c>
    </row>
    <row r="510" spans="1:10" x14ac:dyDescent="0.3">
      <c r="A510" t="s">
        <v>52</v>
      </c>
      <c r="B510" t="s">
        <v>51</v>
      </c>
      <c r="C510">
        <v>55000</v>
      </c>
      <c r="D510" t="s">
        <v>34</v>
      </c>
      <c r="E510" t="s">
        <v>30</v>
      </c>
      <c r="F510" t="s">
        <v>21</v>
      </c>
      <c r="G510" s="2" t="s">
        <v>60</v>
      </c>
      <c r="H510" t="s">
        <v>22</v>
      </c>
      <c r="J510" t="s">
        <v>42</v>
      </c>
    </row>
    <row r="511" spans="1:10" x14ac:dyDescent="0.3">
      <c r="A511" t="s">
        <v>67</v>
      </c>
      <c r="B511">
        <v>50</v>
      </c>
      <c r="C511">
        <v>55000</v>
      </c>
      <c r="D511" t="s">
        <v>34</v>
      </c>
      <c r="E511" t="s">
        <v>13</v>
      </c>
      <c r="F511" t="s">
        <v>37</v>
      </c>
      <c r="G511" s="2" t="s">
        <v>50</v>
      </c>
      <c r="H511" t="s">
        <v>27</v>
      </c>
      <c r="I511" t="s">
        <v>16</v>
      </c>
      <c r="J511" t="s">
        <v>24</v>
      </c>
    </row>
    <row r="512" spans="1:10" x14ac:dyDescent="0.3">
      <c r="A512" t="s">
        <v>61</v>
      </c>
      <c r="B512">
        <v>35</v>
      </c>
      <c r="C512">
        <v>65000</v>
      </c>
      <c r="D512" t="s">
        <v>34</v>
      </c>
      <c r="E512" t="s">
        <v>13</v>
      </c>
      <c r="F512" t="s">
        <v>21</v>
      </c>
      <c r="G512" s="2" t="s">
        <v>62</v>
      </c>
      <c r="H512" t="s">
        <v>15</v>
      </c>
      <c r="I512" t="s">
        <v>32</v>
      </c>
      <c r="J512" t="s">
        <v>28</v>
      </c>
    </row>
    <row r="513" spans="1:10" x14ac:dyDescent="0.3">
      <c r="A513" t="s">
        <v>67</v>
      </c>
      <c r="B513">
        <v>40</v>
      </c>
      <c r="C513">
        <v>70000</v>
      </c>
      <c r="D513" t="s">
        <v>12</v>
      </c>
      <c r="E513" t="s">
        <v>26</v>
      </c>
      <c r="F513" t="s">
        <v>40</v>
      </c>
      <c r="G513" s="2" t="s">
        <v>50</v>
      </c>
      <c r="H513" t="s">
        <v>22</v>
      </c>
      <c r="J513" t="s">
        <v>24</v>
      </c>
    </row>
    <row r="514" spans="1:10" x14ac:dyDescent="0.3">
      <c r="A514" t="s">
        <v>49</v>
      </c>
      <c r="B514" t="s">
        <v>63</v>
      </c>
      <c r="C514">
        <v>65000</v>
      </c>
      <c r="D514" t="s">
        <v>34</v>
      </c>
      <c r="E514" t="s">
        <v>26</v>
      </c>
      <c r="F514" t="s">
        <v>40</v>
      </c>
      <c r="G514" s="2">
        <v>43881</v>
      </c>
      <c r="H514" t="s">
        <v>27</v>
      </c>
      <c r="I514" t="s">
        <v>23</v>
      </c>
      <c r="J514" t="s">
        <v>57</v>
      </c>
    </row>
    <row r="515" spans="1:10" x14ac:dyDescent="0.3">
      <c r="A515" t="s">
        <v>52</v>
      </c>
      <c r="B515" t="s">
        <v>63</v>
      </c>
      <c r="C515" t="s">
        <v>54</v>
      </c>
      <c r="D515" t="s">
        <v>12</v>
      </c>
      <c r="E515" t="s">
        <v>26</v>
      </c>
      <c r="F515" t="s">
        <v>40</v>
      </c>
      <c r="G515" s="2" t="s">
        <v>62</v>
      </c>
      <c r="H515" t="s">
        <v>22</v>
      </c>
      <c r="I515" t="s">
        <v>51</v>
      </c>
      <c r="J515" t="s">
        <v>42</v>
      </c>
    </row>
    <row r="516" spans="1:10" x14ac:dyDescent="0.3">
      <c r="A516" t="s">
        <v>61</v>
      </c>
      <c r="B516">
        <v>50</v>
      </c>
      <c r="C516">
        <v>55000</v>
      </c>
      <c r="D516" t="s">
        <v>34</v>
      </c>
      <c r="E516" t="s">
        <v>13</v>
      </c>
      <c r="F516" t="s">
        <v>40</v>
      </c>
      <c r="G516" s="2" t="s">
        <v>50</v>
      </c>
      <c r="H516" t="s">
        <v>38</v>
      </c>
      <c r="I516" t="s">
        <v>16</v>
      </c>
      <c r="J516" t="s">
        <v>51</v>
      </c>
    </row>
    <row r="517" spans="1:10" x14ac:dyDescent="0.3">
      <c r="A517" t="s">
        <v>59</v>
      </c>
      <c r="B517">
        <v>40</v>
      </c>
      <c r="C517" t="s">
        <v>54</v>
      </c>
      <c r="D517" t="s">
        <v>12</v>
      </c>
      <c r="E517" t="s">
        <v>30</v>
      </c>
      <c r="F517" t="s">
        <v>14</v>
      </c>
      <c r="G517" s="2" t="s">
        <v>60</v>
      </c>
      <c r="H517" t="s">
        <v>27</v>
      </c>
      <c r="I517" t="s">
        <v>32</v>
      </c>
      <c r="J517" t="s">
        <v>24</v>
      </c>
    </row>
    <row r="518" spans="1:10" x14ac:dyDescent="0.3">
      <c r="A518" t="s">
        <v>56</v>
      </c>
      <c r="B518" t="s">
        <v>51</v>
      </c>
      <c r="C518" t="s">
        <v>58</v>
      </c>
      <c r="D518" t="s">
        <v>34</v>
      </c>
      <c r="E518" t="s">
        <v>35</v>
      </c>
      <c r="F518" t="s">
        <v>37</v>
      </c>
      <c r="G518" s="2">
        <v>43881</v>
      </c>
      <c r="H518" t="s">
        <v>38</v>
      </c>
      <c r="J518" t="s">
        <v>57</v>
      </c>
    </row>
    <row r="519" spans="1:10" x14ac:dyDescent="0.3">
      <c r="A519" t="s">
        <v>56</v>
      </c>
      <c r="B519">
        <v>40</v>
      </c>
      <c r="C519">
        <v>50000</v>
      </c>
      <c r="D519" t="s">
        <v>19</v>
      </c>
      <c r="E519" t="s">
        <v>26</v>
      </c>
      <c r="F519" t="s">
        <v>37</v>
      </c>
      <c r="G519" s="2">
        <v>43881</v>
      </c>
      <c r="H519" t="s">
        <v>38</v>
      </c>
      <c r="J519" t="s">
        <v>42</v>
      </c>
    </row>
    <row r="520" spans="1:10" x14ac:dyDescent="0.3">
      <c r="A520" t="s">
        <v>61</v>
      </c>
      <c r="B520" t="s">
        <v>51</v>
      </c>
      <c r="C520">
        <v>50000</v>
      </c>
      <c r="D520" t="s">
        <v>34</v>
      </c>
      <c r="E520" t="s">
        <v>30</v>
      </c>
      <c r="F520" t="s">
        <v>40</v>
      </c>
      <c r="G520" s="2">
        <v>43881</v>
      </c>
      <c r="H520" t="s">
        <v>27</v>
      </c>
      <c r="I520" t="s">
        <v>16</v>
      </c>
      <c r="J520" t="s">
        <v>28</v>
      </c>
    </row>
    <row r="521" spans="1:10" x14ac:dyDescent="0.3">
      <c r="A521" t="s">
        <v>67</v>
      </c>
      <c r="B521">
        <v>40</v>
      </c>
      <c r="C521">
        <v>65000</v>
      </c>
      <c r="D521" t="s">
        <v>34</v>
      </c>
      <c r="E521" t="s">
        <v>20</v>
      </c>
      <c r="F521" t="s">
        <v>14</v>
      </c>
      <c r="G521" s="2" t="s">
        <v>62</v>
      </c>
      <c r="H521" t="s">
        <v>31</v>
      </c>
      <c r="I521" t="s">
        <v>51</v>
      </c>
      <c r="J521" t="s">
        <v>42</v>
      </c>
    </row>
    <row r="522" spans="1:10" x14ac:dyDescent="0.3">
      <c r="A522" t="s">
        <v>52</v>
      </c>
      <c r="B522">
        <v>40</v>
      </c>
      <c r="C522">
        <v>70000</v>
      </c>
      <c r="D522" t="s">
        <v>12</v>
      </c>
      <c r="E522" t="s">
        <v>26</v>
      </c>
      <c r="F522" t="s">
        <v>40</v>
      </c>
      <c r="G522" s="2" t="s">
        <v>55</v>
      </c>
      <c r="H522" t="s">
        <v>27</v>
      </c>
      <c r="I522" t="s">
        <v>23</v>
      </c>
      <c r="J522" t="s">
        <v>28</v>
      </c>
    </row>
    <row r="523" spans="1:10" x14ac:dyDescent="0.3">
      <c r="A523" t="s">
        <v>56</v>
      </c>
      <c r="B523">
        <v>25</v>
      </c>
      <c r="C523" t="s">
        <v>54</v>
      </c>
      <c r="D523" t="s">
        <v>12</v>
      </c>
      <c r="E523" t="s">
        <v>35</v>
      </c>
      <c r="F523" t="s">
        <v>14</v>
      </c>
      <c r="G523" s="2" t="s">
        <v>62</v>
      </c>
      <c r="H523" t="s">
        <v>31</v>
      </c>
      <c r="I523" t="s">
        <v>51</v>
      </c>
      <c r="J523" t="s">
        <v>28</v>
      </c>
    </row>
    <row r="524" spans="1:10" x14ac:dyDescent="0.3">
      <c r="A524" t="s">
        <v>52</v>
      </c>
      <c r="B524" t="s">
        <v>63</v>
      </c>
      <c r="C524">
        <v>70000</v>
      </c>
      <c r="D524" t="s">
        <v>34</v>
      </c>
      <c r="E524" t="s">
        <v>20</v>
      </c>
      <c r="F524" t="s">
        <v>40</v>
      </c>
      <c r="G524" s="2" t="s">
        <v>50</v>
      </c>
      <c r="H524" t="s">
        <v>22</v>
      </c>
      <c r="I524" t="s">
        <v>51</v>
      </c>
      <c r="J524" t="s">
        <v>24</v>
      </c>
    </row>
    <row r="525" spans="1:10" x14ac:dyDescent="0.3">
      <c r="A525" t="s">
        <v>56</v>
      </c>
      <c r="B525">
        <v>40</v>
      </c>
      <c r="C525">
        <v>65000</v>
      </c>
      <c r="D525" t="s">
        <v>19</v>
      </c>
      <c r="E525" t="s">
        <v>20</v>
      </c>
      <c r="F525" t="s">
        <v>41</v>
      </c>
      <c r="G525" s="2" t="s">
        <v>55</v>
      </c>
      <c r="H525" t="s">
        <v>22</v>
      </c>
      <c r="I525" t="s">
        <v>51</v>
      </c>
      <c r="J525" t="s">
        <v>24</v>
      </c>
    </row>
    <row r="526" spans="1:10" x14ac:dyDescent="0.3">
      <c r="A526" t="s">
        <v>49</v>
      </c>
      <c r="B526">
        <v>50</v>
      </c>
      <c r="C526">
        <v>50000</v>
      </c>
      <c r="D526" t="s">
        <v>19</v>
      </c>
      <c r="E526" t="s">
        <v>35</v>
      </c>
      <c r="F526" t="s">
        <v>41</v>
      </c>
      <c r="G526" s="2" t="s">
        <v>50</v>
      </c>
      <c r="H526" t="s">
        <v>27</v>
      </c>
      <c r="I526" t="s">
        <v>16</v>
      </c>
      <c r="J526" t="s">
        <v>42</v>
      </c>
    </row>
    <row r="527" spans="1:10" x14ac:dyDescent="0.3">
      <c r="A527" t="s">
        <v>67</v>
      </c>
      <c r="B527">
        <v>40</v>
      </c>
      <c r="C527">
        <v>70000</v>
      </c>
      <c r="D527" t="s">
        <v>12</v>
      </c>
      <c r="E527" t="s">
        <v>26</v>
      </c>
      <c r="F527" t="s">
        <v>21</v>
      </c>
      <c r="G527" s="2" t="s">
        <v>55</v>
      </c>
      <c r="H527" t="s">
        <v>22</v>
      </c>
      <c r="I527" t="s">
        <v>16</v>
      </c>
      <c r="J527" t="s">
        <v>57</v>
      </c>
    </row>
    <row r="528" spans="1:10" x14ac:dyDescent="0.3">
      <c r="A528" t="s">
        <v>49</v>
      </c>
      <c r="B528">
        <v>35</v>
      </c>
      <c r="C528">
        <v>70000</v>
      </c>
      <c r="D528" t="s">
        <v>19</v>
      </c>
      <c r="E528" t="s">
        <v>13</v>
      </c>
      <c r="F528" t="s">
        <v>40</v>
      </c>
      <c r="G528" s="2" t="s">
        <v>62</v>
      </c>
      <c r="H528" t="s">
        <v>15</v>
      </c>
      <c r="I528" t="s">
        <v>23</v>
      </c>
      <c r="J528" t="s">
        <v>42</v>
      </c>
    </row>
    <row r="529" spans="1:10" x14ac:dyDescent="0.3">
      <c r="A529" t="s">
        <v>56</v>
      </c>
      <c r="B529" t="s">
        <v>63</v>
      </c>
      <c r="C529">
        <v>50000</v>
      </c>
      <c r="D529" t="s">
        <v>34</v>
      </c>
      <c r="E529" t="s">
        <v>35</v>
      </c>
      <c r="F529" t="s">
        <v>37</v>
      </c>
      <c r="G529" s="2">
        <v>43881</v>
      </c>
      <c r="H529" t="s">
        <v>38</v>
      </c>
      <c r="I529" t="s">
        <v>51</v>
      </c>
      <c r="J529" t="s">
        <v>51</v>
      </c>
    </row>
    <row r="530" spans="1:10" x14ac:dyDescent="0.3">
      <c r="A530" t="s">
        <v>59</v>
      </c>
      <c r="B530">
        <v>35</v>
      </c>
      <c r="C530" t="s">
        <v>54</v>
      </c>
      <c r="D530" t="s">
        <v>12</v>
      </c>
      <c r="E530" t="s">
        <v>35</v>
      </c>
      <c r="F530" t="s">
        <v>21</v>
      </c>
      <c r="G530" s="2" t="s">
        <v>60</v>
      </c>
      <c r="H530" t="s">
        <v>38</v>
      </c>
      <c r="I530" t="s">
        <v>16</v>
      </c>
      <c r="J530" t="s">
        <v>28</v>
      </c>
    </row>
    <row r="531" spans="1:10" x14ac:dyDescent="0.3">
      <c r="A531" t="s">
        <v>59</v>
      </c>
      <c r="B531" t="s">
        <v>63</v>
      </c>
      <c r="C531">
        <v>50000</v>
      </c>
      <c r="D531" t="s">
        <v>34</v>
      </c>
      <c r="E531" t="s">
        <v>35</v>
      </c>
      <c r="F531" t="s">
        <v>41</v>
      </c>
      <c r="G531" s="2">
        <v>43881</v>
      </c>
      <c r="H531" t="s">
        <v>31</v>
      </c>
      <c r="I531" t="s">
        <v>23</v>
      </c>
      <c r="J531" t="s">
        <v>28</v>
      </c>
    </row>
    <row r="532" spans="1:10" x14ac:dyDescent="0.3">
      <c r="A532" t="s">
        <v>49</v>
      </c>
      <c r="B532">
        <v>35</v>
      </c>
      <c r="C532">
        <v>70000</v>
      </c>
      <c r="D532" t="s">
        <v>12</v>
      </c>
      <c r="E532" t="s">
        <v>20</v>
      </c>
      <c r="F532" t="s">
        <v>40</v>
      </c>
      <c r="G532" s="2" t="s">
        <v>62</v>
      </c>
      <c r="H532" t="s">
        <v>22</v>
      </c>
      <c r="I532" t="s">
        <v>23</v>
      </c>
      <c r="J532" t="s">
        <v>24</v>
      </c>
    </row>
    <row r="533" spans="1:10" x14ac:dyDescent="0.3">
      <c r="A533" t="s">
        <v>59</v>
      </c>
      <c r="B533">
        <v>40</v>
      </c>
      <c r="C533" t="s">
        <v>54</v>
      </c>
      <c r="D533" t="s">
        <v>12</v>
      </c>
      <c r="E533" t="s">
        <v>30</v>
      </c>
      <c r="F533" t="s">
        <v>21</v>
      </c>
      <c r="G533" s="2" t="s">
        <v>55</v>
      </c>
      <c r="H533" t="s">
        <v>31</v>
      </c>
      <c r="I533" t="s">
        <v>51</v>
      </c>
      <c r="J533" t="s">
        <v>57</v>
      </c>
    </row>
    <row r="534" spans="1:10" x14ac:dyDescent="0.3">
      <c r="A534" t="s">
        <v>56</v>
      </c>
      <c r="B534">
        <v>40</v>
      </c>
      <c r="C534" t="s">
        <v>54</v>
      </c>
      <c r="D534" t="s">
        <v>12</v>
      </c>
      <c r="E534" t="s">
        <v>13</v>
      </c>
      <c r="F534" t="s">
        <v>40</v>
      </c>
      <c r="G534" s="2">
        <v>43881</v>
      </c>
      <c r="H534" t="s">
        <v>38</v>
      </c>
      <c r="I534" t="s">
        <v>32</v>
      </c>
      <c r="J534" t="s">
        <v>24</v>
      </c>
    </row>
    <row r="535" spans="1:10" x14ac:dyDescent="0.3">
      <c r="A535" t="s">
        <v>61</v>
      </c>
      <c r="B535">
        <v>25</v>
      </c>
      <c r="C535">
        <v>50000</v>
      </c>
      <c r="D535" t="s">
        <v>12</v>
      </c>
      <c r="E535" t="s">
        <v>26</v>
      </c>
      <c r="F535" t="s">
        <v>41</v>
      </c>
      <c r="G535" s="2" t="s">
        <v>62</v>
      </c>
      <c r="H535" t="s">
        <v>38</v>
      </c>
      <c r="I535" t="s">
        <v>51</v>
      </c>
      <c r="J535" t="s">
        <v>51</v>
      </c>
    </row>
    <row r="536" spans="1:10" x14ac:dyDescent="0.3">
      <c r="A536" t="s">
        <v>49</v>
      </c>
      <c r="B536">
        <v>50</v>
      </c>
      <c r="C536">
        <v>70000</v>
      </c>
      <c r="D536" t="s">
        <v>19</v>
      </c>
      <c r="E536" t="s">
        <v>26</v>
      </c>
      <c r="F536" t="s">
        <v>21</v>
      </c>
      <c r="G536" s="2" t="s">
        <v>50</v>
      </c>
      <c r="H536" t="s">
        <v>22</v>
      </c>
      <c r="I536" t="s">
        <v>32</v>
      </c>
      <c r="J536" t="s">
        <v>42</v>
      </c>
    </row>
    <row r="537" spans="1:10" x14ac:dyDescent="0.3">
      <c r="A537" t="s">
        <v>65</v>
      </c>
      <c r="B537">
        <v>35</v>
      </c>
      <c r="C537">
        <v>65000</v>
      </c>
      <c r="D537" t="s">
        <v>34</v>
      </c>
      <c r="E537" t="s">
        <v>30</v>
      </c>
      <c r="F537" t="s">
        <v>41</v>
      </c>
      <c r="G537" s="2" t="s">
        <v>60</v>
      </c>
      <c r="H537" t="s">
        <v>15</v>
      </c>
      <c r="I537" t="s">
        <v>23</v>
      </c>
      <c r="J537" t="s">
        <v>42</v>
      </c>
    </row>
    <row r="538" spans="1:10" x14ac:dyDescent="0.3">
      <c r="A538" t="s">
        <v>67</v>
      </c>
      <c r="B538" t="s">
        <v>51</v>
      </c>
      <c r="C538">
        <v>70000</v>
      </c>
      <c r="D538" t="s">
        <v>34</v>
      </c>
      <c r="E538" t="s">
        <v>35</v>
      </c>
      <c r="F538" t="s">
        <v>14</v>
      </c>
      <c r="G538" s="2">
        <v>43881</v>
      </c>
      <c r="H538" t="s">
        <v>15</v>
      </c>
      <c r="I538" t="s">
        <v>16</v>
      </c>
      <c r="J538" t="s">
        <v>57</v>
      </c>
    </row>
    <row r="539" spans="1:10" x14ac:dyDescent="0.3">
      <c r="A539" t="s">
        <v>59</v>
      </c>
      <c r="B539">
        <v>25</v>
      </c>
      <c r="C539">
        <v>55000</v>
      </c>
      <c r="D539" t="s">
        <v>34</v>
      </c>
      <c r="E539" t="s">
        <v>13</v>
      </c>
      <c r="F539" t="s">
        <v>41</v>
      </c>
      <c r="G539" s="2" t="s">
        <v>55</v>
      </c>
      <c r="H539" t="s">
        <v>22</v>
      </c>
      <c r="J539" t="s">
        <v>24</v>
      </c>
    </row>
    <row r="540" spans="1:10" x14ac:dyDescent="0.3">
      <c r="A540" t="s">
        <v>59</v>
      </c>
      <c r="B540">
        <v>35</v>
      </c>
      <c r="C540" t="s">
        <v>58</v>
      </c>
      <c r="D540" t="s">
        <v>12</v>
      </c>
      <c r="E540" t="s">
        <v>26</v>
      </c>
      <c r="F540" t="s">
        <v>40</v>
      </c>
      <c r="G540" s="2" t="s">
        <v>50</v>
      </c>
      <c r="H540" t="s">
        <v>22</v>
      </c>
      <c r="I540" t="s">
        <v>23</v>
      </c>
      <c r="J540" t="s">
        <v>24</v>
      </c>
    </row>
    <row r="541" spans="1:10" x14ac:dyDescent="0.3">
      <c r="A541" t="s">
        <v>66</v>
      </c>
      <c r="B541">
        <v>35</v>
      </c>
      <c r="C541">
        <v>65000</v>
      </c>
      <c r="D541" t="s">
        <v>19</v>
      </c>
      <c r="E541" t="s">
        <v>26</v>
      </c>
      <c r="F541" t="s">
        <v>37</v>
      </c>
      <c r="G541" s="2" t="s">
        <v>62</v>
      </c>
      <c r="H541" t="s">
        <v>31</v>
      </c>
      <c r="I541" t="s">
        <v>16</v>
      </c>
      <c r="J541" t="s">
        <v>51</v>
      </c>
    </row>
    <row r="542" spans="1:10" x14ac:dyDescent="0.3">
      <c r="A542" t="s">
        <v>64</v>
      </c>
      <c r="B542">
        <v>25</v>
      </c>
      <c r="C542" t="s">
        <v>54</v>
      </c>
      <c r="D542" t="s">
        <v>34</v>
      </c>
      <c r="E542" t="s">
        <v>35</v>
      </c>
      <c r="F542" t="s">
        <v>41</v>
      </c>
      <c r="G542" s="2" t="s">
        <v>60</v>
      </c>
      <c r="H542" t="s">
        <v>22</v>
      </c>
      <c r="I542" t="s">
        <v>23</v>
      </c>
      <c r="J542" t="s">
        <v>42</v>
      </c>
    </row>
    <row r="543" spans="1:10" x14ac:dyDescent="0.3">
      <c r="A543" t="s">
        <v>49</v>
      </c>
      <c r="B543">
        <v>40</v>
      </c>
      <c r="C543">
        <v>65000</v>
      </c>
      <c r="D543" t="s">
        <v>19</v>
      </c>
      <c r="E543" t="s">
        <v>30</v>
      </c>
      <c r="F543" t="s">
        <v>37</v>
      </c>
      <c r="G543" s="2" t="s">
        <v>55</v>
      </c>
      <c r="H543" t="s">
        <v>15</v>
      </c>
      <c r="I543" t="s">
        <v>51</v>
      </c>
      <c r="J543" t="s">
        <v>24</v>
      </c>
    </row>
    <row r="544" spans="1:10" x14ac:dyDescent="0.3">
      <c r="A544" t="s">
        <v>53</v>
      </c>
      <c r="B544">
        <v>35</v>
      </c>
      <c r="C544" t="s">
        <v>54</v>
      </c>
      <c r="D544" t="s">
        <v>12</v>
      </c>
      <c r="E544" t="s">
        <v>13</v>
      </c>
      <c r="F544" t="s">
        <v>14</v>
      </c>
      <c r="G544" s="2" t="s">
        <v>62</v>
      </c>
      <c r="H544" t="s">
        <v>22</v>
      </c>
      <c r="I544" t="s">
        <v>32</v>
      </c>
      <c r="J544" t="s">
        <v>57</v>
      </c>
    </row>
    <row r="545" spans="1:10" x14ac:dyDescent="0.3">
      <c r="A545" t="s">
        <v>59</v>
      </c>
      <c r="B545">
        <v>40</v>
      </c>
      <c r="C545" t="s">
        <v>54</v>
      </c>
      <c r="D545" t="s">
        <v>34</v>
      </c>
      <c r="E545" t="s">
        <v>30</v>
      </c>
      <c r="F545" t="s">
        <v>21</v>
      </c>
      <c r="G545" s="2" t="s">
        <v>62</v>
      </c>
      <c r="H545" t="s">
        <v>31</v>
      </c>
      <c r="I545" t="s">
        <v>23</v>
      </c>
      <c r="J545" t="s">
        <v>42</v>
      </c>
    </row>
    <row r="546" spans="1:10" x14ac:dyDescent="0.3">
      <c r="A546" t="s">
        <v>67</v>
      </c>
      <c r="B546">
        <v>25</v>
      </c>
      <c r="C546">
        <v>65000</v>
      </c>
      <c r="D546" t="s">
        <v>19</v>
      </c>
      <c r="E546" t="s">
        <v>30</v>
      </c>
      <c r="F546" t="s">
        <v>21</v>
      </c>
      <c r="G546" s="2">
        <v>43881</v>
      </c>
      <c r="H546" t="s">
        <v>31</v>
      </c>
      <c r="I546" t="s">
        <v>16</v>
      </c>
      <c r="J546" t="s">
        <v>51</v>
      </c>
    </row>
    <row r="547" spans="1:10" x14ac:dyDescent="0.3">
      <c r="A547" t="s">
        <v>65</v>
      </c>
      <c r="B547">
        <v>40</v>
      </c>
      <c r="C547" t="s">
        <v>54</v>
      </c>
      <c r="D547" t="s">
        <v>12</v>
      </c>
      <c r="E547" t="s">
        <v>13</v>
      </c>
      <c r="F547" t="s">
        <v>37</v>
      </c>
      <c r="G547" s="2">
        <v>43881</v>
      </c>
      <c r="H547" t="s">
        <v>31</v>
      </c>
      <c r="I547" t="s">
        <v>51</v>
      </c>
      <c r="J547" t="s">
        <v>57</v>
      </c>
    </row>
    <row r="548" spans="1:10" x14ac:dyDescent="0.3">
      <c r="A548" t="s">
        <v>59</v>
      </c>
      <c r="B548" t="s">
        <v>63</v>
      </c>
      <c r="C548" t="s">
        <v>54</v>
      </c>
      <c r="D548" t="s">
        <v>19</v>
      </c>
      <c r="E548" t="s">
        <v>13</v>
      </c>
      <c r="F548" t="s">
        <v>21</v>
      </c>
      <c r="G548" s="2" t="s">
        <v>55</v>
      </c>
      <c r="H548" t="s">
        <v>31</v>
      </c>
      <c r="J548" t="s">
        <v>28</v>
      </c>
    </row>
    <row r="549" spans="1:10" x14ac:dyDescent="0.3">
      <c r="A549" t="s">
        <v>65</v>
      </c>
      <c r="B549" t="s">
        <v>51</v>
      </c>
      <c r="C549">
        <v>55000</v>
      </c>
      <c r="D549" t="s">
        <v>34</v>
      </c>
      <c r="E549" t="s">
        <v>26</v>
      </c>
      <c r="F549" t="s">
        <v>41</v>
      </c>
      <c r="G549" s="2" t="s">
        <v>62</v>
      </c>
      <c r="H549" t="s">
        <v>27</v>
      </c>
      <c r="I549" t="s">
        <v>51</v>
      </c>
      <c r="J549" t="s">
        <v>51</v>
      </c>
    </row>
    <row r="550" spans="1:10" x14ac:dyDescent="0.3">
      <c r="A550" t="s">
        <v>56</v>
      </c>
      <c r="B550">
        <v>35</v>
      </c>
      <c r="C550">
        <v>70000</v>
      </c>
      <c r="D550" t="s">
        <v>34</v>
      </c>
      <c r="E550" t="s">
        <v>26</v>
      </c>
      <c r="F550" t="s">
        <v>37</v>
      </c>
      <c r="G550" s="2">
        <v>43881</v>
      </c>
      <c r="H550" t="s">
        <v>22</v>
      </c>
      <c r="I550" t="s">
        <v>32</v>
      </c>
      <c r="J550" t="s">
        <v>57</v>
      </c>
    </row>
    <row r="551" spans="1:10" x14ac:dyDescent="0.3">
      <c r="A551" t="s">
        <v>56</v>
      </c>
      <c r="B551">
        <v>50</v>
      </c>
      <c r="C551">
        <v>70000</v>
      </c>
      <c r="D551" t="s">
        <v>12</v>
      </c>
      <c r="E551" t="s">
        <v>13</v>
      </c>
      <c r="F551" t="s">
        <v>40</v>
      </c>
      <c r="G551" s="2" t="s">
        <v>60</v>
      </c>
      <c r="H551" t="s">
        <v>38</v>
      </c>
      <c r="I551" t="s">
        <v>51</v>
      </c>
      <c r="J551" t="s">
        <v>24</v>
      </c>
    </row>
    <row r="552" spans="1:10" x14ac:dyDescent="0.3">
      <c r="A552" t="s">
        <v>64</v>
      </c>
      <c r="B552" t="s">
        <v>51</v>
      </c>
      <c r="C552" t="s">
        <v>58</v>
      </c>
      <c r="D552" t="s">
        <v>12</v>
      </c>
      <c r="E552" t="s">
        <v>20</v>
      </c>
      <c r="F552" t="s">
        <v>41</v>
      </c>
      <c r="G552" s="2" t="s">
        <v>60</v>
      </c>
      <c r="H552" t="s">
        <v>22</v>
      </c>
      <c r="J552" t="s">
        <v>28</v>
      </c>
    </row>
    <row r="553" spans="1:10" x14ac:dyDescent="0.3">
      <c r="A553" t="s">
        <v>61</v>
      </c>
      <c r="B553">
        <v>40</v>
      </c>
      <c r="C553" t="s">
        <v>58</v>
      </c>
      <c r="D553" t="s">
        <v>12</v>
      </c>
      <c r="E553" t="s">
        <v>26</v>
      </c>
      <c r="F553" t="s">
        <v>41</v>
      </c>
      <c r="G553" s="2" t="s">
        <v>62</v>
      </c>
      <c r="H553" t="s">
        <v>27</v>
      </c>
      <c r="I553" t="s">
        <v>16</v>
      </c>
      <c r="J553" t="s">
        <v>51</v>
      </c>
    </row>
    <row r="554" spans="1:10" x14ac:dyDescent="0.3">
      <c r="A554" t="s">
        <v>53</v>
      </c>
      <c r="B554">
        <v>35</v>
      </c>
      <c r="C554">
        <v>55000</v>
      </c>
      <c r="D554" t="s">
        <v>19</v>
      </c>
      <c r="E554" t="s">
        <v>20</v>
      </c>
      <c r="F554" t="s">
        <v>41</v>
      </c>
      <c r="G554" s="2">
        <v>43881</v>
      </c>
      <c r="H554" t="s">
        <v>31</v>
      </c>
      <c r="I554" t="s">
        <v>23</v>
      </c>
      <c r="J554" t="s">
        <v>24</v>
      </c>
    </row>
    <row r="555" spans="1:10" x14ac:dyDescent="0.3">
      <c r="A555" t="s">
        <v>66</v>
      </c>
      <c r="B555">
        <v>40</v>
      </c>
      <c r="C555" t="s">
        <v>58</v>
      </c>
      <c r="D555" t="s">
        <v>19</v>
      </c>
      <c r="E555" t="s">
        <v>13</v>
      </c>
      <c r="F555" t="s">
        <v>40</v>
      </c>
      <c r="G555" s="2" t="s">
        <v>55</v>
      </c>
      <c r="H555" t="s">
        <v>27</v>
      </c>
      <c r="I555" t="s">
        <v>32</v>
      </c>
      <c r="J555" t="s">
        <v>28</v>
      </c>
    </row>
    <row r="556" spans="1:10" x14ac:dyDescent="0.3">
      <c r="A556" t="s">
        <v>64</v>
      </c>
      <c r="B556" t="s">
        <v>63</v>
      </c>
      <c r="C556">
        <v>65000</v>
      </c>
      <c r="D556" t="s">
        <v>19</v>
      </c>
      <c r="E556" t="s">
        <v>26</v>
      </c>
      <c r="F556" t="s">
        <v>14</v>
      </c>
      <c r="G556" s="2" t="s">
        <v>55</v>
      </c>
      <c r="H556" t="s">
        <v>15</v>
      </c>
      <c r="J556" t="s">
        <v>42</v>
      </c>
    </row>
    <row r="557" spans="1:10" x14ac:dyDescent="0.3">
      <c r="A557" t="s">
        <v>52</v>
      </c>
      <c r="B557">
        <v>25</v>
      </c>
      <c r="C557">
        <v>50000</v>
      </c>
      <c r="D557" t="s">
        <v>12</v>
      </c>
      <c r="E557" t="s">
        <v>30</v>
      </c>
      <c r="F557" t="s">
        <v>21</v>
      </c>
      <c r="G557" s="2" t="s">
        <v>55</v>
      </c>
      <c r="H557" t="s">
        <v>15</v>
      </c>
      <c r="I557" t="s">
        <v>32</v>
      </c>
      <c r="J557" t="s">
        <v>24</v>
      </c>
    </row>
    <row r="558" spans="1:10" x14ac:dyDescent="0.3">
      <c r="A558" t="s">
        <v>66</v>
      </c>
      <c r="B558">
        <v>35</v>
      </c>
      <c r="C558">
        <v>50000</v>
      </c>
      <c r="D558" t="s">
        <v>34</v>
      </c>
      <c r="E558" t="s">
        <v>13</v>
      </c>
      <c r="F558" t="s">
        <v>37</v>
      </c>
      <c r="G558" s="2" t="s">
        <v>60</v>
      </c>
      <c r="H558" t="s">
        <v>22</v>
      </c>
      <c r="I558" t="s">
        <v>51</v>
      </c>
      <c r="J558" t="s">
        <v>57</v>
      </c>
    </row>
    <row r="559" spans="1:10" x14ac:dyDescent="0.3">
      <c r="A559" t="s">
        <v>49</v>
      </c>
      <c r="B559" t="s">
        <v>63</v>
      </c>
      <c r="C559">
        <v>50000</v>
      </c>
      <c r="D559" t="s">
        <v>34</v>
      </c>
      <c r="E559" t="s">
        <v>35</v>
      </c>
      <c r="F559" t="s">
        <v>14</v>
      </c>
      <c r="G559" s="2">
        <v>43881</v>
      </c>
      <c r="H559" t="s">
        <v>22</v>
      </c>
      <c r="I559" t="s">
        <v>32</v>
      </c>
      <c r="J559" t="s">
        <v>51</v>
      </c>
    </row>
    <row r="560" spans="1:10" x14ac:dyDescent="0.3">
      <c r="A560" t="s">
        <v>67</v>
      </c>
      <c r="B560" t="s">
        <v>63</v>
      </c>
      <c r="C560">
        <v>55000</v>
      </c>
      <c r="D560" t="s">
        <v>19</v>
      </c>
      <c r="E560" t="s">
        <v>20</v>
      </c>
      <c r="F560" t="s">
        <v>37</v>
      </c>
      <c r="G560" s="2">
        <v>43881</v>
      </c>
      <c r="H560" t="s">
        <v>38</v>
      </c>
      <c r="J560" t="s">
        <v>28</v>
      </c>
    </row>
    <row r="561" spans="1:10" x14ac:dyDescent="0.3">
      <c r="A561" t="s">
        <v>52</v>
      </c>
      <c r="B561">
        <v>35</v>
      </c>
      <c r="C561">
        <v>55000</v>
      </c>
      <c r="D561" t="s">
        <v>19</v>
      </c>
      <c r="E561" t="s">
        <v>13</v>
      </c>
      <c r="F561" t="s">
        <v>21</v>
      </c>
      <c r="G561" s="2" t="s">
        <v>60</v>
      </c>
      <c r="H561" t="s">
        <v>38</v>
      </c>
      <c r="I561" t="s">
        <v>23</v>
      </c>
      <c r="J561" t="s">
        <v>24</v>
      </c>
    </row>
    <row r="562" spans="1:10" x14ac:dyDescent="0.3">
      <c r="A562" t="s">
        <v>52</v>
      </c>
      <c r="B562">
        <v>40</v>
      </c>
      <c r="C562" t="s">
        <v>54</v>
      </c>
      <c r="D562" t="s">
        <v>34</v>
      </c>
      <c r="E562" t="s">
        <v>13</v>
      </c>
      <c r="F562" t="s">
        <v>40</v>
      </c>
      <c r="G562" s="2" t="s">
        <v>55</v>
      </c>
      <c r="H562" t="s">
        <v>15</v>
      </c>
      <c r="I562" t="s">
        <v>23</v>
      </c>
      <c r="J562" t="s">
        <v>42</v>
      </c>
    </row>
    <row r="563" spans="1:10" x14ac:dyDescent="0.3">
      <c r="A563" t="s">
        <v>64</v>
      </c>
      <c r="B563">
        <v>50</v>
      </c>
      <c r="C563">
        <v>50000</v>
      </c>
      <c r="D563" t="s">
        <v>34</v>
      </c>
      <c r="E563" t="s">
        <v>26</v>
      </c>
      <c r="F563" t="s">
        <v>41</v>
      </c>
      <c r="G563" s="2" t="s">
        <v>55</v>
      </c>
      <c r="H563" t="s">
        <v>31</v>
      </c>
      <c r="I563" t="s">
        <v>32</v>
      </c>
      <c r="J563" t="s">
        <v>51</v>
      </c>
    </row>
    <row r="564" spans="1:10" x14ac:dyDescent="0.3">
      <c r="A564" t="s">
        <v>61</v>
      </c>
      <c r="B564" t="s">
        <v>63</v>
      </c>
      <c r="C564">
        <v>65000</v>
      </c>
      <c r="D564" t="s">
        <v>19</v>
      </c>
      <c r="E564" t="s">
        <v>26</v>
      </c>
      <c r="F564" t="s">
        <v>41</v>
      </c>
      <c r="G564" s="2" t="s">
        <v>62</v>
      </c>
      <c r="H564" t="s">
        <v>27</v>
      </c>
      <c r="I564" t="s">
        <v>16</v>
      </c>
      <c r="J564" t="s">
        <v>51</v>
      </c>
    </row>
    <row r="565" spans="1:10" x14ac:dyDescent="0.3">
      <c r="A565" t="s">
        <v>64</v>
      </c>
      <c r="B565" t="s">
        <v>51</v>
      </c>
      <c r="C565" t="s">
        <v>58</v>
      </c>
      <c r="D565" t="s">
        <v>19</v>
      </c>
      <c r="E565" t="s">
        <v>26</v>
      </c>
      <c r="F565" t="s">
        <v>40</v>
      </c>
      <c r="G565" s="2" t="s">
        <v>50</v>
      </c>
      <c r="H565" t="s">
        <v>38</v>
      </c>
      <c r="I565" t="s">
        <v>32</v>
      </c>
      <c r="J565" t="s">
        <v>24</v>
      </c>
    </row>
    <row r="566" spans="1:10" x14ac:dyDescent="0.3">
      <c r="A566" t="s">
        <v>49</v>
      </c>
      <c r="B566" t="s">
        <v>63</v>
      </c>
      <c r="C566">
        <v>65000</v>
      </c>
      <c r="D566" t="s">
        <v>34</v>
      </c>
      <c r="E566" t="s">
        <v>35</v>
      </c>
      <c r="F566" t="s">
        <v>14</v>
      </c>
      <c r="G566" s="2">
        <v>43881</v>
      </c>
      <c r="H566" t="s">
        <v>38</v>
      </c>
      <c r="I566" t="s">
        <v>51</v>
      </c>
      <c r="J566" t="s">
        <v>42</v>
      </c>
    </row>
    <row r="567" spans="1:10" x14ac:dyDescent="0.3">
      <c r="A567" t="s">
        <v>59</v>
      </c>
      <c r="B567">
        <v>50</v>
      </c>
      <c r="C567" t="s">
        <v>58</v>
      </c>
      <c r="D567" t="s">
        <v>12</v>
      </c>
      <c r="E567" t="s">
        <v>26</v>
      </c>
      <c r="F567" t="s">
        <v>14</v>
      </c>
      <c r="G567" s="2">
        <v>43881</v>
      </c>
      <c r="H567" t="s">
        <v>31</v>
      </c>
      <c r="I567" t="s">
        <v>23</v>
      </c>
      <c r="J567" t="s">
        <v>28</v>
      </c>
    </row>
    <row r="568" spans="1:10" x14ac:dyDescent="0.3">
      <c r="A568" t="s">
        <v>59</v>
      </c>
      <c r="B568">
        <v>40</v>
      </c>
      <c r="C568">
        <v>50000</v>
      </c>
      <c r="D568" t="s">
        <v>19</v>
      </c>
      <c r="E568" t="s">
        <v>13</v>
      </c>
      <c r="F568" t="s">
        <v>37</v>
      </c>
      <c r="G568" s="2">
        <v>43881</v>
      </c>
      <c r="H568" t="s">
        <v>31</v>
      </c>
      <c r="I568" t="s">
        <v>23</v>
      </c>
      <c r="J568" t="s">
        <v>24</v>
      </c>
    </row>
    <row r="569" spans="1:10" x14ac:dyDescent="0.3">
      <c r="A569" t="s">
        <v>61</v>
      </c>
      <c r="B569">
        <v>40</v>
      </c>
      <c r="C569">
        <v>50000</v>
      </c>
      <c r="D569" t="s">
        <v>34</v>
      </c>
      <c r="E569" t="s">
        <v>26</v>
      </c>
      <c r="F569" t="s">
        <v>40</v>
      </c>
      <c r="G569" s="2" t="s">
        <v>50</v>
      </c>
      <c r="H569" t="s">
        <v>22</v>
      </c>
      <c r="I569" t="s">
        <v>23</v>
      </c>
      <c r="J569" t="s">
        <v>28</v>
      </c>
    </row>
    <row r="570" spans="1:10" x14ac:dyDescent="0.3">
      <c r="A570" t="s">
        <v>49</v>
      </c>
      <c r="B570" t="s">
        <v>51</v>
      </c>
      <c r="C570">
        <v>50000</v>
      </c>
      <c r="D570" t="s">
        <v>34</v>
      </c>
      <c r="E570" t="s">
        <v>30</v>
      </c>
      <c r="F570" t="s">
        <v>14</v>
      </c>
      <c r="G570" s="2" t="s">
        <v>62</v>
      </c>
      <c r="H570" t="s">
        <v>27</v>
      </c>
      <c r="I570" t="s">
        <v>16</v>
      </c>
      <c r="J570" t="s">
        <v>51</v>
      </c>
    </row>
    <row r="571" spans="1:10" x14ac:dyDescent="0.3">
      <c r="A571" t="s">
        <v>61</v>
      </c>
      <c r="B571" t="s">
        <v>63</v>
      </c>
      <c r="C571">
        <v>55000</v>
      </c>
      <c r="D571" t="s">
        <v>34</v>
      </c>
      <c r="E571" t="s">
        <v>26</v>
      </c>
      <c r="F571" t="s">
        <v>40</v>
      </c>
      <c r="G571" s="2" t="s">
        <v>50</v>
      </c>
      <c r="H571" t="s">
        <v>31</v>
      </c>
      <c r="I571" t="s">
        <v>16</v>
      </c>
      <c r="J571" t="s">
        <v>28</v>
      </c>
    </row>
    <row r="572" spans="1:10" x14ac:dyDescent="0.3">
      <c r="A572" t="s">
        <v>65</v>
      </c>
      <c r="B572">
        <v>40</v>
      </c>
      <c r="C572" t="s">
        <v>58</v>
      </c>
      <c r="D572" t="s">
        <v>34</v>
      </c>
      <c r="E572" t="s">
        <v>35</v>
      </c>
      <c r="F572" t="s">
        <v>21</v>
      </c>
      <c r="G572" s="2" t="s">
        <v>55</v>
      </c>
      <c r="H572" t="s">
        <v>38</v>
      </c>
      <c r="J572" t="s">
        <v>42</v>
      </c>
    </row>
    <row r="573" spans="1:10" x14ac:dyDescent="0.3">
      <c r="A573" t="s">
        <v>59</v>
      </c>
      <c r="B573">
        <v>50</v>
      </c>
      <c r="C573">
        <v>55000</v>
      </c>
      <c r="D573" t="s">
        <v>12</v>
      </c>
      <c r="E573" t="s">
        <v>30</v>
      </c>
      <c r="F573" t="s">
        <v>41</v>
      </c>
      <c r="G573" s="2" t="s">
        <v>55</v>
      </c>
      <c r="H573" t="s">
        <v>38</v>
      </c>
      <c r="I573" t="s">
        <v>32</v>
      </c>
      <c r="J573" t="s">
        <v>57</v>
      </c>
    </row>
    <row r="574" spans="1:10" x14ac:dyDescent="0.3">
      <c r="A574" t="s">
        <v>52</v>
      </c>
      <c r="B574">
        <v>35</v>
      </c>
      <c r="C574">
        <v>55000</v>
      </c>
      <c r="D574" t="s">
        <v>34</v>
      </c>
      <c r="E574" t="s">
        <v>13</v>
      </c>
      <c r="F574" t="s">
        <v>41</v>
      </c>
      <c r="G574" s="2">
        <v>43881</v>
      </c>
      <c r="H574" t="s">
        <v>15</v>
      </c>
      <c r="I574" t="s">
        <v>32</v>
      </c>
      <c r="J574" t="s">
        <v>42</v>
      </c>
    </row>
    <row r="575" spans="1:10" x14ac:dyDescent="0.3">
      <c r="A575" t="s">
        <v>53</v>
      </c>
      <c r="B575">
        <v>25</v>
      </c>
      <c r="C575">
        <v>70000</v>
      </c>
      <c r="D575" t="s">
        <v>19</v>
      </c>
      <c r="E575" t="s">
        <v>13</v>
      </c>
      <c r="F575" t="s">
        <v>41</v>
      </c>
      <c r="G575" s="2" t="s">
        <v>60</v>
      </c>
      <c r="H575" t="s">
        <v>31</v>
      </c>
      <c r="I575" t="s">
        <v>51</v>
      </c>
      <c r="J575" t="s">
        <v>28</v>
      </c>
    </row>
    <row r="576" spans="1:10" x14ac:dyDescent="0.3">
      <c r="A576" t="s">
        <v>67</v>
      </c>
      <c r="B576">
        <v>25</v>
      </c>
      <c r="C576">
        <v>65000</v>
      </c>
      <c r="D576" t="s">
        <v>12</v>
      </c>
      <c r="E576" t="s">
        <v>20</v>
      </c>
      <c r="F576" t="s">
        <v>40</v>
      </c>
      <c r="G576" s="2">
        <v>43881</v>
      </c>
      <c r="H576" t="s">
        <v>22</v>
      </c>
      <c r="I576" t="s">
        <v>23</v>
      </c>
      <c r="J576" t="s">
        <v>24</v>
      </c>
    </row>
    <row r="577" spans="1:10" x14ac:dyDescent="0.3">
      <c r="A577" t="s">
        <v>49</v>
      </c>
      <c r="B577">
        <v>25</v>
      </c>
      <c r="C577">
        <v>65000</v>
      </c>
      <c r="D577" t="s">
        <v>34</v>
      </c>
      <c r="E577" t="s">
        <v>30</v>
      </c>
      <c r="F577" t="s">
        <v>40</v>
      </c>
      <c r="G577" s="2" t="s">
        <v>60</v>
      </c>
      <c r="H577" t="s">
        <v>27</v>
      </c>
      <c r="I577" t="s">
        <v>16</v>
      </c>
      <c r="J577" t="s">
        <v>51</v>
      </c>
    </row>
    <row r="578" spans="1:10" x14ac:dyDescent="0.3">
      <c r="A578" t="s">
        <v>66</v>
      </c>
      <c r="B578" t="s">
        <v>63</v>
      </c>
      <c r="C578" t="s">
        <v>54</v>
      </c>
      <c r="D578" t="s">
        <v>12</v>
      </c>
      <c r="E578" t="s">
        <v>20</v>
      </c>
      <c r="F578" t="s">
        <v>37</v>
      </c>
      <c r="G578" s="2" t="s">
        <v>50</v>
      </c>
      <c r="H578" t="s">
        <v>22</v>
      </c>
      <c r="I578" t="s">
        <v>51</v>
      </c>
      <c r="J578" t="s">
        <v>57</v>
      </c>
    </row>
    <row r="579" spans="1:10" x14ac:dyDescent="0.3">
      <c r="A579" t="s">
        <v>61</v>
      </c>
      <c r="B579" t="s">
        <v>51</v>
      </c>
      <c r="C579">
        <v>55000</v>
      </c>
      <c r="D579" t="s">
        <v>19</v>
      </c>
      <c r="E579" t="s">
        <v>30</v>
      </c>
      <c r="F579" t="s">
        <v>41</v>
      </c>
      <c r="G579" s="2" t="s">
        <v>55</v>
      </c>
      <c r="H579" t="s">
        <v>38</v>
      </c>
      <c r="I579" t="s">
        <v>51</v>
      </c>
      <c r="J579" t="s">
        <v>24</v>
      </c>
    </row>
    <row r="580" spans="1:10" x14ac:dyDescent="0.3">
      <c r="A580" t="s">
        <v>67</v>
      </c>
      <c r="B580">
        <v>40</v>
      </c>
      <c r="C580" t="s">
        <v>58</v>
      </c>
      <c r="D580" t="s">
        <v>34</v>
      </c>
      <c r="E580" t="s">
        <v>30</v>
      </c>
      <c r="F580" t="s">
        <v>37</v>
      </c>
      <c r="G580" s="2" t="s">
        <v>60</v>
      </c>
      <c r="H580" t="s">
        <v>22</v>
      </c>
      <c r="I580" t="s">
        <v>16</v>
      </c>
      <c r="J580" t="s">
        <v>24</v>
      </c>
    </row>
    <row r="581" spans="1:10" x14ac:dyDescent="0.3">
      <c r="A581" t="s">
        <v>66</v>
      </c>
      <c r="B581">
        <v>35</v>
      </c>
      <c r="C581">
        <v>70000</v>
      </c>
      <c r="D581" t="s">
        <v>19</v>
      </c>
      <c r="E581" t="s">
        <v>35</v>
      </c>
      <c r="F581" t="s">
        <v>41</v>
      </c>
      <c r="G581" s="2" t="s">
        <v>50</v>
      </c>
      <c r="H581" t="s">
        <v>38</v>
      </c>
      <c r="I581" t="s">
        <v>32</v>
      </c>
      <c r="J581" t="s">
        <v>42</v>
      </c>
    </row>
    <row r="582" spans="1:10" x14ac:dyDescent="0.3">
      <c r="A582" t="s">
        <v>67</v>
      </c>
      <c r="B582">
        <v>50</v>
      </c>
      <c r="C582">
        <v>70000</v>
      </c>
      <c r="D582" t="s">
        <v>34</v>
      </c>
      <c r="E582" t="s">
        <v>20</v>
      </c>
      <c r="F582" t="s">
        <v>37</v>
      </c>
      <c r="G582" s="2" t="s">
        <v>55</v>
      </c>
      <c r="H582" t="s">
        <v>38</v>
      </c>
      <c r="I582" t="s">
        <v>23</v>
      </c>
      <c r="J582" t="s">
        <v>28</v>
      </c>
    </row>
    <row r="583" spans="1:10" x14ac:dyDescent="0.3">
      <c r="A583" t="s">
        <v>53</v>
      </c>
      <c r="B583">
        <v>35</v>
      </c>
      <c r="C583">
        <v>65000</v>
      </c>
      <c r="D583" t="s">
        <v>34</v>
      </c>
      <c r="E583" t="s">
        <v>35</v>
      </c>
      <c r="F583" t="s">
        <v>37</v>
      </c>
      <c r="G583" s="2" t="s">
        <v>60</v>
      </c>
      <c r="H583" t="s">
        <v>38</v>
      </c>
      <c r="I583" t="s">
        <v>32</v>
      </c>
      <c r="J583" t="s">
        <v>42</v>
      </c>
    </row>
    <row r="584" spans="1:10" x14ac:dyDescent="0.3">
      <c r="A584" t="s">
        <v>66</v>
      </c>
      <c r="B584">
        <v>50</v>
      </c>
      <c r="C584">
        <v>55000</v>
      </c>
      <c r="D584" t="s">
        <v>34</v>
      </c>
      <c r="E584" t="s">
        <v>30</v>
      </c>
      <c r="F584" t="s">
        <v>21</v>
      </c>
      <c r="G584" s="2">
        <v>43881</v>
      </c>
      <c r="H584" t="s">
        <v>38</v>
      </c>
      <c r="I584" t="s">
        <v>51</v>
      </c>
      <c r="J584" t="s">
        <v>28</v>
      </c>
    </row>
    <row r="585" spans="1:10" x14ac:dyDescent="0.3">
      <c r="A585" t="s">
        <v>64</v>
      </c>
      <c r="B585" t="s">
        <v>63</v>
      </c>
      <c r="C585" t="s">
        <v>54</v>
      </c>
      <c r="D585" t="s">
        <v>34</v>
      </c>
      <c r="E585" t="s">
        <v>13</v>
      </c>
      <c r="F585" t="s">
        <v>37</v>
      </c>
      <c r="G585" s="2">
        <v>43881</v>
      </c>
      <c r="H585" t="s">
        <v>38</v>
      </c>
      <c r="I585" t="s">
        <v>23</v>
      </c>
      <c r="J585" t="s">
        <v>42</v>
      </c>
    </row>
    <row r="586" spans="1:10" x14ac:dyDescent="0.3">
      <c r="A586" t="s">
        <v>56</v>
      </c>
      <c r="B586">
        <v>25</v>
      </c>
      <c r="C586">
        <v>55000</v>
      </c>
      <c r="D586" t="s">
        <v>34</v>
      </c>
      <c r="E586" t="s">
        <v>30</v>
      </c>
      <c r="F586" t="s">
        <v>40</v>
      </c>
      <c r="G586" s="2">
        <v>43881</v>
      </c>
      <c r="H586" t="s">
        <v>15</v>
      </c>
      <c r="J586" t="s">
        <v>24</v>
      </c>
    </row>
    <row r="587" spans="1:10" x14ac:dyDescent="0.3">
      <c r="A587" t="s">
        <v>64</v>
      </c>
      <c r="B587" t="s">
        <v>63</v>
      </c>
      <c r="C587">
        <v>50000</v>
      </c>
      <c r="D587" t="s">
        <v>12</v>
      </c>
      <c r="E587" t="s">
        <v>35</v>
      </c>
      <c r="F587" t="s">
        <v>37</v>
      </c>
      <c r="G587" s="2" t="s">
        <v>50</v>
      </c>
      <c r="H587" t="s">
        <v>22</v>
      </c>
      <c r="I587" t="s">
        <v>51</v>
      </c>
      <c r="J587" t="s">
        <v>51</v>
      </c>
    </row>
    <row r="588" spans="1:10" x14ac:dyDescent="0.3">
      <c r="A588" t="s">
        <v>59</v>
      </c>
      <c r="B588" t="s">
        <v>51</v>
      </c>
      <c r="C588">
        <v>55000</v>
      </c>
      <c r="D588" t="s">
        <v>34</v>
      </c>
      <c r="E588" t="s">
        <v>20</v>
      </c>
      <c r="F588" t="s">
        <v>41</v>
      </c>
      <c r="G588" s="2">
        <v>43881</v>
      </c>
      <c r="H588" t="s">
        <v>15</v>
      </c>
      <c r="I588" t="s">
        <v>32</v>
      </c>
      <c r="J588" t="s">
        <v>28</v>
      </c>
    </row>
    <row r="589" spans="1:10" x14ac:dyDescent="0.3">
      <c r="A589" t="s">
        <v>56</v>
      </c>
      <c r="B589" t="s">
        <v>51</v>
      </c>
      <c r="C589">
        <v>50000</v>
      </c>
      <c r="D589" t="s">
        <v>34</v>
      </c>
      <c r="E589" t="s">
        <v>20</v>
      </c>
      <c r="F589" t="s">
        <v>37</v>
      </c>
      <c r="G589" s="2" t="s">
        <v>62</v>
      </c>
      <c r="H589" t="s">
        <v>15</v>
      </c>
      <c r="I589" t="s">
        <v>32</v>
      </c>
      <c r="J589" t="s">
        <v>57</v>
      </c>
    </row>
    <row r="590" spans="1:10" x14ac:dyDescent="0.3">
      <c r="A590" t="s">
        <v>64</v>
      </c>
      <c r="B590">
        <v>50</v>
      </c>
      <c r="C590">
        <v>50000</v>
      </c>
      <c r="D590" t="s">
        <v>12</v>
      </c>
      <c r="E590" t="s">
        <v>35</v>
      </c>
      <c r="F590" t="s">
        <v>14</v>
      </c>
      <c r="G590" s="2" t="s">
        <v>55</v>
      </c>
      <c r="H590" t="s">
        <v>31</v>
      </c>
      <c r="I590" t="s">
        <v>32</v>
      </c>
      <c r="J590" t="s">
        <v>57</v>
      </c>
    </row>
    <row r="591" spans="1:10" x14ac:dyDescent="0.3">
      <c r="A591" t="s">
        <v>56</v>
      </c>
      <c r="B591">
        <v>40</v>
      </c>
      <c r="C591" t="s">
        <v>54</v>
      </c>
      <c r="D591" t="s">
        <v>12</v>
      </c>
      <c r="E591" t="s">
        <v>20</v>
      </c>
      <c r="F591" t="s">
        <v>41</v>
      </c>
      <c r="G591" s="2" t="s">
        <v>50</v>
      </c>
      <c r="H591" t="s">
        <v>31</v>
      </c>
      <c r="I591" t="s">
        <v>16</v>
      </c>
      <c r="J591" t="s">
        <v>24</v>
      </c>
    </row>
    <row r="592" spans="1:10" x14ac:dyDescent="0.3">
      <c r="A592" t="s">
        <v>56</v>
      </c>
      <c r="B592">
        <v>40</v>
      </c>
      <c r="C592" t="s">
        <v>58</v>
      </c>
      <c r="D592" t="s">
        <v>12</v>
      </c>
      <c r="E592" t="s">
        <v>26</v>
      </c>
      <c r="F592" t="s">
        <v>14</v>
      </c>
      <c r="G592" s="2">
        <v>43881</v>
      </c>
      <c r="H592" t="s">
        <v>31</v>
      </c>
      <c r="I592" t="s">
        <v>51</v>
      </c>
      <c r="J592" t="s">
        <v>42</v>
      </c>
    </row>
    <row r="593" spans="1:10" x14ac:dyDescent="0.3">
      <c r="A593" t="s">
        <v>52</v>
      </c>
      <c r="B593">
        <v>50</v>
      </c>
      <c r="C593">
        <v>65000</v>
      </c>
      <c r="D593" t="s">
        <v>12</v>
      </c>
      <c r="E593" t="s">
        <v>13</v>
      </c>
      <c r="F593" t="s">
        <v>41</v>
      </c>
      <c r="G593" s="2" t="s">
        <v>55</v>
      </c>
      <c r="H593" t="s">
        <v>27</v>
      </c>
      <c r="I593" t="s">
        <v>23</v>
      </c>
      <c r="J593" t="s">
        <v>42</v>
      </c>
    </row>
    <row r="594" spans="1:10" x14ac:dyDescent="0.3">
      <c r="A594" t="s">
        <v>61</v>
      </c>
      <c r="B594" t="s">
        <v>51</v>
      </c>
      <c r="C594">
        <v>55000</v>
      </c>
      <c r="D594" t="s">
        <v>12</v>
      </c>
      <c r="E594" t="s">
        <v>13</v>
      </c>
      <c r="F594" t="s">
        <v>40</v>
      </c>
      <c r="G594" s="2" t="s">
        <v>60</v>
      </c>
      <c r="H594" t="s">
        <v>31</v>
      </c>
      <c r="I594" t="s">
        <v>32</v>
      </c>
      <c r="J594" t="s">
        <v>24</v>
      </c>
    </row>
    <row r="595" spans="1:10" x14ac:dyDescent="0.3">
      <c r="A595" t="s">
        <v>61</v>
      </c>
      <c r="B595" t="s">
        <v>51</v>
      </c>
      <c r="C595">
        <v>50000</v>
      </c>
      <c r="D595" t="s">
        <v>12</v>
      </c>
      <c r="E595" t="s">
        <v>13</v>
      </c>
      <c r="F595" t="s">
        <v>40</v>
      </c>
      <c r="G595" s="2">
        <v>43881</v>
      </c>
      <c r="H595" t="s">
        <v>22</v>
      </c>
      <c r="I595" t="s">
        <v>32</v>
      </c>
      <c r="J595" t="s">
        <v>57</v>
      </c>
    </row>
    <row r="596" spans="1:10" x14ac:dyDescent="0.3">
      <c r="A596" t="s">
        <v>52</v>
      </c>
      <c r="B596" t="s">
        <v>51</v>
      </c>
      <c r="C596">
        <v>55000</v>
      </c>
      <c r="D596" t="s">
        <v>34</v>
      </c>
      <c r="E596" t="s">
        <v>20</v>
      </c>
      <c r="F596" t="s">
        <v>40</v>
      </c>
      <c r="G596" s="2" t="s">
        <v>55</v>
      </c>
      <c r="H596" t="s">
        <v>15</v>
      </c>
      <c r="I596" t="s">
        <v>16</v>
      </c>
      <c r="J596" t="s">
        <v>57</v>
      </c>
    </row>
    <row r="597" spans="1:10" x14ac:dyDescent="0.3">
      <c r="A597" t="s">
        <v>67</v>
      </c>
      <c r="B597" t="s">
        <v>63</v>
      </c>
      <c r="C597" t="s">
        <v>58</v>
      </c>
      <c r="D597" t="s">
        <v>34</v>
      </c>
      <c r="E597" t="s">
        <v>20</v>
      </c>
      <c r="F597" t="s">
        <v>14</v>
      </c>
      <c r="G597" s="2" t="s">
        <v>62</v>
      </c>
      <c r="H597" t="s">
        <v>22</v>
      </c>
      <c r="I597" t="s">
        <v>23</v>
      </c>
      <c r="J597" t="s">
        <v>42</v>
      </c>
    </row>
    <row r="598" spans="1:10" x14ac:dyDescent="0.3">
      <c r="A598" t="s">
        <v>65</v>
      </c>
      <c r="B598" t="s">
        <v>51</v>
      </c>
      <c r="C598">
        <v>65000</v>
      </c>
      <c r="D598" t="s">
        <v>19</v>
      </c>
      <c r="E598" t="s">
        <v>30</v>
      </c>
      <c r="F598" t="s">
        <v>21</v>
      </c>
      <c r="G598" s="2" t="s">
        <v>60</v>
      </c>
      <c r="H598" t="s">
        <v>31</v>
      </c>
      <c r="I598" t="s">
        <v>51</v>
      </c>
      <c r="J598" t="s">
        <v>28</v>
      </c>
    </row>
    <row r="599" spans="1:10" x14ac:dyDescent="0.3">
      <c r="A599" t="s">
        <v>67</v>
      </c>
      <c r="B599">
        <v>35</v>
      </c>
      <c r="C599" t="s">
        <v>58</v>
      </c>
      <c r="D599" t="s">
        <v>34</v>
      </c>
      <c r="E599" t="s">
        <v>30</v>
      </c>
      <c r="F599" t="s">
        <v>41</v>
      </c>
      <c r="G599" s="2" t="s">
        <v>62</v>
      </c>
      <c r="H599" t="s">
        <v>27</v>
      </c>
      <c r="J599" t="s">
        <v>51</v>
      </c>
    </row>
    <row r="600" spans="1:10" x14ac:dyDescent="0.3">
      <c r="A600" t="s">
        <v>66</v>
      </c>
      <c r="B600">
        <v>25</v>
      </c>
      <c r="C600">
        <v>65000</v>
      </c>
      <c r="D600" t="s">
        <v>34</v>
      </c>
      <c r="E600" t="s">
        <v>13</v>
      </c>
      <c r="F600" t="s">
        <v>40</v>
      </c>
      <c r="G600" s="2" t="s">
        <v>55</v>
      </c>
      <c r="H600" t="s">
        <v>27</v>
      </c>
      <c r="I600" t="s">
        <v>16</v>
      </c>
      <c r="J600" t="s">
        <v>28</v>
      </c>
    </row>
    <row r="601" spans="1:10" x14ac:dyDescent="0.3">
      <c r="A601" t="s">
        <v>66</v>
      </c>
      <c r="B601" t="s">
        <v>51</v>
      </c>
      <c r="C601">
        <v>70000</v>
      </c>
      <c r="D601" t="s">
        <v>12</v>
      </c>
      <c r="E601" t="s">
        <v>26</v>
      </c>
      <c r="F601" t="s">
        <v>41</v>
      </c>
      <c r="G601" s="2" t="s">
        <v>62</v>
      </c>
      <c r="H601" t="s">
        <v>15</v>
      </c>
      <c r="I601" t="s">
        <v>51</v>
      </c>
      <c r="J601" t="s">
        <v>57</v>
      </c>
    </row>
    <row r="602" spans="1:10" x14ac:dyDescent="0.3">
      <c r="A602" t="s">
        <v>56</v>
      </c>
      <c r="B602">
        <v>50</v>
      </c>
      <c r="C602">
        <v>65000</v>
      </c>
      <c r="D602" t="s">
        <v>12</v>
      </c>
      <c r="E602" t="s">
        <v>30</v>
      </c>
      <c r="F602" t="s">
        <v>14</v>
      </c>
      <c r="G602" s="2" t="s">
        <v>55</v>
      </c>
      <c r="H602" t="s">
        <v>22</v>
      </c>
      <c r="J602" t="s">
        <v>28</v>
      </c>
    </row>
    <row r="603" spans="1:10" x14ac:dyDescent="0.3">
      <c r="A603" t="s">
        <v>64</v>
      </c>
      <c r="B603">
        <v>25</v>
      </c>
      <c r="C603" t="s">
        <v>54</v>
      </c>
      <c r="D603" t="s">
        <v>34</v>
      </c>
      <c r="E603" t="s">
        <v>30</v>
      </c>
      <c r="F603" t="s">
        <v>21</v>
      </c>
      <c r="G603" s="2" t="s">
        <v>55</v>
      </c>
      <c r="H603" t="s">
        <v>38</v>
      </c>
      <c r="I603" t="s">
        <v>32</v>
      </c>
      <c r="J603" t="s">
        <v>51</v>
      </c>
    </row>
    <row r="604" spans="1:10" x14ac:dyDescent="0.3">
      <c r="A604" t="s">
        <v>64</v>
      </c>
      <c r="B604" t="s">
        <v>63</v>
      </c>
      <c r="C604" t="s">
        <v>58</v>
      </c>
      <c r="D604" t="s">
        <v>19</v>
      </c>
      <c r="E604" t="s">
        <v>20</v>
      </c>
      <c r="F604" t="s">
        <v>14</v>
      </c>
      <c r="G604" s="2" t="s">
        <v>62</v>
      </c>
      <c r="H604" t="s">
        <v>22</v>
      </c>
      <c r="I604" t="s">
        <v>32</v>
      </c>
      <c r="J604" t="s">
        <v>28</v>
      </c>
    </row>
    <row r="605" spans="1:10" x14ac:dyDescent="0.3">
      <c r="A605" t="s">
        <v>61</v>
      </c>
      <c r="B605">
        <v>50</v>
      </c>
      <c r="C605">
        <v>50000</v>
      </c>
      <c r="D605" t="s">
        <v>12</v>
      </c>
      <c r="E605" t="s">
        <v>26</v>
      </c>
      <c r="F605" t="s">
        <v>41</v>
      </c>
      <c r="G605" s="2" t="s">
        <v>55</v>
      </c>
      <c r="H605" t="s">
        <v>31</v>
      </c>
      <c r="I605" t="s">
        <v>23</v>
      </c>
      <c r="J605" t="s">
        <v>28</v>
      </c>
    </row>
    <row r="606" spans="1:10" x14ac:dyDescent="0.3">
      <c r="A606" t="s">
        <v>49</v>
      </c>
      <c r="B606">
        <v>25</v>
      </c>
      <c r="C606">
        <v>70000</v>
      </c>
      <c r="D606" t="s">
        <v>34</v>
      </c>
      <c r="E606" t="s">
        <v>13</v>
      </c>
      <c r="F606" t="s">
        <v>21</v>
      </c>
      <c r="G606" s="2">
        <v>43881</v>
      </c>
      <c r="H606" t="s">
        <v>38</v>
      </c>
      <c r="J606" t="s">
        <v>28</v>
      </c>
    </row>
    <row r="607" spans="1:10" x14ac:dyDescent="0.3">
      <c r="A607" t="s">
        <v>67</v>
      </c>
      <c r="B607">
        <v>50</v>
      </c>
      <c r="C607" t="s">
        <v>54</v>
      </c>
      <c r="D607" t="s">
        <v>34</v>
      </c>
      <c r="E607" t="s">
        <v>30</v>
      </c>
      <c r="F607" t="s">
        <v>21</v>
      </c>
      <c r="G607" s="2" t="s">
        <v>55</v>
      </c>
      <c r="H607" t="s">
        <v>27</v>
      </c>
      <c r="I607" t="s">
        <v>32</v>
      </c>
      <c r="J607" t="s">
        <v>28</v>
      </c>
    </row>
    <row r="608" spans="1:10" x14ac:dyDescent="0.3">
      <c r="A608" t="s">
        <v>59</v>
      </c>
      <c r="B608" t="s">
        <v>63</v>
      </c>
      <c r="C608">
        <v>55000</v>
      </c>
      <c r="D608" t="s">
        <v>19</v>
      </c>
      <c r="E608" t="s">
        <v>26</v>
      </c>
      <c r="F608" t="s">
        <v>14</v>
      </c>
      <c r="G608" s="2" t="s">
        <v>50</v>
      </c>
      <c r="H608" t="s">
        <v>15</v>
      </c>
      <c r="I608" t="s">
        <v>32</v>
      </c>
      <c r="J608" t="s">
        <v>24</v>
      </c>
    </row>
    <row r="609" spans="1:10" x14ac:dyDescent="0.3">
      <c r="A609" t="s">
        <v>53</v>
      </c>
      <c r="B609">
        <v>35</v>
      </c>
      <c r="C609" t="s">
        <v>58</v>
      </c>
      <c r="D609" t="s">
        <v>19</v>
      </c>
      <c r="E609" t="s">
        <v>26</v>
      </c>
      <c r="F609" t="s">
        <v>40</v>
      </c>
      <c r="G609" s="2" t="s">
        <v>55</v>
      </c>
      <c r="H609" t="s">
        <v>15</v>
      </c>
      <c r="I609" t="s">
        <v>23</v>
      </c>
      <c r="J609" t="s">
        <v>57</v>
      </c>
    </row>
    <row r="610" spans="1:10" x14ac:dyDescent="0.3">
      <c r="A610" t="s">
        <v>64</v>
      </c>
      <c r="B610" t="s">
        <v>63</v>
      </c>
      <c r="C610">
        <v>50000</v>
      </c>
      <c r="D610" t="s">
        <v>12</v>
      </c>
      <c r="E610" t="s">
        <v>13</v>
      </c>
      <c r="F610" t="s">
        <v>41</v>
      </c>
      <c r="G610" s="2" t="s">
        <v>50</v>
      </c>
      <c r="H610" t="s">
        <v>27</v>
      </c>
      <c r="I610" t="s">
        <v>51</v>
      </c>
      <c r="J610" t="s">
        <v>51</v>
      </c>
    </row>
    <row r="611" spans="1:10" x14ac:dyDescent="0.3">
      <c r="A611" t="s">
        <v>53</v>
      </c>
      <c r="B611" t="s">
        <v>63</v>
      </c>
      <c r="C611">
        <v>65000</v>
      </c>
      <c r="D611" t="s">
        <v>19</v>
      </c>
      <c r="E611" t="s">
        <v>26</v>
      </c>
      <c r="F611" t="s">
        <v>37</v>
      </c>
      <c r="G611" s="2" t="s">
        <v>55</v>
      </c>
      <c r="H611" t="s">
        <v>31</v>
      </c>
      <c r="I611" t="s">
        <v>32</v>
      </c>
      <c r="J611" t="s">
        <v>57</v>
      </c>
    </row>
    <row r="612" spans="1:10" x14ac:dyDescent="0.3">
      <c r="A612" t="s">
        <v>56</v>
      </c>
      <c r="B612">
        <v>50</v>
      </c>
      <c r="C612">
        <v>50000</v>
      </c>
      <c r="D612" t="s">
        <v>34</v>
      </c>
      <c r="E612" t="s">
        <v>26</v>
      </c>
      <c r="F612" t="s">
        <v>37</v>
      </c>
      <c r="G612" s="2" t="s">
        <v>55</v>
      </c>
      <c r="H612" t="s">
        <v>27</v>
      </c>
      <c r="I612" t="s">
        <v>16</v>
      </c>
      <c r="J612" t="s">
        <v>24</v>
      </c>
    </row>
    <row r="613" spans="1:10" x14ac:dyDescent="0.3">
      <c r="A613" t="s">
        <v>53</v>
      </c>
      <c r="B613">
        <v>40</v>
      </c>
      <c r="C613">
        <v>55000</v>
      </c>
      <c r="D613" t="s">
        <v>34</v>
      </c>
      <c r="E613" t="s">
        <v>26</v>
      </c>
      <c r="F613" t="s">
        <v>14</v>
      </c>
      <c r="G613" s="2" t="s">
        <v>62</v>
      </c>
      <c r="H613" t="s">
        <v>31</v>
      </c>
      <c r="I613" t="s">
        <v>16</v>
      </c>
      <c r="J613" t="s">
        <v>24</v>
      </c>
    </row>
    <row r="614" spans="1:10" x14ac:dyDescent="0.3">
      <c r="A614" t="s">
        <v>59</v>
      </c>
      <c r="B614" t="s">
        <v>51</v>
      </c>
      <c r="C614">
        <v>70000</v>
      </c>
      <c r="D614" t="s">
        <v>19</v>
      </c>
      <c r="E614" t="s">
        <v>30</v>
      </c>
      <c r="F614" t="s">
        <v>41</v>
      </c>
      <c r="G614" s="2">
        <v>43881</v>
      </c>
      <c r="H614" t="s">
        <v>38</v>
      </c>
      <c r="I614" t="s">
        <v>51</v>
      </c>
      <c r="J614" t="s">
        <v>24</v>
      </c>
    </row>
    <row r="615" spans="1:10" x14ac:dyDescent="0.3">
      <c r="A615" t="s">
        <v>52</v>
      </c>
      <c r="B615" t="s">
        <v>51</v>
      </c>
      <c r="C615">
        <v>70000</v>
      </c>
      <c r="D615" t="s">
        <v>19</v>
      </c>
      <c r="E615" t="s">
        <v>13</v>
      </c>
      <c r="F615" t="s">
        <v>41</v>
      </c>
      <c r="G615" s="2">
        <v>43881</v>
      </c>
      <c r="H615" t="s">
        <v>27</v>
      </c>
      <c r="J615" t="s">
        <v>24</v>
      </c>
    </row>
    <row r="616" spans="1:10" x14ac:dyDescent="0.3">
      <c r="A616" t="s">
        <v>59</v>
      </c>
      <c r="B616">
        <v>35</v>
      </c>
      <c r="C616" t="s">
        <v>58</v>
      </c>
      <c r="D616" t="s">
        <v>19</v>
      </c>
      <c r="E616" t="s">
        <v>26</v>
      </c>
      <c r="F616" t="s">
        <v>14</v>
      </c>
      <c r="G616" s="2" t="s">
        <v>60</v>
      </c>
      <c r="H616" t="s">
        <v>31</v>
      </c>
      <c r="I616" t="s">
        <v>23</v>
      </c>
      <c r="J616" t="s">
        <v>28</v>
      </c>
    </row>
    <row r="617" spans="1:10" x14ac:dyDescent="0.3">
      <c r="A617" t="s">
        <v>53</v>
      </c>
      <c r="B617">
        <v>35</v>
      </c>
      <c r="C617">
        <v>70000</v>
      </c>
      <c r="D617" t="s">
        <v>19</v>
      </c>
      <c r="E617" t="s">
        <v>26</v>
      </c>
      <c r="F617" t="s">
        <v>41</v>
      </c>
      <c r="G617" s="2" t="s">
        <v>62</v>
      </c>
      <c r="H617" t="s">
        <v>38</v>
      </c>
      <c r="I617" t="s">
        <v>16</v>
      </c>
      <c r="J617" t="s">
        <v>57</v>
      </c>
    </row>
    <row r="618" spans="1:10" x14ac:dyDescent="0.3">
      <c r="A618" t="s">
        <v>59</v>
      </c>
      <c r="B618" t="s">
        <v>51</v>
      </c>
      <c r="C618" t="s">
        <v>58</v>
      </c>
      <c r="D618" t="s">
        <v>12</v>
      </c>
      <c r="E618" t="s">
        <v>30</v>
      </c>
      <c r="F618" t="s">
        <v>40</v>
      </c>
      <c r="G618" s="2" t="s">
        <v>62</v>
      </c>
      <c r="H618" t="s">
        <v>27</v>
      </c>
      <c r="I618" t="s">
        <v>16</v>
      </c>
      <c r="J618" t="s">
        <v>42</v>
      </c>
    </row>
    <row r="619" spans="1:10" x14ac:dyDescent="0.3">
      <c r="A619" t="s">
        <v>65</v>
      </c>
      <c r="B619">
        <v>40</v>
      </c>
      <c r="C619" t="s">
        <v>58</v>
      </c>
      <c r="D619" t="s">
        <v>19</v>
      </c>
      <c r="E619" t="s">
        <v>13</v>
      </c>
      <c r="F619" t="s">
        <v>14</v>
      </c>
      <c r="G619" s="2">
        <v>43881</v>
      </c>
      <c r="H619" t="s">
        <v>15</v>
      </c>
      <c r="I619" t="s">
        <v>51</v>
      </c>
      <c r="J619" t="s">
        <v>51</v>
      </c>
    </row>
    <row r="620" spans="1:10" x14ac:dyDescent="0.3">
      <c r="A620" t="s">
        <v>56</v>
      </c>
      <c r="B620" t="s">
        <v>51</v>
      </c>
      <c r="C620" t="s">
        <v>58</v>
      </c>
      <c r="D620" t="s">
        <v>12</v>
      </c>
      <c r="E620" t="s">
        <v>20</v>
      </c>
      <c r="F620" t="s">
        <v>40</v>
      </c>
      <c r="G620" s="2" t="s">
        <v>62</v>
      </c>
      <c r="H620" t="s">
        <v>27</v>
      </c>
      <c r="J620" t="s">
        <v>24</v>
      </c>
    </row>
    <row r="621" spans="1:10" x14ac:dyDescent="0.3">
      <c r="A621" t="s">
        <v>67</v>
      </c>
      <c r="B621">
        <v>40</v>
      </c>
      <c r="C621">
        <v>65000</v>
      </c>
      <c r="D621" t="s">
        <v>34</v>
      </c>
      <c r="E621" t="s">
        <v>30</v>
      </c>
      <c r="F621" t="s">
        <v>41</v>
      </c>
      <c r="G621" s="2">
        <v>43881</v>
      </c>
      <c r="H621" t="s">
        <v>22</v>
      </c>
      <c r="J621" t="s">
        <v>57</v>
      </c>
    </row>
    <row r="622" spans="1:10" x14ac:dyDescent="0.3">
      <c r="A622" t="s">
        <v>52</v>
      </c>
      <c r="B622">
        <v>35</v>
      </c>
      <c r="C622" t="s">
        <v>54</v>
      </c>
      <c r="D622" t="s">
        <v>19</v>
      </c>
      <c r="E622" t="s">
        <v>13</v>
      </c>
      <c r="F622" t="s">
        <v>14</v>
      </c>
      <c r="G622" s="2" t="s">
        <v>62</v>
      </c>
      <c r="H622" t="s">
        <v>27</v>
      </c>
      <c r="I622" t="s">
        <v>51</v>
      </c>
      <c r="J622" t="s">
        <v>24</v>
      </c>
    </row>
    <row r="623" spans="1:10" x14ac:dyDescent="0.3">
      <c r="A623" t="s">
        <v>64</v>
      </c>
      <c r="B623">
        <v>25</v>
      </c>
      <c r="C623" t="s">
        <v>58</v>
      </c>
      <c r="D623" t="s">
        <v>12</v>
      </c>
      <c r="E623" t="s">
        <v>26</v>
      </c>
      <c r="F623" t="s">
        <v>41</v>
      </c>
      <c r="G623" s="2" t="s">
        <v>55</v>
      </c>
      <c r="H623" t="s">
        <v>22</v>
      </c>
      <c r="I623" t="s">
        <v>16</v>
      </c>
      <c r="J623" t="s">
        <v>24</v>
      </c>
    </row>
    <row r="624" spans="1:10" x14ac:dyDescent="0.3">
      <c r="A624" t="s">
        <v>66</v>
      </c>
      <c r="B624">
        <v>50</v>
      </c>
      <c r="C624" t="s">
        <v>58</v>
      </c>
      <c r="D624" t="s">
        <v>19</v>
      </c>
      <c r="E624" t="s">
        <v>13</v>
      </c>
      <c r="F624" t="s">
        <v>14</v>
      </c>
      <c r="G624" s="2">
        <v>43881</v>
      </c>
      <c r="H624" t="s">
        <v>38</v>
      </c>
      <c r="I624" t="s">
        <v>23</v>
      </c>
      <c r="J624" t="s">
        <v>24</v>
      </c>
    </row>
    <row r="625" spans="1:10" x14ac:dyDescent="0.3">
      <c r="A625" t="s">
        <v>67</v>
      </c>
      <c r="B625">
        <v>35</v>
      </c>
      <c r="C625" t="s">
        <v>54</v>
      </c>
      <c r="D625" t="s">
        <v>34</v>
      </c>
      <c r="E625" t="s">
        <v>13</v>
      </c>
      <c r="F625" t="s">
        <v>41</v>
      </c>
      <c r="G625" s="2">
        <v>43881</v>
      </c>
      <c r="H625" t="s">
        <v>27</v>
      </c>
      <c r="I625" t="s">
        <v>16</v>
      </c>
      <c r="J625" t="s">
        <v>24</v>
      </c>
    </row>
    <row r="626" spans="1:10" x14ac:dyDescent="0.3">
      <c r="A626" t="s">
        <v>66</v>
      </c>
      <c r="B626">
        <v>35</v>
      </c>
      <c r="C626">
        <v>50000</v>
      </c>
      <c r="D626" t="s">
        <v>34</v>
      </c>
      <c r="E626" t="s">
        <v>13</v>
      </c>
      <c r="F626" t="s">
        <v>40</v>
      </c>
      <c r="G626" s="2" t="s">
        <v>50</v>
      </c>
      <c r="H626" t="s">
        <v>38</v>
      </c>
      <c r="J626" t="s">
        <v>24</v>
      </c>
    </row>
    <row r="627" spans="1:10" x14ac:dyDescent="0.3">
      <c r="A627" t="s">
        <v>56</v>
      </c>
      <c r="B627" t="s">
        <v>63</v>
      </c>
      <c r="C627" t="s">
        <v>58</v>
      </c>
      <c r="D627" t="s">
        <v>34</v>
      </c>
      <c r="E627" t="s">
        <v>20</v>
      </c>
      <c r="F627" t="s">
        <v>40</v>
      </c>
      <c r="G627" s="2" t="s">
        <v>62</v>
      </c>
      <c r="H627" t="s">
        <v>38</v>
      </c>
      <c r="I627" t="s">
        <v>16</v>
      </c>
      <c r="J627" t="s">
        <v>51</v>
      </c>
    </row>
    <row r="628" spans="1:10" x14ac:dyDescent="0.3">
      <c r="A628" t="s">
        <v>52</v>
      </c>
      <c r="B628" t="s">
        <v>63</v>
      </c>
      <c r="C628">
        <v>65000</v>
      </c>
      <c r="D628" t="s">
        <v>19</v>
      </c>
      <c r="E628" t="s">
        <v>13</v>
      </c>
      <c r="F628" t="s">
        <v>41</v>
      </c>
      <c r="G628" s="2" t="s">
        <v>62</v>
      </c>
      <c r="H628" t="s">
        <v>31</v>
      </c>
      <c r="I628" t="s">
        <v>23</v>
      </c>
      <c r="J628" t="s">
        <v>57</v>
      </c>
    </row>
    <row r="629" spans="1:10" x14ac:dyDescent="0.3">
      <c r="A629" t="s">
        <v>61</v>
      </c>
      <c r="B629" t="s">
        <v>63</v>
      </c>
      <c r="C629">
        <v>70000</v>
      </c>
      <c r="D629" t="s">
        <v>19</v>
      </c>
      <c r="E629" t="s">
        <v>20</v>
      </c>
      <c r="F629" t="s">
        <v>14</v>
      </c>
      <c r="G629" s="2">
        <v>43881</v>
      </c>
      <c r="H629" t="s">
        <v>38</v>
      </c>
      <c r="I629" t="s">
        <v>32</v>
      </c>
      <c r="J629" t="s">
        <v>24</v>
      </c>
    </row>
    <row r="630" spans="1:10" x14ac:dyDescent="0.3">
      <c r="A630" t="s">
        <v>64</v>
      </c>
      <c r="B630">
        <v>50</v>
      </c>
      <c r="C630">
        <v>70000</v>
      </c>
      <c r="D630" t="s">
        <v>12</v>
      </c>
      <c r="E630" t="s">
        <v>26</v>
      </c>
      <c r="F630" t="s">
        <v>37</v>
      </c>
      <c r="G630" s="2" t="s">
        <v>55</v>
      </c>
      <c r="H630" t="s">
        <v>38</v>
      </c>
      <c r="I630" t="s">
        <v>16</v>
      </c>
      <c r="J630" t="s">
        <v>24</v>
      </c>
    </row>
    <row r="631" spans="1:10" x14ac:dyDescent="0.3">
      <c r="A631" t="s">
        <v>65</v>
      </c>
      <c r="B631" t="s">
        <v>63</v>
      </c>
      <c r="C631">
        <v>55000</v>
      </c>
      <c r="D631" t="s">
        <v>34</v>
      </c>
      <c r="E631" t="s">
        <v>20</v>
      </c>
      <c r="F631" t="s">
        <v>40</v>
      </c>
      <c r="G631" s="2" t="s">
        <v>55</v>
      </c>
      <c r="H631" t="s">
        <v>27</v>
      </c>
      <c r="I631" t="s">
        <v>51</v>
      </c>
      <c r="J631" t="s">
        <v>24</v>
      </c>
    </row>
    <row r="632" spans="1:10" x14ac:dyDescent="0.3">
      <c r="A632" t="s">
        <v>61</v>
      </c>
      <c r="B632">
        <v>40</v>
      </c>
      <c r="C632">
        <v>55000</v>
      </c>
      <c r="D632" t="s">
        <v>19</v>
      </c>
      <c r="E632" t="s">
        <v>26</v>
      </c>
      <c r="F632" t="s">
        <v>40</v>
      </c>
      <c r="G632" s="2" t="s">
        <v>55</v>
      </c>
      <c r="H632" t="s">
        <v>27</v>
      </c>
      <c r="I632" t="s">
        <v>32</v>
      </c>
      <c r="J632" t="s">
        <v>24</v>
      </c>
    </row>
    <row r="633" spans="1:10" x14ac:dyDescent="0.3">
      <c r="A633" t="s">
        <v>56</v>
      </c>
      <c r="B633" t="s">
        <v>51</v>
      </c>
      <c r="C633">
        <v>70000</v>
      </c>
      <c r="D633" t="s">
        <v>34</v>
      </c>
      <c r="E633" t="s">
        <v>26</v>
      </c>
      <c r="F633" t="s">
        <v>37</v>
      </c>
      <c r="G633" s="2" t="s">
        <v>62</v>
      </c>
      <c r="H633" t="s">
        <v>15</v>
      </c>
      <c r="I633" t="s">
        <v>51</v>
      </c>
      <c r="J633" t="s">
        <v>28</v>
      </c>
    </row>
    <row r="634" spans="1:10" x14ac:dyDescent="0.3">
      <c r="A634" t="s">
        <v>67</v>
      </c>
      <c r="B634">
        <v>25</v>
      </c>
      <c r="C634">
        <v>70000</v>
      </c>
      <c r="D634" t="s">
        <v>34</v>
      </c>
      <c r="E634" t="s">
        <v>20</v>
      </c>
      <c r="F634" t="s">
        <v>41</v>
      </c>
      <c r="G634" s="2" t="s">
        <v>50</v>
      </c>
      <c r="H634" t="s">
        <v>31</v>
      </c>
      <c r="I634" t="s">
        <v>51</v>
      </c>
      <c r="J634" t="s">
        <v>28</v>
      </c>
    </row>
    <row r="635" spans="1:10" x14ac:dyDescent="0.3">
      <c r="A635" t="s">
        <v>65</v>
      </c>
      <c r="B635">
        <v>35</v>
      </c>
      <c r="C635">
        <v>65000</v>
      </c>
      <c r="D635" t="s">
        <v>12</v>
      </c>
      <c r="E635" t="s">
        <v>30</v>
      </c>
      <c r="F635" t="s">
        <v>14</v>
      </c>
      <c r="G635" s="2">
        <v>43881</v>
      </c>
      <c r="H635" t="s">
        <v>38</v>
      </c>
      <c r="I635" t="s">
        <v>51</v>
      </c>
      <c r="J635" t="s">
        <v>42</v>
      </c>
    </row>
    <row r="636" spans="1:10" x14ac:dyDescent="0.3">
      <c r="A636" t="s">
        <v>59</v>
      </c>
      <c r="B636">
        <v>40</v>
      </c>
      <c r="C636" t="s">
        <v>54</v>
      </c>
      <c r="D636" t="s">
        <v>12</v>
      </c>
      <c r="E636" t="s">
        <v>35</v>
      </c>
      <c r="F636" t="s">
        <v>41</v>
      </c>
      <c r="G636" s="2" t="s">
        <v>60</v>
      </c>
      <c r="H636" t="s">
        <v>31</v>
      </c>
      <c r="I636" t="s">
        <v>16</v>
      </c>
      <c r="J636" t="s">
        <v>24</v>
      </c>
    </row>
    <row r="637" spans="1:10" x14ac:dyDescent="0.3">
      <c r="A637" t="s">
        <v>53</v>
      </c>
      <c r="B637">
        <v>25</v>
      </c>
      <c r="C637">
        <v>55000</v>
      </c>
      <c r="D637" t="s">
        <v>12</v>
      </c>
      <c r="E637" t="s">
        <v>13</v>
      </c>
      <c r="F637" t="s">
        <v>21</v>
      </c>
      <c r="G637" s="2" t="s">
        <v>50</v>
      </c>
      <c r="H637" t="s">
        <v>22</v>
      </c>
      <c r="J637" t="s">
        <v>42</v>
      </c>
    </row>
    <row r="638" spans="1:10" x14ac:dyDescent="0.3">
      <c r="A638" t="s">
        <v>65</v>
      </c>
      <c r="B638">
        <v>40</v>
      </c>
      <c r="C638" t="s">
        <v>54</v>
      </c>
      <c r="D638" t="s">
        <v>12</v>
      </c>
      <c r="E638" t="s">
        <v>35</v>
      </c>
      <c r="F638" t="s">
        <v>40</v>
      </c>
      <c r="G638" s="2" t="s">
        <v>60</v>
      </c>
      <c r="H638" t="s">
        <v>38</v>
      </c>
      <c r="I638" t="s">
        <v>32</v>
      </c>
      <c r="J638" t="s">
        <v>51</v>
      </c>
    </row>
    <row r="639" spans="1:10" x14ac:dyDescent="0.3">
      <c r="A639" t="s">
        <v>56</v>
      </c>
      <c r="B639">
        <v>40</v>
      </c>
      <c r="C639">
        <v>65000</v>
      </c>
      <c r="D639" t="s">
        <v>34</v>
      </c>
      <c r="E639" t="s">
        <v>13</v>
      </c>
      <c r="F639" t="s">
        <v>21</v>
      </c>
      <c r="G639" s="2" t="s">
        <v>50</v>
      </c>
      <c r="H639" t="s">
        <v>31</v>
      </c>
      <c r="I639" t="s">
        <v>23</v>
      </c>
      <c r="J639" t="s">
        <v>42</v>
      </c>
    </row>
    <row r="640" spans="1:10" x14ac:dyDescent="0.3">
      <c r="A640" t="s">
        <v>49</v>
      </c>
      <c r="B640">
        <v>35</v>
      </c>
      <c r="C640">
        <v>70000</v>
      </c>
      <c r="D640" t="s">
        <v>12</v>
      </c>
      <c r="E640" t="s">
        <v>13</v>
      </c>
      <c r="F640" t="s">
        <v>40</v>
      </c>
      <c r="G640" s="2" t="s">
        <v>55</v>
      </c>
      <c r="H640" t="s">
        <v>15</v>
      </c>
      <c r="J640" t="s">
        <v>57</v>
      </c>
    </row>
    <row r="641" spans="1:10" x14ac:dyDescent="0.3">
      <c r="A641" t="s">
        <v>53</v>
      </c>
      <c r="B641" t="s">
        <v>51</v>
      </c>
      <c r="C641" t="s">
        <v>58</v>
      </c>
      <c r="D641" t="s">
        <v>12</v>
      </c>
      <c r="E641" t="s">
        <v>26</v>
      </c>
      <c r="F641" t="s">
        <v>40</v>
      </c>
      <c r="G641" s="2" t="s">
        <v>62</v>
      </c>
      <c r="H641" t="s">
        <v>15</v>
      </c>
      <c r="I641" t="s">
        <v>16</v>
      </c>
      <c r="J641" t="s">
        <v>28</v>
      </c>
    </row>
    <row r="642" spans="1:10" x14ac:dyDescent="0.3">
      <c r="A642" t="s">
        <v>66</v>
      </c>
      <c r="B642" t="s">
        <v>63</v>
      </c>
      <c r="C642" t="s">
        <v>54</v>
      </c>
      <c r="D642" t="s">
        <v>12</v>
      </c>
      <c r="E642" t="s">
        <v>13</v>
      </c>
      <c r="F642" t="s">
        <v>21</v>
      </c>
      <c r="G642" s="2" t="s">
        <v>60</v>
      </c>
      <c r="H642" t="s">
        <v>38</v>
      </c>
      <c r="I642" t="s">
        <v>51</v>
      </c>
      <c r="J642" t="s">
        <v>28</v>
      </c>
    </row>
    <row r="643" spans="1:10" x14ac:dyDescent="0.3">
      <c r="A643" t="s">
        <v>64</v>
      </c>
      <c r="B643">
        <v>50</v>
      </c>
      <c r="C643">
        <v>70000</v>
      </c>
      <c r="D643" t="s">
        <v>12</v>
      </c>
      <c r="E643" t="s">
        <v>13</v>
      </c>
      <c r="F643" t="s">
        <v>21</v>
      </c>
      <c r="G643" s="2" t="s">
        <v>50</v>
      </c>
      <c r="H643" t="s">
        <v>22</v>
      </c>
      <c r="I643" t="s">
        <v>23</v>
      </c>
      <c r="J643" t="s">
        <v>24</v>
      </c>
    </row>
    <row r="644" spans="1:10" x14ac:dyDescent="0.3">
      <c r="A644" t="s">
        <v>66</v>
      </c>
      <c r="B644" t="s">
        <v>51</v>
      </c>
      <c r="C644">
        <v>70000</v>
      </c>
      <c r="D644" t="s">
        <v>34</v>
      </c>
      <c r="E644" t="s">
        <v>20</v>
      </c>
      <c r="F644" t="s">
        <v>41</v>
      </c>
      <c r="G644" s="2" t="s">
        <v>62</v>
      </c>
      <c r="H644" t="s">
        <v>15</v>
      </c>
      <c r="I644" t="s">
        <v>32</v>
      </c>
      <c r="J644" t="s">
        <v>24</v>
      </c>
    </row>
    <row r="645" spans="1:10" x14ac:dyDescent="0.3">
      <c r="A645" t="s">
        <v>65</v>
      </c>
      <c r="B645">
        <v>50</v>
      </c>
      <c r="C645">
        <v>50000</v>
      </c>
      <c r="D645" t="s">
        <v>12</v>
      </c>
      <c r="E645" t="s">
        <v>35</v>
      </c>
      <c r="F645" t="s">
        <v>21</v>
      </c>
      <c r="G645" s="2" t="s">
        <v>60</v>
      </c>
      <c r="H645" t="s">
        <v>15</v>
      </c>
      <c r="J645" t="s">
        <v>51</v>
      </c>
    </row>
    <row r="646" spans="1:10" x14ac:dyDescent="0.3">
      <c r="A646" t="s">
        <v>66</v>
      </c>
      <c r="B646">
        <v>35</v>
      </c>
      <c r="C646" t="s">
        <v>54</v>
      </c>
      <c r="D646" t="s">
        <v>34</v>
      </c>
      <c r="E646" t="s">
        <v>20</v>
      </c>
      <c r="F646" t="s">
        <v>41</v>
      </c>
      <c r="G646" s="2">
        <v>43881</v>
      </c>
      <c r="H646" t="s">
        <v>22</v>
      </c>
      <c r="J646" t="s">
        <v>51</v>
      </c>
    </row>
    <row r="647" spans="1:10" x14ac:dyDescent="0.3">
      <c r="A647" t="s">
        <v>56</v>
      </c>
      <c r="B647">
        <v>35</v>
      </c>
      <c r="C647" t="s">
        <v>58</v>
      </c>
      <c r="D647" t="s">
        <v>19</v>
      </c>
      <c r="E647" t="s">
        <v>13</v>
      </c>
      <c r="F647" t="s">
        <v>41</v>
      </c>
      <c r="G647" s="2" t="s">
        <v>50</v>
      </c>
      <c r="H647" t="s">
        <v>31</v>
      </c>
      <c r="I647" t="s">
        <v>23</v>
      </c>
      <c r="J647" t="s">
        <v>57</v>
      </c>
    </row>
    <row r="648" spans="1:10" x14ac:dyDescent="0.3">
      <c r="A648" t="s">
        <v>59</v>
      </c>
      <c r="B648">
        <v>35</v>
      </c>
      <c r="C648" t="s">
        <v>54</v>
      </c>
      <c r="D648" t="s">
        <v>34</v>
      </c>
      <c r="E648" t="s">
        <v>26</v>
      </c>
      <c r="F648" t="s">
        <v>41</v>
      </c>
      <c r="G648" s="2">
        <v>43881</v>
      </c>
      <c r="H648" t="s">
        <v>15</v>
      </c>
      <c r="I648" t="s">
        <v>16</v>
      </c>
      <c r="J648" t="s">
        <v>24</v>
      </c>
    </row>
    <row r="649" spans="1:10" x14ac:dyDescent="0.3">
      <c r="A649" t="s">
        <v>67</v>
      </c>
      <c r="B649">
        <v>25</v>
      </c>
      <c r="C649">
        <v>70000</v>
      </c>
      <c r="D649" t="s">
        <v>34</v>
      </c>
      <c r="E649" t="s">
        <v>20</v>
      </c>
      <c r="F649" t="s">
        <v>40</v>
      </c>
      <c r="G649" s="2" t="s">
        <v>55</v>
      </c>
      <c r="H649" t="s">
        <v>27</v>
      </c>
      <c r="I649" t="s">
        <v>32</v>
      </c>
      <c r="J649" t="s">
        <v>24</v>
      </c>
    </row>
    <row r="650" spans="1:10" x14ac:dyDescent="0.3">
      <c r="A650" t="s">
        <v>64</v>
      </c>
      <c r="B650">
        <v>50</v>
      </c>
      <c r="C650" t="s">
        <v>58</v>
      </c>
      <c r="D650" t="s">
        <v>12</v>
      </c>
      <c r="E650" t="s">
        <v>20</v>
      </c>
      <c r="F650" t="s">
        <v>40</v>
      </c>
      <c r="G650" s="2">
        <v>43881</v>
      </c>
      <c r="H650" t="s">
        <v>15</v>
      </c>
      <c r="I650" t="s">
        <v>23</v>
      </c>
      <c r="J650" t="s">
        <v>51</v>
      </c>
    </row>
    <row r="651" spans="1:10" x14ac:dyDescent="0.3">
      <c r="A651" t="s">
        <v>66</v>
      </c>
      <c r="B651" t="s">
        <v>51</v>
      </c>
      <c r="C651">
        <v>65000</v>
      </c>
      <c r="D651" t="s">
        <v>19</v>
      </c>
      <c r="E651" t="s">
        <v>30</v>
      </c>
      <c r="F651" t="s">
        <v>21</v>
      </c>
      <c r="G651" s="2">
        <v>43881</v>
      </c>
      <c r="H651" t="s">
        <v>31</v>
      </c>
      <c r="I651" t="s">
        <v>51</v>
      </c>
      <c r="J651" t="s">
        <v>51</v>
      </c>
    </row>
    <row r="652" spans="1:10" x14ac:dyDescent="0.3">
      <c r="A652" t="s">
        <v>66</v>
      </c>
      <c r="B652" t="s">
        <v>51</v>
      </c>
      <c r="C652">
        <v>50000</v>
      </c>
      <c r="D652" t="s">
        <v>19</v>
      </c>
      <c r="E652" t="s">
        <v>13</v>
      </c>
      <c r="F652" t="s">
        <v>40</v>
      </c>
      <c r="G652" s="2" t="s">
        <v>50</v>
      </c>
      <c r="H652" t="s">
        <v>31</v>
      </c>
      <c r="I652" t="s">
        <v>32</v>
      </c>
      <c r="J652" t="s">
        <v>51</v>
      </c>
    </row>
    <row r="653" spans="1:10" x14ac:dyDescent="0.3">
      <c r="A653" t="s">
        <v>65</v>
      </c>
      <c r="B653">
        <v>40</v>
      </c>
      <c r="C653">
        <v>70000</v>
      </c>
      <c r="D653" t="s">
        <v>19</v>
      </c>
      <c r="E653" t="s">
        <v>26</v>
      </c>
      <c r="F653" t="s">
        <v>21</v>
      </c>
      <c r="G653" s="2" t="s">
        <v>55</v>
      </c>
      <c r="H653" t="s">
        <v>38</v>
      </c>
      <c r="J653" t="s">
        <v>28</v>
      </c>
    </row>
    <row r="654" spans="1:10" x14ac:dyDescent="0.3">
      <c r="A654" t="s">
        <v>67</v>
      </c>
      <c r="B654">
        <v>40</v>
      </c>
      <c r="C654">
        <v>55000</v>
      </c>
      <c r="D654" t="s">
        <v>19</v>
      </c>
      <c r="E654" t="s">
        <v>20</v>
      </c>
      <c r="F654" t="s">
        <v>40</v>
      </c>
      <c r="G654" s="2">
        <v>43881</v>
      </c>
      <c r="H654" t="s">
        <v>27</v>
      </c>
      <c r="I654" t="s">
        <v>23</v>
      </c>
      <c r="J654" t="s">
        <v>42</v>
      </c>
    </row>
    <row r="655" spans="1:10" x14ac:dyDescent="0.3">
      <c r="A655" t="s">
        <v>61</v>
      </c>
      <c r="B655">
        <v>40</v>
      </c>
      <c r="C655">
        <v>55000</v>
      </c>
      <c r="D655" t="s">
        <v>34</v>
      </c>
      <c r="E655" t="s">
        <v>20</v>
      </c>
      <c r="F655" t="s">
        <v>14</v>
      </c>
      <c r="G655" s="2" t="s">
        <v>62</v>
      </c>
      <c r="H655" t="s">
        <v>31</v>
      </c>
      <c r="J655" t="s">
        <v>42</v>
      </c>
    </row>
    <row r="656" spans="1:10" x14ac:dyDescent="0.3">
      <c r="A656" t="s">
        <v>66</v>
      </c>
      <c r="B656">
        <v>35</v>
      </c>
      <c r="C656">
        <v>50000</v>
      </c>
      <c r="D656" t="s">
        <v>19</v>
      </c>
      <c r="E656" t="s">
        <v>26</v>
      </c>
      <c r="F656" t="s">
        <v>14</v>
      </c>
      <c r="G656" s="2" t="s">
        <v>60</v>
      </c>
      <c r="H656" t="s">
        <v>22</v>
      </c>
      <c r="J656" t="s">
        <v>24</v>
      </c>
    </row>
    <row r="657" spans="1:10" x14ac:dyDescent="0.3">
      <c r="A657" t="s">
        <v>56</v>
      </c>
      <c r="B657" t="s">
        <v>51</v>
      </c>
      <c r="C657">
        <v>65000</v>
      </c>
      <c r="D657" t="s">
        <v>34</v>
      </c>
      <c r="E657" t="s">
        <v>13</v>
      </c>
      <c r="F657" t="s">
        <v>21</v>
      </c>
      <c r="G657" s="2">
        <v>43881</v>
      </c>
      <c r="H657" t="s">
        <v>27</v>
      </c>
      <c r="J657" t="s">
        <v>28</v>
      </c>
    </row>
    <row r="658" spans="1:10" x14ac:dyDescent="0.3">
      <c r="A658" t="s">
        <v>49</v>
      </c>
      <c r="B658">
        <v>50</v>
      </c>
      <c r="C658">
        <v>70000</v>
      </c>
      <c r="D658" t="s">
        <v>34</v>
      </c>
      <c r="E658" t="s">
        <v>30</v>
      </c>
      <c r="F658" t="s">
        <v>40</v>
      </c>
      <c r="G658" s="2" t="s">
        <v>55</v>
      </c>
      <c r="H658" t="s">
        <v>27</v>
      </c>
      <c r="I658" t="s">
        <v>16</v>
      </c>
      <c r="J658" t="s">
        <v>51</v>
      </c>
    </row>
    <row r="659" spans="1:10" x14ac:dyDescent="0.3">
      <c r="A659" t="s">
        <v>64</v>
      </c>
      <c r="B659">
        <v>35</v>
      </c>
      <c r="C659" t="s">
        <v>54</v>
      </c>
      <c r="D659" t="s">
        <v>34</v>
      </c>
      <c r="E659" t="s">
        <v>20</v>
      </c>
      <c r="F659" t="s">
        <v>40</v>
      </c>
      <c r="G659" s="2">
        <v>43881</v>
      </c>
      <c r="H659" t="s">
        <v>22</v>
      </c>
      <c r="J659" t="s">
        <v>24</v>
      </c>
    </row>
    <row r="660" spans="1:10" x14ac:dyDescent="0.3">
      <c r="A660" t="s">
        <v>66</v>
      </c>
      <c r="B660">
        <v>25</v>
      </c>
      <c r="C660">
        <v>50000</v>
      </c>
      <c r="D660" t="s">
        <v>19</v>
      </c>
      <c r="E660" t="s">
        <v>30</v>
      </c>
      <c r="F660" t="s">
        <v>41</v>
      </c>
      <c r="G660" s="2" t="s">
        <v>60</v>
      </c>
      <c r="H660" t="s">
        <v>15</v>
      </c>
      <c r="I660" t="s">
        <v>51</v>
      </c>
      <c r="J660" t="s">
        <v>28</v>
      </c>
    </row>
    <row r="661" spans="1:10" x14ac:dyDescent="0.3">
      <c r="A661" t="s">
        <v>56</v>
      </c>
      <c r="B661">
        <v>40</v>
      </c>
      <c r="C661">
        <v>65000</v>
      </c>
      <c r="D661" t="s">
        <v>12</v>
      </c>
      <c r="E661" t="s">
        <v>35</v>
      </c>
      <c r="F661" t="s">
        <v>37</v>
      </c>
      <c r="G661" s="2" t="s">
        <v>55</v>
      </c>
      <c r="H661" t="s">
        <v>22</v>
      </c>
      <c r="I661" t="s">
        <v>51</v>
      </c>
      <c r="J661" t="s">
        <v>57</v>
      </c>
    </row>
    <row r="662" spans="1:10" x14ac:dyDescent="0.3">
      <c r="A662" t="s">
        <v>56</v>
      </c>
      <c r="B662">
        <v>35</v>
      </c>
      <c r="C662" t="s">
        <v>54</v>
      </c>
      <c r="D662" t="s">
        <v>12</v>
      </c>
      <c r="E662" t="s">
        <v>13</v>
      </c>
      <c r="F662" t="s">
        <v>21</v>
      </c>
      <c r="G662" s="2" t="s">
        <v>50</v>
      </c>
      <c r="H662" t="s">
        <v>22</v>
      </c>
      <c r="I662" t="s">
        <v>32</v>
      </c>
      <c r="J662" t="s">
        <v>28</v>
      </c>
    </row>
    <row r="663" spans="1:10" x14ac:dyDescent="0.3">
      <c r="A663" t="s">
        <v>64</v>
      </c>
      <c r="B663">
        <v>35</v>
      </c>
      <c r="C663">
        <v>55000</v>
      </c>
      <c r="D663" t="s">
        <v>19</v>
      </c>
      <c r="E663" t="s">
        <v>35</v>
      </c>
      <c r="F663" t="s">
        <v>37</v>
      </c>
      <c r="G663" s="2" t="s">
        <v>55</v>
      </c>
      <c r="H663" t="s">
        <v>15</v>
      </c>
      <c r="J663" t="s">
        <v>24</v>
      </c>
    </row>
    <row r="664" spans="1:10" x14ac:dyDescent="0.3">
      <c r="A664" t="s">
        <v>61</v>
      </c>
      <c r="B664">
        <v>25</v>
      </c>
      <c r="C664">
        <v>55000</v>
      </c>
      <c r="D664" t="s">
        <v>12</v>
      </c>
      <c r="E664" t="s">
        <v>35</v>
      </c>
      <c r="F664" t="s">
        <v>37</v>
      </c>
      <c r="G664" s="2" t="s">
        <v>50</v>
      </c>
      <c r="H664" t="s">
        <v>15</v>
      </c>
      <c r="J664" t="s">
        <v>42</v>
      </c>
    </row>
    <row r="665" spans="1:10" x14ac:dyDescent="0.3">
      <c r="A665" t="s">
        <v>56</v>
      </c>
      <c r="B665" t="s">
        <v>63</v>
      </c>
      <c r="C665" t="s">
        <v>54</v>
      </c>
      <c r="D665" t="s">
        <v>12</v>
      </c>
      <c r="E665" t="s">
        <v>35</v>
      </c>
      <c r="F665" t="s">
        <v>21</v>
      </c>
      <c r="G665" s="2" t="s">
        <v>55</v>
      </c>
      <c r="H665" t="s">
        <v>15</v>
      </c>
      <c r="I665" t="s">
        <v>23</v>
      </c>
      <c r="J665" t="s">
        <v>51</v>
      </c>
    </row>
    <row r="666" spans="1:10" x14ac:dyDescent="0.3">
      <c r="A666" t="s">
        <v>49</v>
      </c>
      <c r="B666" t="s">
        <v>51</v>
      </c>
      <c r="C666">
        <v>50000</v>
      </c>
      <c r="D666" t="s">
        <v>34</v>
      </c>
      <c r="E666" t="s">
        <v>13</v>
      </c>
      <c r="F666" t="s">
        <v>40</v>
      </c>
      <c r="G666" s="2" t="s">
        <v>60</v>
      </c>
      <c r="H666" t="s">
        <v>15</v>
      </c>
      <c r="I666" t="s">
        <v>16</v>
      </c>
      <c r="J666" t="s">
        <v>57</v>
      </c>
    </row>
    <row r="667" spans="1:10" x14ac:dyDescent="0.3">
      <c r="A667" t="s">
        <v>56</v>
      </c>
      <c r="B667">
        <v>50</v>
      </c>
      <c r="C667">
        <v>55000</v>
      </c>
      <c r="D667" t="s">
        <v>34</v>
      </c>
      <c r="E667" t="s">
        <v>13</v>
      </c>
      <c r="F667" t="s">
        <v>21</v>
      </c>
      <c r="G667" s="2" t="s">
        <v>60</v>
      </c>
      <c r="H667" t="s">
        <v>15</v>
      </c>
      <c r="I667" t="s">
        <v>32</v>
      </c>
      <c r="J667" t="s">
        <v>28</v>
      </c>
    </row>
    <row r="668" spans="1:10" x14ac:dyDescent="0.3">
      <c r="A668" t="s">
        <v>56</v>
      </c>
      <c r="B668" t="s">
        <v>63</v>
      </c>
      <c r="C668">
        <v>70000</v>
      </c>
      <c r="D668" t="s">
        <v>19</v>
      </c>
      <c r="E668" t="s">
        <v>26</v>
      </c>
      <c r="F668" t="s">
        <v>37</v>
      </c>
      <c r="G668" s="2" t="s">
        <v>55</v>
      </c>
      <c r="H668" t="s">
        <v>22</v>
      </c>
      <c r="J668" t="s">
        <v>24</v>
      </c>
    </row>
    <row r="669" spans="1:10" x14ac:dyDescent="0.3">
      <c r="A669" t="s">
        <v>56</v>
      </c>
      <c r="B669">
        <v>40</v>
      </c>
      <c r="C669" t="s">
        <v>58</v>
      </c>
      <c r="D669" t="s">
        <v>19</v>
      </c>
      <c r="E669" t="s">
        <v>30</v>
      </c>
      <c r="F669" t="s">
        <v>40</v>
      </c>
      <c r="G669" s="2">
        <v>43881</v>
      </c>
      <c r="H669" t="s">
        <v>38</v>
      </c>
      <c r="I669" t="s">
        <v>23</v>
      </c>
      <c r="J669" t="s">
        <v>24</v>
      </c>
    </row>
    <row r="670" spans="1:10" x14ac:dyDescent="0.3">
      <c r="A670" t="s">
        <v>59</v>
      </c>
      <c r="B670">
        <v>35</v>
      </c>
      <c r="C670" t="s">
        <v>54</v>
      </c>
      <c r="D670" t="s">
        <v>12</v>
      </c>
      <c r="E670" t="s">
        <v>30</v>
      </c>
      <c r="F670" t="s">
        <v>14</v>
      </c>
      <c r="G670" s="2" t="s">
        <v>60</v>
      </c>
      <c r="H670" t="s">
        <v>38</v>
      </c>
      <c r="I670" t="s">
        <v>16</v>
      </c>
      <c r="J670" t="s">
        <v>51</v>
      </c>
    </row>
    <row r="671" spans="1:10" x14ac:dyDescent="0.3">
      <c r="A671" t="s">
        <v>59</v>
      </c>
      <c r="B671">
        <v>25</v>
      </c>
      <c r="C671" t="s">
        <v>54</v>
      </c>
      <c r="D671" t="s">
        <v>34</v>
      </c>
      <c r="E671" t="s">
        <v>26</v>
      </c>
      <c r="F671" t="s">
        <v>21</v>
      </c>
      <c r="G671" s="2" t="s">
        <v>50</v>
      </c>
      <c r="H671" t="s">
        <v>31</v>
      </c>
      <c r="I671" t="s">
        <v>32</v>
      </c>
      <c r="J671" t="s">
        <v>24</v>
      </c>
    </row>
    <row r="672" spans="1:10" x14ac:dyDescent="0.3">
      <c r="A672" t="s">
        <v>61</v>
      </c>
      <c r="B672">
        <v>25</v>
      </c>
      <c r="C672">
        <v>55000</v>
      </c>
      <c r="D672" t="s">
        <v>19</v>
      </c>
      <c r="E672" t="s">
        <v>26</v>
      </c>
      <c r="F672" t="s">
        <v>21</v>
      </c>
      <c r="G672" s="2" t="s">
        <v>50</v>
      </c>
      <c r="H672" t="s">
        <v>38</v>
      </c>
      <c r="I672" t="s">
        <v>32</v>
      </c>
      <c r="J672" t="s">
        <v>24</v>
      </c>
    </row>
    <row r="673" spans="1:10" x14ac:dyDescent="0.3">
      <c r="A673" t="s">
        <v>66</v>
      </c>
      <c r="B673" t="s">
        <v>51</v>
      </c>
      <c r="C673">
        <v>50000</v>
      </c>
      <c r="D673" t="s">
        <v>19</v>
      </c>
      <c r="E673" t="s">
        <v>35</v>
      </c>
      <c r="F673" t="s">
        <v>40</v>
      </c>
      <c r="G673" s="2" t="s">
        <v>62</v>
      </c>
      <c r="H673" t="s">
        <v>38</v>
      </c>
      <c r="J673" t="s">
        <v>51</v>
      </c>
    </row>
    <row r="674" spans="1:10" x14ac:dyDescent="0.3">
      <c r="A674" t="s">
        <v>56</v>
      </c>
      <c r="B674" t="s">
        <v>63</v>
      </c>
      <c r="C674">
        <v>70000</v>
      </c>
      <c r="D674" t="s">
        <v>19</v>
      </c>
      <c r="E674" t="s">
        <v>26</v>
      </c>
      <c r="F674" t="s">
        <v>14</v>
      </c>
      <c r="G674" s="2" t="s">
        <v>50</v>
      </c>
      <c r="H674" t="s">
        <v>22</v>
      </c>
      <c r="I674" t="s">
        <v>32</v>
      </c>
      <c r="J674" t="s">
        <v>57</v>
      </c>
    </row>
    <row r="675" spans="1:10" x14ac:dyDescent="0.3">
      <c r="A675" t="s">
        <v>67</v>
      </c>
      <c r="B675" t="s">
        <v>51</v>
      </c>
      <c r="C675">
        <v>50000</v>
      </c>
      <c r="D675" t="s">
        <v>19</v>
      </c>
      <c r="E675" t="s">
        <v>20</v>
      </c>
      <c r="F675" t="s">
        <v>14</v>
      </c>
      <c r="G675" s="2" t="s">
        <v>62</v>
      </c>
      <c r="H675" t="s">
        <v>15</v>
      </c>
      <c r="I675" t="s">
        <v>23</v>
      </c>
      <c r="J675" t="s">
        <v>42</v>
      </c>
    </row>
    <row r="676" spans="1:10" x14ac:dyDescent="0.3">
      <c r="A676" t="s">
        <v>66</v>
      </c>
      <c r="B676">
        <v>35</v>
      </c>
      <c r="C676">
        <v>65000</v>
      </c>
      <c r="D676" t="s">
        <v>19</v>
      </c>
      <c r="E676" t="s">
        <v>30</v>
      </c>
      <c r="F676" t="s">
        <v>40</v>
      </c>
      <c r="G676" s="2" t="s">
        <v>55</v>
      </c>
      <c r="H676" t="s">
        <v>15</v>
      </c>
      <c r="I676" t="s">
        <v>32</v>
      </c>
      <c r="J676" t="s">
        <v>42</v>
      </c>
    </row>
    <row r="677" spans="1:10" x14ac:dyDescent="0.3">
      <c r="A677" t="s">
        <v>61</v>
      </c>
      <c r="B677" t="s">
        <v>51</v>
      </c>
      <c r="C677">
        <v>65000</v>
      </c>
      <c r="D677" t="s">
        <v>19</v>
      </c>
      <c r="E677" t="s">
        <v>26</v>
      </c>
      <c r="F677" t="s">
        <v>41</v>
      </c>
      <c r="G677" s="2" t="s">
        <v>55</v>
      </c>
      <c r="H677" t="s">
        <v>22</v>
      </c>
      <c r="I677" t="s">
        <v>51</v>
      </c>
      <c r="J677" t="s">
        <v>28</v>
      </c>
    </row>
    <row r="678" spans="1:10" x14ac:dyDescent="0.3">
      <c r="A678" t="s">
        <v>52</v>
      </c>
      <c r="B678">
        <v>50</v>
      </c>
      <c r="C678" t="s">
        <v>58</v>
      </c>
      <c r="D678" t="s">
        <v>12</v>
      </c>
      <c r="E678" t="s">
        <v>20</v>
      </c>
      <c r="F678" t="s">
        <v>21</v>
      </c>
      <c r="G678" s="2" t="s">
        <v>55</v>
      </c>
      <c r="H678" t="s">
        <v>38</v>
      </c>
      <c r="I678" t="s">
        <v>23</v>
      </c>
      <c r="J678" t="s">
        <v>57</v>
      </c>
    </row>
    <row r="679" spans="1:10" x14ac:dyDescent="0.3">
      <c r="A679" t="s">
        <v>66</v>
      </c>
      <c r="B679">
        <v>25</v>
      </c>
      <c r="C679">
        <v>55000</v>
      </c>
      <c r="D679" t="s">
        <v>34</v>
      </c>
      <c r="E679" t="s">
        <v>20</v>
      </c>
      <c r="F679" t="s">
        <v>21</v>
      </c>
      <c r="G679" s="2">
        <v>43881</v>
      </c>
      <c r="H679" t="s">
        <v>22</v>
      </c>
      <c r="I679" t="s">
        <v>16</v>
      </c>
      <c r="J679" t="s">
        <v>28</v>
      </c>
    </row>
    <row r="680" spans="1:10" x14ac:dyDescent="0.3">
      <c r="A680" t="s">
        <v>66</v>
      </c>
      <c r="B680">
        <v>25</v>
      </c>
      <c r="C680">
        <v>55000</v>
      </c>
      <c r="D680" t="s">
        <v>34</v>
      </c>
      <c r="E680" t="s">
        <v>20</v>
      </c>
      <c r="F680" t="s">
        <v>37</v>
      </c>
      <c r="G680" s="2">
        <v>43881</v>
      </c>
      <c r="H680" t="s">
        <v>31</v>
      </c>
      <c r="I680" t="s">
        <v>16</v>
      </c>
      <c r="J680" t="s">
        <v>42</v>
      </c>
    </row>
    <row r="681" spans="1:10" x14ac:dyDescent="0.3">
      <c r="A681" t="s">
        <v>53</v>
      </c>
      <c r="B681">
        <v>40</v>
      </c>
      <c r="C681">
        <v>55000</v>
      </c>
      <c r="D681" t="s">
        <v>19</v>
      </c>
      <c r="E681" t="s">
        <v>20</v>
      </c>
      <c r="F681" t="s">
        <v>40</v>
      </c>
      <c r="G681" s="2" t="s">
        <v>62</v>
      </c>
      <c r="H681" t="s">
        <v>15</v>
      </c>
      <c r="J681" t="s">
        <v>51</v>
      </c>
    </row>
    <row r="682" spans="1:10" x14ac:dyDescent="0.3">
      <c r="A682" t="s">
        <v>65</v>
      </c>
      <c r="B682">
        <v>40</v>
      </c>
      <c r="C682" t="s">
        <v>58</v>
      </c>
      <c r="D682" t="s">
        <v>34</v>
      </c>
      <c r="E682" t="s">
        <v>35</v>
      </c>
      <c r="F682" t="s">
        <v>37</v>
      </c>
      <c r="G682" s="2" t="s">
        <v>50</v>
      </c>
      <c r="H682" t="s">
        <v>27</v>
      </c>
      <c r="J682" t="s">
        <v>24</v>
      </c>
    </row>
    <row r="683" spans="1:10" x14ac:dyDescent="0.3">
      <c r="A683" t="s">
        <v>53</v>
      </c>
      <c r="B683">
        <v>35</v>
      </c>
      <c r="C683">
        <v>65000</v>
      </c>
      <c r="D683" t="s">
        <v>34</v>
      </c>
      <c r="E683" t="s">
        <v>20</v>
      </c>
      <c r="F683" t="s">
        <v>37</v>
      </c>
      <c r="G683" s="2" t="s">
        <v>50</v>
      </c>
      <c r="H683" t="s">
        <v>31</v>
      </c>
      <c r="I683" t="s">
        <v>51</v>
      </c>
      <c r="J683" t="s">
        <v>42</v>
      </c>
    </row>
    <row r="684" spans="1:10" x14ac:dyDescent="0.3">
      <c r="A684" t="s">
        <v>49</v>
      </c>
      <c r="B684">
        <v>50</v>
      </c>
      <c r="C684">
        <v>50000</v>
      </c>
      <c r="D684" t="s">
        <v>34</v>
      </c>
      <c r="E684" t="s">
        <v>35</v>
      </c>
      <c r="F684" t="s">
        <v>14</v>
      </c>
      <c r="G684" s="2" t="s">
        <v>55</v>
      </c>
      <c r="H684" t="s">
        <v>31</v>
      </c>
      <c r="I684" t="s">
        <v>16</v>
      </c>
      <c r="J684" t="s">
        <v>57</v>
      </c>
    </row>
    <row r="685" spans="1:10" x14ac:dyDescent="0.3">
      <c r="A685" t="s">
        <v>59</v>
      </c>
      <c r="B685" t="s">
        <v>63</v>
      </c>
      <c r="C685" t="s">
        <v>58</v>
      </c>
      <c r="D685" t="s">
        <v>19</v>
      </c>
      <c r="E685" t="s">
        <v>35</v>
      </c>
      <c r="F685" t="s">
        <v>21</v>
      </c>
      <c r="G685" s="2" t="s">
        <v>60</v>
      </c>
      <c r="H685" t="s">
        <v>22</v>
      </c>
      <c r="I685" t="s">
        <v>16</v>
      </c>
      <c r="J685" t="s">
        <v>42</v>
      </c>
    </row>
    <row r="686" spans="1:10" x14ac:dyDescent="0.3">
      <c r="A686" t="s">
        <v>59</v>
      </c>
      <c r="B686" t="s">
        <v>51</v>
      </c>
      <c r="C686" t="s">
        <v>58</v>
      </c>
      <c r="D686" t="s">
        <v>19</v>
      </c>
      <c r="E686" t="s">
        <v>20</v>
      </c>
      <c r="F686" t="s">
        <v>37</v>
      </c>
      <c r="G686" s="2">
        <v>43881</v>
      </c>
      <c r="H686" t="s">
        <v>38</v>
      </c>
      <c r="I686" t="s">
        <v>16</v>
      </c>
      <c r="J686" t="s">
        <v>57</v>
      </c>
    </row>
    <row r="687" spans="1:10" x14ac:dyDescent="0.3">
      <c r="A687" t="s">
        <v>65</v>
      </c>
      <c r="B687">
        <v>35</v>
      </c>
      <c r="C687">
        <v>50000</v>
      </c>
      <c r="D687" t="s">
        <v>34</v>
      </c>
      <c r="E687" t="s">
        <v>30</v>
      </c>
      <c r="F687" t="s">
        <v>14</v>
      </c>
      <c r="G687" s="2">
        <v>43881</v>
      </c>
      <c r="H687" t="s">
        <v>15</v>
      </c>
      <c r="I687" t="s">
        <v>16</v>
      </c>
      <c r="J687" t="s">
        <v>57</v>
      </c>
    </row>
    <row r="688" spans="1:10" x14ac:dyDescent="0.3">
      <c r="A688" t="s">
        <v>64</v>
      </c>
      <c r="B688">
        <v>40</v>
      </c>
      <c r="C688">
        <v>55000</v>
      </c>
      <c r="D688" t="s">
        <v>34</v>
      </c>
      <c r="E688" t="s">
        <v>20</v>
      </c>
      <c r="F688" t="s">
        <v>40</v>
      </c>
      <c r="G688" s="2" t="s">
        <v>55</v>
      </c>
      <c r="H688" t="s">
        <v>27</v>
      </c>
      <c r="I688" t="s">
        <v>32</v>
      </c>
      <c r="J688" t="s">
        <v>57</v>
      </c>
    </row>
    <row r="689" spans="1:10" x14ac:dyDescent="0.3">
      <c r="A689" t="s">
        <v>64</v>
      </c>
      <c r="B689" t="s">
        <v>51</v>
      </c>
      <c r="C689">
        <v>70000</v>
      </c>
      <c r="D689" t="s">
        <v>19</v>
      </c>
      <c r="E689" t="s">
        <v>20</v>
      </c>
      <c r="F689" t="s">
        <v>37</v>
      </c>
      <c r="G689" s="2">
        <v>43881</v>
      </c>
      <c r="H689" t="s">
        <v>31</v>
      </c>
      <c r="I689" t="s">
        <v>23</v>
      </c>
      <c r="J689" t="s">
        <v>28</v>
      </c>
    </row>
    <row r="690" spans="1:10" x14ac:dyDescent="0.3">
      <c r="A690" t="s">
        <v>61</v>
      </c>
      <c r="B690">
        <v>40</v>
      </c>
      <c r="C690">
        <v>50000</v>
      </c>
      <c r="D690" t="s">
        <v>12</v>
      </c>
      <c r="E690" t="s">
        <v>20</v>
      </c>
      <c r="F690" t="s">
        <v>21</v>
      </c>
      <c r="G690" s="2" t="s">
        <v>55</v>
      </c>
      <c r="H690" t="s">
        <v>27</v>
      </c>
      <c r="I690" t="s">
        <v>23</v>
      </c>
      <c r="J690" t="s">
        <v>51</v>
      </c>
    </row>
    <row r="691" spans="1:10" x14ac:dyDescent="0.3">
      <c r="A691" t="s">
        <v>65</v>
      </c>
      <c r="B691" t="s">
        <v>51</v>
      </c>
      <c r="C691">
        <v>65000</v>
      </c>
      <c r="D691" t="s">
        <v>34</v>
      </c>
      <c r="E691" t="s">
        <v>30</v>
      </c>
      <c r="F691" t="s">
        <v>37</v>
      </c>
      <c r="G691" s="2" t="s">
        <v>62</v>
      </c>
      <c r="H691" t="s">
        <v>38</v>
      </c>
      <c r="I691" t="s">
        <v>51</v>
      </c>
      <c r="J691" t="s">
        <v>42</v>
      </c>
    </row>
    <row r="692" spans="1:10" x14ac:dyDescent="0.3">
      <c r="A692" t="s">
        <v>66</v>
      </c>
      <c r="B692" t="s">
        <v>63</v>
      </c>
      <c r="C692" t="s">
        <v>54</v>
      </c>
      <c r="D692" t="s">
        <v>12</v>
      </c>
      <c r="E692" t="s">
        <v>13</v>
      </c>
      <c r="F692" t="s">
        <v>40</v>
      </c>
      <c r="G692" s="2" t="s">
        <v>50</v>
      </c>
      <c r="H692" t="s">
        <v>38</v>
      </c>
      <c r="I692" t="s">
        <v>32</v>
      </c>
      <c r="J692" t="s">
        <v>51</v>
      </c>
    </row>
    <row r="693" spans="1:10" x14ac:dyDescent="0.3">
      <c r="A693" t="s">
        <v>64</v>
      </c>
      <c r="B693">
        <v>35</v>
      </c>
      <c r="C693" t="s">
        <v>54</v>
      </c>
      <c r="D693" t="s">
        <v>34</v>
      </c>
      <c r="E693" t="s">
        <v>13</v>
      </c>
      <c r="F693" t="s">
        <v>37</v>
      </c>
      <c r="G693" s="2" t="s">
        <v>60</v>
      </c>
      <c r="H693" t="s">
        <v>27</v>
      </c>
      <c r="I693" t="s">
        <v>16</v>
      </c>
      <c r="J693" t="s">
        <v>24</v>
      </c>
    </row>
    <row r="694" spans="1:10" x14ac:dyDescent="0.3">
      <c r="A694" t="s">
        <v>56</v>
      </c>
      <c r="B694" t="s">
        <v>51</v>
      </c>
      <c r="C694" t="s">
        <v>58</v>
      </c>
      <c r="D694" t="s">
        <v>12</v>
      </c>
      <c r="E694" t="s">
        <v>35</v>
      </c>
      <c r="F694" t="s">
        <v>21</v>
      </c>
      <c r="G694" s="2" t="s">
        <v>50</v>
      </c>
      <c r="H694" t="s">
        <v>15</v>
      </c>
      <c r="I694" t="s">
        <v>16</v>
      </c>
      <c r="J694" t="s">
        <v>42</v>
      </c>
    </row>
    <row r="695" spans="1:10" x14ac:dyDescent="0.3">
      <c r="A695" t="s">
        <v>67</v>
      </c>
      <c r="B695">
        <v>50</v>
      </c>
      <c r="C695" t="s">
        <v>54</v>
      </c>
      <c r="D695" t="s">
        <v>12</v>
      </c>
      <c r="E695" t="s">
        <v>35</v>
      </c>
      <c r="F695" t="s">
        <v>14</v>
      </c>
      <c r="G695" s="2" t="s">
        <v>50</v>
      </c>
      <c r="H695" t="s">
        <v>38</v>
      </c>
      <c r="J695" t="s">
        <v>51</v>
      </c>
    </row>
    <row r="696" spans="1:10" x14ac:dyDescent="0.3">
      <c r="A696" t="s">
        <v>66</v>
      </c>
      <c r="B696">
        <v>25</v>
      </c>
      <c r="C696">
        <v>70000</v>
      </c>
      <c r="D696" t="s">
        <v>12</v>
      </c>
      <c r="E696" t="s">
        <v>30</v>
      </c>
      <c r="F696" t="s">
        <v>21</v>
      </c>
      <c r="G696" s="2" t="s">
        <v>62</v>
      </c>
      <c r="H696" t="s">
        <v>27</v>
      </c>
      <c r="J696" t="s">
        <v>51</v>
      </c>
    </row>
    <row r="697" spans="1:10" x14ac:dyDescent="0.3">
      <c r="A697" t="s">
        <v>49</v>
      </c>
      <c r="B697">
        <v>50</v>
      </c>
      <c r="C697">
        <v>55000</v>
      </c>
      <c r="D697" t="s">
        <v>19</v>
      </c>
      <c r="E697" t="s">
        <v>26</v>
      </c>
      <c r="F697" t="s">
        <v>14</v>
      </c>
      <c r="G697" s="2">
        <v>43881</v>
      </c>
      <c r="H697" t="s">
        <v>31</v>
      </c>
      <c r="I697" t="s">
        <v>51</v>
      </c>
      <c r="J697" t="s">
        <v>24</v>
      </c>
    </row>
    <row r="698" spans="1:10" x14ac:dyDescent="0.3">
      <c r="A698" t="s">
        <v>56</v>
      </c>
      <c r="B698">
        <v>50</v>
      </c>
      <c r="C698">
        <v>65000</v>
      </c>
      <c r="D698" t="s">
        <v>12</v>
      </c>
      <c r="E698" t="s">
        <v>13</v>
      </c>
      <c r="F698" t="s">
        <v>41</v>
      </c>
      <c r="G698" s="2" t="s">
        <v>60</v>
      </c>
      <c r="H698" t="s">
        <v>27</v>
      </c>
      <c r="I698" t="s">
        <v>16</v>
      </c>
      <c r="J698" t="s">
        <v>57</v>
      </c>
    </row>
    <row r="699" spans="1:10" x14ac:dyDescent="0.3">
      <c r="A699" t="s">
        <v>56</v>
      </c>
      <c r="B699">
        <v>25</v>
      </c>
      <c r="C699">
        <v>70000</v>
      </c>
      <c r="D699" t="s">
        <v>12</v>
      </c>
      <c r="E699" t="s">
        <v>35</v>
      </c>
      <c r="F699" t="s">
        <v>21</v>
      </c>
      <c r="G699" s="2">
        <v>43881</v>
      </c>
      <c r="H699" t="s">
        <v>27</v>
      </c>
      <c r="I699" t="s">
        <v>51</v>
      </c>
      <c r="J699" t="s">
        <v>42</v>
      </c>
    </row>
    <row r="700" spans="1:10" x14ac:dyDescent="0.3">
      <c r="A700" t="s">
        <v>65</v>
      </c>
      <c r="B700">
        <v>50</v>
      </c>
      <c r="C700">
        <v>65000</v>
      </c>
      <c r="D700" t="s">
        <v>12</v>
      </c>
      <c r="E700" t="s">
        <v>13</v>
      </c>
      <c r="F700" t="s">
        <v>21</v>
      </c>
      <c r="G700" s="2" t="s">
        <v>50</v>
      </c>
      <c r="H700" t="s">
        <v>22</v>
      </c>
      <c r="I700" t="s">
        <v>32</v>
      </c>
      <c r="J700" t="s">
        <v>42</v>
      </c>
    </row>
    <row r="701" spans="1:10" x14ac:dyDescent="0.3">
      <c r="A701" t="s">
        <v>61</v>
      </c>
      <c r="B701" t="s">
        <v>51</v>
      </c>
      <c r="C701">
        <v>65000</v>
      </c>
      <c r="D701" t="s">
        <v>34</v>
      </c>
      <c r="E701" t="s">
        <v>30</v>
      </c>
      <c r="F701" t="s">
        <v>40</v>
      </c>
      <c r="G701" s="2" t="s">
        <v>55</v>
      </c>
      <c r="H701" t="s">
        <v>38</v>
      </c>
      <c r="I701" t="s">
        <v>23</v>
      </c>
      <c r="J701" t="s">
        <v>24</v>
      </c>
    </row>
    <row r="702" spans="1:10" x14ac:dyDescent="0.3">
      <c r="A702" t="s">
        <v>49</v>
      </c>
      <c r="B702" t="s">
        <v>51</v>
      </c>
      <c r="C702">
        <v>55000</v>
      </c>
      <c r="D702" t="s">
        <v>12</v>
      </c>
      <c r="E702" t="s">
        <v>30</v>
      </c>
      <c r="F702" t="s">
        <v>37</v>
      </c>
      <c r="G702" s="2" t="s">
        <v>50</v>
      </c>
      <c r="H702" t="s">
        <v>15</v>
      </c>
      <c r="I702" t="s">
        <v>16</v>
      </c>
      <c r="J702" t="s">
        <v>57</v>
      </c>
    </row>
    <row r="703" spans="1:10" x14ac:dyDescent="0.3">
      <c r="A703" t="s">
        <v>64</v>
      </c>
      <c r="B703" t="s">
        <v>51</v>
      </c>
      <c r="C703" t="s">
        <v>58</v>
      </c>
      <c r="D703" t="s">
        <v>34</v>
      </c>
      <c r="E703" t="s">
        <v>26</v>
      </c>
      <c r="F703" t="s">
        <v>14</v>
      </c>
      <c r="G703" s="2">
        <v>43881</v>
      </c>
      <c r="H703" t="s">
        <v>15</v>
      </c>
      <c r="I703" t="s">
        <v>32</v>
      </c>
      <c r="J703" t="s">
        <v>42</v>
      </c>
    </row>
    <row r="704" spans="1:10" x14ac:dyDescent="0.3">
      <c r="A704" t="s">
        <v>65</v>
      </c>
      <c r="B704">
        <v>25</v>
      </c>
      <c r="C704" t="s">
        <v>54</v>
      </c>
      <c r="D704" t="s">
        <v>12</v>
      </c>
      <c r="E704" t="s">
        <v>26</v>
      </c>
      <c r="F704" t="s">
        <v>14</v>
      </c>
      <c r="G704" s="2" t="s">
        <v>50</v>
      </c>
      <c r="H704" t="s">
        <v>22</v>
      </c>
      <c r="I704" t="s">
        <v>16</v>
      </c>
      <c r="J704" t="s">
        <v>42</v>
      </c>
    </row>
    <row r="705" spans="1:10" x14ac:dyDescent="0.3">
      <c r="A705" t="s">
        <v>64</v>
      </c>
      <c r="B705">
        <v>50</v>
      </c>
      <c r="C705">
        <v>55000</v>
      </c>
      <c r="D705" t="s">
        <v>12</v>
      </c>
      <c r="E705" t="s">
        <v>30</v>
      </c>
      <c r="F705" t="s">
        <v>40</v>
      </c>
      <c r="G705" s="2" t="s">
        <v>55</v>
      </c>
      <c r="H705" t="s">
        <v>15</v>
      </c>
      <c r="J705" t="s">
        <v>42</v>
      </c>
    </row>
    <row r="706" spans="1:10" x14ac:dyDescent="0.3">
      <c r="A706" t="s">
        <v>65</v>
      </c>
      <c r="B706">
        <v>25</v>
      </c>
      <c r="C706">
        <v>70000</v>
      </c>
      <c r="D706" t="s">
        <v>19</v>
      </c>
      <c r="E706" t="s">
        <v>35</v>
      </c>
      <c r="F706" t="s">
        <v>40</v>
      </c>
      <c r="G706" s="2" t="s">
        <v>62</v>
      </c>
      <c r="H706" t="s">
        <v>27</v>
      </c>
      <c r="I706" t="s">
        <v>51</v>
      </c>
      <c r="J706" t="s">
        <v>57</v>
      </c>
    </row>
    <row r="707" spans="1:10" x14ac:dyDescent="0.3">
      <c r="A707" t="s">
        <v>65</v>
      </c>
      <c r="B707" t="s">
        <v>51</v>
      </c>
      <c r="C707" t="s">
        <v>58</v>
      </c>
      <c r="D707" t="s">
        <v>34</v>
      </c>
      <c r="E707" t="s">
        <v>13</v>
      </c>
      <c r="F707" t="s">
        <v>37</v>
      </c>
      <c r="G707" s="2">
        <v>43881</v>
      </c>
      <c r="H707" t="s">
        <v>22</v>
      </c>
      <c r="J707" t="s">
        <v>24</v>
      </c>
    </row>
    <row r="708" spans="1:10" x14ac:dyDescent="0.3">
      <c r="A708" t="s">
        <v>65</v>
      </c>
      <c r="B708">
        <v>50</v>
      </c>
      <c r="C708">
        <v>70000</v>
      </c>
      <c r="D708" t="s">
        <v>12</v>
      </c>
      <c r="E708" t="s">
        <v>20</v>
      </c>
      <c r="F708" t="s">
        <v>37</v>
      </c>
      <c r="G708" s="2" t="s">
        <v>50</v>
      </c>
      <c r="H708" t="s">
        <v>31</v>
      </c>
      <c r="I708" t="s">
        <v>23</v>
      </c>
      <c r="J708" t="s">
        <v>42</v>
      </c>
    </row>
    <row r="709" spans="1:10" x14ac:dyDescent="0.3">
      <c r="A709" t="s">
        <v>61</v>
      </c>
      <c r="B709">
        <v>50</v>
      </c>
      <c r="C709" t="s">
        <v>58</v>
      </c>
      <c r="D709" t="s">
        <v>34</v>
      </c>
      <c r="E709" t="s">
        <v>26</v>
      </c>
      <c r="F709" t="s">
        <v>21</v>
      </c>
      <c r="G709" s="2">
        <v>43881</v>
      </c>
      <c r="H709" t="s">
        <v>38</v>
      </c>
      <c r="J709" t="s">
        <v>51</v>
      </c>
    </row>
    <row r="710" spans="1:10" x14ac:dyDescent="0.3">
      <c r="A710" t="s">
        <v>65</v>
      </c>
      <c r="B710">
        <v>40</v>
      </c>
      <c r="C710">
        <v>70000</v>
      </c>
      <c r="D710" t="s">
        <v>34</v>
      </c>
      <c r="E710" t="s">
        <v>20</v>
      </c>
      <c r="F710" t="s">
        <v>41</v>
      </c>
      <c r="G710" s="2" t="s">
        <v>62</v>
      </c>
      <c r="H710" t="s">
        <v>38</v>
      </c>
      <c r="I710" t="s">
        <v>16</v>
      </c>
      <c r="J710" t="s">
        <v>57</v>
      </c>
    </row>
    <row r="711" spans="1:10" x14ac:dyDescent="0.3">
      <c r="A711" t="s">
        <v>52</v>
      </c>
      <c r="B711">
        <v>40</v>
      </c>
      <c r="C711">
        <v>55000</v>
      </c>
      <c r="D711" t="s">
        <v>19</v>
      </c>
      <c r="E711" t="s">
        <v>35</v>
      </c>
      <c r="F711" t="s">
        <v>37</v>
      </c>
      <c r="G711" s="2" t="s">
        <v>50</v>
      </c>
      <c r="H711" t="s">
        <v>38</v>
      </c>
      <c r="J711" t="s">
        <v>28</v>
      </c>
    </row>
    <row r="712" spans="1:10" x14ac:dyDescent="0.3">
      <c r="A712" t="s">
        <v>67</v>
      </c>
      <c r="B712" t="s">
        <v>63</v>
      </c>
      <c r="C712" t="s">
        <v>58</v>
      </c>
      <c r="D712" t="s">
        <v>19</v>
      </c>
      <c r="E712" t="s">
        <v>26</v>
      </c>
      <c r="F712" t="s">
        <v>40</v>
      </c>
      <c r="G712" s="2" t="s">
        <v>50</v>
      </c>
      <c r="H712" t="s">
        <v>27</v>
      </c>
      <c r="I712" t="s">
        <v>16</v>
      </c>
      <c r="J712" t="s">
        <v>24</v>
      </c>
    </row>
    <row r="713" spans="1:10" x14ac:dyDescent="0.3">
      <c r="A713" t="s">
        <v>64</v>
      </c>
      <c r="B713">
        <v>35</v>
      </c>
      <c r="C713" t="s">
        <v>58</v>
      </c>
      <c r="D713" t="s">
        <v>19</v>
      </c>
      <c r="E713" t="s">
        <v>20</v>
      </c>
      <c r="F713" t="s">
        <v>37</v>
      </c>
      <c r="G713" s="2">
        <v>43881</v>
      </c>
      <c r="H713" t="s">
        <v>31</v>
      </c>
      <c r="I713" t="s">
        <v>23</v>
      </c>
      <c r="J713" t="s">
        <v>51</v>
      </c>
    </row>
    <row r="714" spans="1:10" x14ac:dyDescent="0.3">
      <c r="A714" t="s">
        <v>66</v>
      </c>
      <c r="B714">
        <v>40</v>
      </c>
      <c r="C714">
        <v>65000</v>
      </c>
      <c r="D714" t="s">
        <v>19</v>
      </c>
      <c r="E714" t="s">
        <v>35</v>
      </c>
      <c r="F714" t="s">
        <v>14</v>
      </c>
      <c r="G714" s="2">
        <v>43881</v>
      </c>
      <c r="H714" t="s">
        <v>22</v>
      </c>
      <c r="J714" t="s">
        <v>42</v>
      </c>
    </row>
    <row r="715" spans="1:10" x14ac:dyDescent="0.3">
      <c r="A715" t="s">
        <v>53</v>
      </c>
      <c r="B715">
        <v>25</v>
      </c>
      <c r="C715">
        <v>65000</v>
      </c>
      <c r="D715" t="s">
        <v>19</v>
      </c>
      <c r="E715" t="s">
        <v>13</v>
      </c>
      <c r="F715" t="s">
        <v>41</v>
      </c>
      <c r="G715" s="2" t="s">
        <v>55</v>
      </c>
      <c r="H715" t="s">
        <v>22</v>
      </c>
      <c r="I715" t="s">
        <v>51</v>
      </c>
      <c r="J715" t="s">
        <v>28</v>
      </c>
    </row>
    <row r="716" spans="1:10" x14ac:dyDescent="0.3">
      <c r="A716" t="s">
        <v>49</v>
      </c>
      <c r="B716">
        <v>40</v>
      </c>
      <c r="C716">
        <v>50000</v>
      </c>
      <c r="D716" t="s">
        <v>19</v>
      </c>
      <c r="E716" t="s">
        <v>35</v>
      </c>
      <c r="F716" t="s">
        <v>21</v>
      </c>
      <c r="G716" s="2" t="s">
        <v>62</v>
      </c>
      <c r="H716" t="s">
        <v>38</v>
      </c>
      <c r="I716" t="s">
        <v>51</v>
      </c>
      <c r="J716" t="s">
        <v>24</v>
      </c>
    </row>
    <row r="717" spans="1:10" x14ac:dyDescent="0.3">
      <c r="A717" t="s">
        <v>59</v>
      </c>
      <c r="B717" t="s">
        <v>63</v>
      </c>
      <c r="C717">
        <v>70000</v>
      </c>
      <c r="D717" t="s">
        <v>19</v>
      </c>
      <c r="E717" t="s">
        <v>26</v>
      </c>
      <c r="F717" t="s">
        <v>14</v>
      </c>
      <c r="G717" s="2" t="s">
        <v>55</v>
      </c>
      <c r="H717" t="s">
        <v>31</v>
      </c>
      <c r="I717" t="s">
        <v>51</v>
      </c>
      <c r="J717" t="s">
        <v>57</v>
      </c>
    </row>
    <row r="718" spans="1:10" x14ac:dyDescent="0.3">
      <c r="A718" t="s">
        <v>61</v>
      </c>
      <c r="B718">
        <v>50</v>
      </c>
      <c r="C718">
        <v>65000</v>
      </c>
      <c r="D718" t="s">
        <v>19</v>
      </c>
      <c r="E718" t="s">
        <v>30</v>
      </c>
      <c r="F718" t="s">
        <v>14</v>
      </c>
      <c r="G718" s="2" t="s">
        <v>50</v>
      </c>
      <c r="H718" t="s">
        <v>31</v>
      </c>
      <c r="J718" t="s">
        <v>28</v>
      </c>
    </row>
    <row r="719" spans="1:10" x14ac:dyDescent="0.3">
      <c r="A719" t="s">
        <v>66</v>
      </c>
      <c r="B719" t="s">
        <v>63</v>
      </c>
      <c r="C719">
        <v>50000</v>
      </c>
      <c r="D719" t="s">
        <v>12</v>
      </c>
      <c r="E719" t="s">
        <v>13</v>
      </c>
      <c r="F719" t="s">
        <v>41</v>
      </c>
      <c r="G719" s="2">
        <v>43881</v>
      </c>
      <c r="H719" t="s">
        <v>31</v>
      </c>
      <c r="J719" t="s">
        <v>28</v>
      </c>
    </row>
    <row r="720" spans="1:10" x14ac:dyDescent="0.3">
      <c r="A720" t="s">
        <v>56</v>
      </c>
      <c r="B720">
        <v>50</v>
      </c>
      <c r="C720">
        <v>65000</v>
      </c>
      <c r="D720" t="s">
        <v>34</v>
      </c>
      <c r="E720" t="s">
        <v>20</v>
      </c>
      <c r="F720" t="s">
        <v>21</v>
      </c>
      <c r="G720" s="2" t="s">
        <v>50</v>
      </c>
      <c r="H720" t="s">
        <v>15</v>
      </c>
      <c r="J720" t="s">
        <v>51</v>
      </c>
    </row>
    <row r="721" spans="1:10" x14ac:dyDescent="0.3">
      <c r="A721" t="s">
        <v>52</v>
      </c>
      <c r="B721">
        <v>50</v>
      </c>
      <c r="C721">
        <v>70000</v>
      </c>
      <c r="D721" t="s">
        <v>19</v>
      </c>
      <c r="E721" t="s">
        <v>26</v>
      </c>
      <c r="F721" t="s">
        <v>40</v>
      </c>
      <c r="G721" s="2" t="s">
        <v>50</v>
      </c>
      <c r="H721" t="s">
        <v>15</v>
      </c>
      <c r="I721" t="s">
        <v>16</v>
      </c>
      <c r="J721" t="s">
        <v>24</v>
      </c>
    </row>
    <row r="722" spans="1:10" x14ac:dyDescent="0.3">
      <c r="A722" t="s">
        <v>59</v>
      </c>
      <c r="B722">
        <v>35</v>
      </c>
      <c r="C722" t="s">
        <v>58</v>
      </c>
      <c r="D722" t="s">
        <v>19</v>
      </c>
      <c r="E722" t="s">
        <v>30</v>
      </c>
      <c r="F722" t="s">
        <v>21</v>
      </c>
      <c r="G722" s="2" t="s">
        <v>60</v>
      </c>
      <c r="H722" t="s">
        <v>38</v>
      </c>
      <c r="I722" t="s">
        <v>23</v>
      </c>
      <c r="J722" t="s">
        <v>51</v>
      </c>
    </row>
    <row r="723" spans="1:10" x14ac:dyDescent="0.3">
      <c r="A723" t="s">
        <v>53</v>
      </c>
      <c r="B723">
        <v>40</v>
      </c>
      <c r="C723" t="s">
        <v>54</v>
      </c>
      <c r="D723" t="s">
        <v>34</v>
      </c>
      <c r="E723" t="s">
        <v>35</v>
      </c>
      <c r="F723" t="s">
        <v>37</v>
      </c>
      <c r="G723" s="2" t="s">
        <v>60</v>
      </c>
      <c r="H723" t="s">
        <v>31</v>
      </c>
      <c r="I723" t="s">
        <v>51</v>
      </c>
      <c r="J723" t="s">
        <v>51</v>
      </c>
    </row>
    <row r="724" spans="1:10" x14ac:dyDescent="0.3">
      <c r="A724" t="s">
        <v>66</v>
      </c>
      <c r="B724">
        <v>25</v>
      </c>
      <c r="C724">
        <v>70000</v>
      </c>
      <c r="D724" t="s">
        <v>12</v>
      </c>
      <c r="E724" t="s">
        <v>30</v>
      </c>
      <c r="F724" t="s">
        <v>14</v>
      </c>
      <c r="G724" s="2" t="s">
        <v>50</v>
      </c>
      <c r="H724" t="s">
        <v>31</v>
      </c>
      <c r="I724" t="s">
        <v>16</v>
      </c>
      <c r="J724" t="s">
        <v>42</v>
      </c>
    </row>
    <row r="725" spans="1:10" x14ac:dyDescent="0.3">
      <c r="A725" t="s">
        <v>59</v>
      </c>
      <c r="B725">
        <v>25</v>
      </c>
      <c r="C725">
        <v>55000</v>
      </c>
      <c r="D725" t="s">
        <v>34</v>
      </c>
      <c r="E725" t="s">
        <v>26</v>
      </c>
      <c r="F725" t="s">
        <v>37</v>
      </c>
      <c r="G725" s="2">
        <v>43881</v>
      </c>
      <c r="H725" t="s">
        <v>22</v>
      </c>
      <c r="I725" t="s">
        <v>51</v>
      </c>
      <c r="J725" t="s">
        <v>57</v>
      </c>
    </row>
    <row r="726" spans="1:10" x14ac:dyDescent="0.3">
      <c r="A726" t="s">
        <v>66</v>
      </c>
      <c r="B726" t="s">
        <v>51</v>
      </c>
      <c r="C726">
        <v>65000</v>
      </c>
      <c r="D726" t="s">
        <v>34</v>
      </c>
      <c r="E726" t="s">
        <v>26</v>
      </c>
      <c r="F726" t="s">
        <v>40</v>
      </c>
      <c r="G726" s="2" t="s">
        <v>50</v>
      </c>
      <c r="H726" t="s">
        <v>22</v>
      </c>
      <c r="I726" t="s">
        <v>16</v>
      </c>
      <c r="J726" t="s">
        <v>28</v>
      </c>
    </row>
    <row r="727" spans="1:10" x14ac:dyDescent="0.3">
      <c r="A727" t="s">
        <v>52</v>
      </c>
      <c r="B727">
        <v>50</v>
      </c>
      <c r="C727">
        <v>65000</v>
      </c>
      <c r="D727" t="s">
        <v>19</v>
      </c>
      <c r="E727" t="s">
        <v>30</v>
      </c>
      <c r="F727" t="s">
        <v>37</v>
      </c>
      <c r="G727" s="2" t="s">
        <v>60</v>
      </c>
      <c r="H727" t="s">
        <v>38</v>
      </c>
      <c r="J727" t="s">
        <v>24</v>
      </c>
    </row>
    <row r="728" spans="1:10" x14ac:dyDescent="0.3">
      <c r="A728" t="s">
        <v>53</v>
      </c>
      <c r="B728">
        <v>25</v>
      </c>
      <c r="C728" t="s">
        <v>58</v>
      </c>
      <c r="D728" t="s">
        <v>34</v>
      </c>
      <c r="E728" t="s">
        <v>35</v>
      </c>
      <c r="F728" t="s">
        <v>21</v>
      </c>
      <c r="G728" s="2">
        <v>43881</v>
      </c>
      <c r="H728" t="s">
        <v>31</v>
      </c>
      <c r="I728" t="s">
        <v>51</v>
      </c>
      <c r="J728" t="s">
        <v>57</v>
      </c>
    </row>
    <row r="729" spans="1:10" x14ac:dyDescent="0.3">
      <c r="A729" t="s">
        <v>56</v>
      </c>
      <c r="B729">
        <v>35</v>
      </c>
      <c r="C729">
        <v>55000</v>
      </c>
      <c r="D729" t="s">
        <v>34</v>
      </c>
      <c r="E729" t="s">
        <v>30</v>
      </c>
      <c r="F729" t="s">
        <v>37</v>
      </c>
      <c r="G729" s="2" t="s">
        <v>50</v>
      </c>
      <c r="H729" t="s">
        <v>38</v>
      </c>
      <c r="J729" t="s">
        <v>57</v>
      </c>
    </row>
    <row r="730" spans="1:10" x14ac:dyDescent="0.3">
      <c r="A730" t="s">
        <v>65</v>
      </c>
      <c r="B730">
        <v>50</v>
      </c>
      <c r="C730" t="s">
        <v>58</v>
      </c>
      <c r="D730" t="s">
        <v>19</v>
      </c>
      <c r="E730" t="s">
        <v>26</v>
      </c>
      <c r="F730" t="s">
        <v>40</v>
      </c>
      <c r="G730" s="2" t="s">
        <v>62</v>
      </c>
      <c r="H730" t="s">
        <v>22</v>
      </c>
      <c r="I730" t="s">
        <v>51</v>
      </c>
      <c r="J730" t="s">
        <v>24</v>
      </c>
    </row>
    <row r="731" spans="1:10" x14ac:dyDescent="0.3">
      <c r="A731" t="s">
        <v>64</v>
      </c>
      <c r="B731">
        <v>35</v>
      </c>
      <c r="C731">
        <v>55000</v>
      </c>
      <c r="D731" t="s">
        <v>19</v>
      </c>
      <c r="E731" t="s">
        <v>26</v>
      </c>
      <c r="F731" t="s">
        <v>40</v>
      </c>
      <c r="G731" s="2" t="s">
        <v>62</v>
      </c>
      <c r="H731" t="s">
        <v>22</v>
      </c>
      <c r="I731" t="s">
        <v>32</v>
      </c>
      <c r="J731" t="s">
        <v>57</v>
      </c>
    </row>
    <row r="732" spans="1:10" x14ac:dyDescent="0.3">
      <c r="A732" t="s">
        <v>56</v>
      </c>
      <c r="B732">
        <v>25</v>
      </c>
      <c r="C732" t="s">
        <v>54</v>
      </c>
      <c r="D732" t="s">
        <v>19</v>
      </c>
      <c r="E732" t="s">
        <v>20</v>
      </c>
      <c r="F732" t="s">
        <v>40</v>
      </c>
      <c r="G732" s="2" t="s">
        <v>50</v>
      </c>
      <c r="H732" t="s">
        <v>15</v>
      </c>
      <c r="I732" t="s">
        <v>16</v>
      </c>
      <c r="J732" t="s">
        <v>42</v>
      </c>
    </row>
    <row r="733" spans="1:10" x14ac:dyDescent="0.3">
      <c r="A733" t="s">
        <v>65</v>
      </c>
      <c r="B733">
        <v>25</v>
      </c>
      <c r="C733">
        <v>65000</v>
      </c>
      <c r="D733" t="s">
        <v>19</v>
      </c>
      <c r="E733" t="s">
        <v>20</v>
      </c>
      <c r="F733" t="s">
        <v>21</v>
      </c>
      <c r="G733" s="2">
        <v>43881</v>
      </c>
      <c r="H733" t="s">
        <v>38</v>
      </c>
      <c r="I733" t="s">
        <v>32</v>
      </c>
      <c r="J733" t="s">
        <v>57</v>
      </c>
    </row>
    <row r="734" spans="1:10" x14ac:dyDescent="0.3">
      <c r="A734" t="s">
        <v>61</v>
      </c>
      <c r="B734" t="s">
        <v>51</v>
      </c>
      <c r="C734">
        <v>65000</v>
      </c>
      <c r="D734" t="s">
        <v>34</v>
      </c>
      <c r="E734" t="s">
        <v>13</v>
      </c>
      <c r="F734" t="s">
        <v>40</v>
      </c>
      <c r="G734" s="2" t="s">
        <v>50</v>
      </c>
      <c r="H734" t="s">
        <v>38</v>
      </c>
      <c r="I734" t="s">
        <v>16</v>
      </c>
      <c r="J734" t="s">
        <v>42</v>
      </c>
    </row>
    <row r="735" spans="1:10" x14ac:dyDescent="0.3">
      <c r="A735" t="s">
        <v>67</v>
      </c>
      <c r="B735">
        <v>25</v>
      </c>
      <c r="C735" t="s">
        <v>54</v>
      </c>
      <c r="D735" t="s">
        <v>34</v>
      </c>
      <c r="E735" t="s">
        <v>26</v>
      </c>
      <c r="F735" t="s">
        <v>14</v>
      </c>
      <c r="G735" s="2" t="s">
        <v>50</v>
      </c>
      <c r="H735" t="s">
        <v>31</v>
      </c>
      <c r="I735" t="s">
        <v>23</v>
      </c>
      <c r="J735" t="s">
        <v>28</v>
      </c>
    </row>
    <row r="736" spans="1:10" x14ac:dyDescent="0.3">
      <c r="A736" t="s">
        <v>49</v>
      </c>
      <c r="B736">
        <v>50</v>
      </c>
      <c r="C736">
        <v>50000</v>
      </c>
      <c r="D736" t="s">
        <v>12</v>
      </c>
      <c r="E736" t="s">
        <v>20</v>
      </c>
      <c r="F736" t="s">
        <v>40</v>
      </c>
      <c r="G736" s="2" t="s">
        <v>60</v>
      </c>
      <c r="H736" t="s">
        <v>31</v>
      </c>
      <c r="I736" t="s">
        <v>51</v>
      </c>
      <c r="J736" t="s">
        <v>28</v>
      </c>
    </row>
    <row r="737" spans="1:10" x14ac:dyDescent="0.3">
      <c r="A737" t="s">
        <v>49</v>
      </c>
      <c r="B737">
        <v>50</v>
      </c>
      <c r="C737" t="s">
        <v>58</v>
      </c>
      <c r="D737" t="s">
        <v>12</v>
      </c>
      <c r="E737" t="s">
        <v>30</v>
      </c>
      <c r="F737" t="s">
        <v>37</v>
      </c>
      <c r="G737" s="2" t="s">
        <v>62</v>
      </c>
      <c r="H737" t="s">
        <v>15</v>
      </c>
      <c r="I737" t="s">
        <v>23</v>
      </c>
      <c r="J737" t="s">
        <v>51</v>
      </c>
    </row>
    <row r="738" spans="1:10" x14ac:dyDescent="0.3">
      <c r="A738" t="s">
        <v>64</v>
      </c>
      <c r="B738">
        <v>50</v>
      </c>
      <c r="C738" t="s">
        <v>54</v>
      </c>
      <c r="D738" t="s">
        <v>34</v>
      </c>
      <c r="E738" t="s">
        <v>35</v>
      </c>
      <c r="F738" t="s">
        <v>37</v>
      </c>
      <c r="G738" s="2" t="s">
        <v>60</v>
      </c>
      <c r="H738" t="s">
        <v>27</v>
      </c>
      <c r="I738" t="s">
        <v>23</v>
      </c>
      <c r="J738" t="s">
        <v>42</v>
      </c>
    </row>
    <row r="739" spans="1:10" x14ac:dyDescent="0.3">
      <c r="A739" t="s">
        <v>53</v>
      </c>
      <c r="B739" t="s">
        <v>51</v>
      </c>
      <c r="C739" t="s">
        <v>58</v>
      </c>
      <c r="D739" t="s">
        <v>12</v>
      </c>
      <c r="E739" t="s">
        <v>30</v>
      </c>
      <c r="F739" t="s">
        <v>37</v>
      </c>
      <c r="G739" s="2" t="s">
        <v>60</v>
      </c>
      <c r="H739" t="s">
        <v>27</v>
      </c>
      <c r="I739" t="s">
        <v>16</v>
      </c>
      <c r="J739" t="s">
        <v>28</v>
      </c>
    </row>
    <row r="740" spans="1:10" x14ac:dyDescent="0.3">
      <c r="A740" t="s">
        <v>52</v>
      </c>
      <c r="B740" t="s">
        <v>51</v>
      </c>
      <c r="C740">
        <v>70000</v>
      </c>
      <c r="D740" t="s">
        <v>34</v>
      </c>
      <c r="E740" t="s">
        <v>35</v>
      </c>
      <c r="F740" t="s">
        <v>21</v>
      </c>
      <c r="G740" s="2" t="s">
        <v>50</v>
      </c>
      <c r="H740" t="s">
        <v>27</v>
      </c>
      <c r="I740" t="s">
        <v>32</v>
      </c>
      <c r="J740" t="s">
        <v>57</v>
      </c>
    </row>
    <row r="741" spans="1:10" x14ac:dyDescent="0.3">
      <c r="A741" t="s">
        <v>53</v>
      </c>
      <c r="B741">
        <v>25</v>
      </c>
      <c r="C741">
        <v>65000</v>
      </c>
      <c r="D741" t="s">
        <v>12</v>
      </c>
      <c r="E741" t="s">
        <v>20</v>
      </c>
      <c r="F741" t="s">
        <v>37</v>
      </c>
      <c r="G741" s="2" t="s">
        <v>60</v>
      </c>
      <c r="H741" t="s">
        <v>38</v>
      </c>
      <c r="J741" t="s">
        <v>24</v>
      </c>
    </row>
    <row r="742" spans="1:10" x14ac:dyDescent="0.3">
      <c r="A742" t="s">
        <v>52</v>
      </c>
      <c r="B742" t="s">
        <v>63</v>
      </c>
      <c r="C742" t="s">
        <v>58</v>
      </c>
      <c r="D742" t="s">
        <v>19</v>
      </c>
      <c r="E742" t="s">
        <v>13</v>
      </c>
      <c r="F742" t="s">
        <v>21</v>
      </c>
      <c r="G742" s="2" t="s">
        <v>62</v>
      </c>
      <c r="H742" t="s">
        <v>38</v>
      </c>
      <c r="I742" t="s">
        <v>16</v>
      </c>
      <c r="J742" t="s">
        <v>24</v>
      </c>
    </row>
    <row r="743" spans="1:10" x14ac:dyDescent="0.3">
      <c r="A743" t="s">
        <v>53</v>
      </c>
      <c r="B743" t="s">
        <v>63</v>
      </c>
      <c r="C743">
        <v>55000</v>
      </c>
      <c r="D743" t="s">
        <v>12</v>
      </c>
      <c r="E743" t="s">
        <v>30</v>
      </c>
      <c r="F743" t="s">
        <v>21</v>
      </c>
      <c r="G743" s="2" t="s">
        <v>60</v>
      </c>
      <c r="H743" t="s">
        <v>22</v>
      </c>
      <c r="J743" t="s">
        <v>42</v>
      </c>
    </row>
    <row r="744" spans="1:10" x14ac:dyDescent="0.3">
      <c r="A744" t="s">
        <v>67</v>
      </c>
      <c r="B744" t="s">
        <v>51</v>
      </c>
      <c r="C744" t="s">
        <v>58</v>
      </c>
      <c r="D744" t="s">
        <v>19</v>
      </c>
      <c r="E744" t="s">
        <v>30</v>
      </c>
      <c r="F744" t="s">
        <v>40</v>
      </c>
      <c r="G744" s="2" t="s">
        <v>62</v>
      </c>
      <c r="H744" t="s">
        <v>38</v>
      </c>
      <c r="I744" t="s">
        <v>23</v>
      </c>
      <c r="J744" t="s">
        <v>51</v>
      </c>
    </row>
    <row r="745" spans="1:10" x14ac:dyDescent="0.3">
      <c r="A745" t="s">
        <v>61</v>
      </c>
      <c r="B745">
        <v>25</v>
      </c>
      <c r="C745">
        <v>70000</v>
      </c>
      <c r="D745" t="s">
        <v>19</v>
      </c>
      <c r="E745" t="s">
        <v>30</v>
      </c>
      <c r="F745" t="s">
        <v>14</v>
      </c>
      <c r="G745" s="2" t="s">
        <v>60</v>
      </c>
      <c r="H745" t="s">
        <v>38</v>
      </c>
      <c r="J745" t="s">
        <v>57</v>
      </c>
    </row>
    <row r="746" spans="1:10" x14ac:dyDescent="0.3">
      <c r="A746" t="s">
        <v>61</v>
      </c>
      <c r="B746" t="s">
        <v>63</v>
      </c>
      <c r="C746">
        <v>65000</v>
      </c>
      <c r="D746" t="s">
        <v>19</v>
      </c>
      <c r="E746" t="s">
        <v>35</v>
      </c>
      <c r="F746" t="s">
        <v>40</v>
      </c>
      <c r="G746" s="2" t="s">
        <v>62</v>
      </c>
      <c r="H746" t="s">
        <v>38</v>
      </c>
      <c r="I746" t="s">
        <v>32</v>
      </c>
      <c r="J746" t="s">
        <v>42</v>
      </c>
    </row>
    <row r="747" spans="1:10" x14ac:dyDescent="0.3">
      <c r="A747" t="s">
        <v>65</v>
      </c>
      <c r="B747">
        <v>25</v>
      </c>
      <c r="C747" t="s">
        <v>54</v>
      </c>
      <c r="D747" t="s">
        <v>19</v>
      </c>
      <c r="E747" t="s">
        <v>20</v>
      </c>
      <c r="F747" t="s">
        <v>40</v>
      </c>
      <c r="G747" s="2" t="s">
        <v>60</v>
      </c>
      <c r="H747" t="s">
        <v>15</v>
      </c>
      <c r="I747" t="s">
        <v>16</v>
      </c>
      <c r="J747" t="s">
        <v>24</v>
      </c>
    </row>
    <row r="748" spans="1:10" x14ac:dyDescent="0.3">
      <c r="A748" t="s">
        <v>59</v>
      </c>
      <c r="B748">
        <v>25</v>
      </c>
      <c r="C748">
        <v>70000</v>
      </c>
      <c r="D748" t="s">
        <v>12</v>
      </c>
      <c r="E748" t="s">
        <v>30</v>
      </c>
      <c r="F748" t="s">
        <v>21</v>
      </c>
      <c r="G748" s="2" t="s">
        <v>60</v>
      </c>
      <c r="H748" t="s">
        <v>38</v>
      </c>
      <c r="I748" t="s">
        <v>32</v>
      </c>
      <c r="J748" t="s">
        <v>42</v>
      </c>
    </row>
    <row r="749" spans="1:10" x14ac:dyDescent="0.3">
      <c r="A749" t="s">
        <v>61</v>
      </c>
      <c r="B749">
        <v>25</v>
      </c>
      <c r="C749">
        <v>65000</v>
      </c>
      <c r="D749" t="s">
        <v>34</v>
      </c>
      <c r="E749" t="s">
        <v>30</v>
      </c>
      <c r="F749" t="s">
        <v>21</v>
      </c>
      <c r="G749" s="2">
        <v>43881</v>
      </c>
      <c r="H749" t="s">
        <v>31</v>
      </c>
      <c r="I749" t="s">
        <v>32</v>
      </c>
      <c r="J749" t="s">
        <v>57</v>
      </c>
    </row>
    <row r="750" spans="1:10" x14ac:dyDescent="0.3">
      <c r="A750" t="s">
        <v>61</v>
      </c>
      <c r="B750">
        <v>40</v>
      </c>
      <c r="C750" t="s">
        <v>58</v>
      </c>
      <c r="D750" t="s">
        <v>19</v>
      </c>
      <c r="E750" t="s">
        <v>13</v>
      </c>
      <c r="F750" t="s">
        <v>37</v>
      </c>
      <c r="G750" s="2" t="s">
        <v>62</v>
      </c>
      <c r="H750" t="s">
        <v>31</v>
      </c>
      <c r="I750" t="s">
        <v>16</v>
      </c>
      <c r="J750" t="s">
        <v>28</v>
      </c>
    </row>
    <row r="751" spans="1:10" x14ac:dyDescent="0.3">
      <c r="A751" t="s">
        <v>56</v>
      </c>
      <c r="B751">
        <v>50</v>
      </c>
      <c r="C751">
        <v>50000</v>
      </c>
      <c r="D751" t="s">
        <v>12</v>
      </c>
      <c r="E751" t="s">
        <v>13</v>
      </c>
      <c r="F751" t="s">
        <v>37</v>
      </c>
      <c r="G751" s="2" t="s">
        <v>62</v>
      </c>
      <c r="H751" t="s">
        <v>22</v>
      </c>
      <c r="I751" t="s">
        <v>32</v>
      </c>
      <c r="J751" t="s">
        <v>57</v>
      </c>
    </row>
    <row r="752" spans="1:10" x14ac:dyDescent="0.3">
      <c r="A752" t="s">
        <v>56</v>
      </c>
      <c r="B752">
        <v>25</v>
      </c>
      <c r="C752">
        <v>50000</v>
      </c>
      <c r="D752" t="s">
        <v>19</v>
      </c>
      <c r="E752" t="s">
        <v>20</v>
      </c>
      <c r="F752" t="s">
        <v>40</v>
      </c>
      <c r="G752" s="2" t="s">
        <v>62</v>
      </c>
      <c r="H752" t="s">
        <v>15</v>
      </c>
      <c r="I752" t="s">
        <v>51</v>
      </c>
      <c r="J752" t="s">
        <v>28</v>
      </c>
    </row>
    <row r="753" spans="1:10" x14ac:dyDescent="0.3">
      <c r="A753" t="s">
        <v>65</v>
      </c>
      <c r="B753">
        <v>40</v>
      </c>
      <c r="C753">
        <v>55000</v>
      </c>
      <c r="D753" t="s">
        <v>12</v>
      </c>
      <c r="E753" t="s">
        <v>20</v>
      </c>
      <c r="F753" t="s">
        <v>41</v>
      </c>
      <c r="G753" s="2" t="s">
        <v>55</v>
      </c>
      <c r="H753" t="s">
        <v>31</v>
      </c>
      <c r="I753" t="s">
        <v>51</v>
      </c>
      <c r="J753" t="s">
        <v>28</v>
      </c>
    </row>
    <row r="754" spans="1:10" x14ac:dyDescent="0.3">
      <c r="A754" t="s">
        <v>59</v>
      </c>
      <c r="B754" t="s">
        <v>51</v>
      </c>
      <c r="C754">
        <v>65000</v>
      </c>
      <c r="D754" t="s">
        <v>12</v>
      </c>
      <c r="E754" t="s">
        <v>26</v>
      </c>
      <c r="F754" t="s">
        <v>41</v>
      </c>
      <c r="G754" s="2" t="s">
        <v>60</v>
      </c>
      <c r="H754" t="s">
        <v>15</v>
      </c>
      <c r="I754" t="s">
        <v>51</v>
      </c>
      <c r="J754" t="s">
        <v>28</v>
      </c>
    </row>
    <row r="755" spans="1:10" x14ac:dyDescent="0.3">
      <c r="A755" t="s">
        <v>64</v>
      </c>
      <c r="B755" t="s">
        <v>63</v>
      </c>
      <c r="C755">
        <v>50000</v>
      </c>
      <c r="D755" t="s">
        <v>12</v>
      </c>
      <c r="E755" t="s">
        <v>13</v>
      </c>
      <c r="F755" t="s">
        <v>37</v>
      </c>
      <c r="G755" s="2" t="s">
        <v>62</v>
      </c>
      <c r="H755" t="s">
        <v>15</v>
      </c>
      <c r="J755" t="s">
        <v>42</v>
      </c>
    </row>
    <row r="756" spans="1:10" x14ac:dyDescent="0.3">
      <c r="A756" t="s">
        <v>56</v>
      </c>
      <c r="B756">
        <v>50</v>
      </c>
      <c r="C756" t="s">
        <v>54</v>
      </c>
      <c r="D756" t="s">
        <v>34</v>
      </c>
      <c r="E756" t="s">
        <v>26</v>
      </c>
      <c r="F756" t="s">
        <v>41</v>
      </c>
      <c r="G756" s="2" t="s">
        <v>55</v>
      </c>
      <c r="H756" t="s">
        <v>22</v>
      </c>
      <c r="I756" t="s">
        <v>32</v>
      </c>
      <c r="J756" t="s">
        <v>24</v>
      </c>
    </row>
    <row r="757" spans="1:10" x14ac:dyDescent="0.3">
      <c r="A757" t="s">
        <v>64</v>
      </c>
      <c r="B757" t="s">
        <v>63</v>
      </c>
      <c r="C757">
        <v>65000</v>
      </c>
      <c r="D757" t="s">
        <v>12</v>
      </c>
      <c r="E757" t="s">
        <v>35</v>
      </c>
      <c r="F757" t="s">
        <v>37</v>
      </c>
      <c r="G757" s="2">
        <v>43881</v>
      </c>
      <c r="H757" t="s">
        <v>15</v>
      </c>
      <c r="I757" t="s">
        <v>16</v>
      </c>
      <c r="J757" t="s">
        <v>42</v>
      </c>
    </row>
    <row r="758" spans="1:10" x14ac:dyDescent="0.3">
      <c r="A758" t="s">
        <v>66</v>
      </c>
      <c r="B758">
        <v>50</v>
      </c>
      <c r="C758" t="s">
        <v>54</v>
      </c>
      <c r="D758" t="s">
        <v>12</v>
      </c>
      <c r="E758" t="s">
        <v>26</v>
      </c>
      <c r="F758" t="s">
        <v>21</v>
      </c>
      <c r="G758" s="2" t="s">
        <v>62</v>
      </c>
      <c r="H758" t="s">
        <v>38</v>
      </c>
      <c r="I758" t="s">
        <v>16</v>
      </c>
      <c r="J758" t="s">
        <v>24</v>
      </c>
    </row>
    <row r="759" spans="1:10" x14ac:dyDescent="0.3">
      <c r="A759" t="s">
        <v>56</v>
      </c>
      <c r="B759" t="s">
        <v>63</v>
      </c>
      <c r="C759" t="s">
        <v>54</v>
      </c>
      <c r="D759" t="s">
        <v>34</v>
      </c>
      <c r="E759" t="s">
        <v>30</v>
      </c>
      <c r="F759" t="s">
        <v>40</v>
      </c>
      <c r="G759" s="2" t="s">
        <v>62</v>
      </c>
      <c r="H759" t="s">
        <v>15</v>
      </c>
      <c r="J759" t="s">
        <v>57</v>
      </c>
    </row>
    <row r="760" spans="1:10" x14ac:dyDescent="0.3">
      <c r="A760" t="s">
        <v>67</v>
      </c>
      <c r="B760">
        <v>50</v>
      </c>
      <c r="C760">
        <v>50000</v>
      </c>
      <c r="D760" t="s">
        <v>34</v>
      </c>
      <c r="E760" t="s">
        <v>26</v>
      </c>
      <c r="F760" t="s">
        <v>14</v>
      </c>
      <c r="G760" s="2" t="s">
        <v>55</v>
      </c>
      <c r="H760" t="s">
        <v>22</v>
      </c>
      <c r="I760" t="s">
        <v>16</v>
      </c>
      <c r="J760" t="s">
        <v>51</v>
      </c>
    </row>
    <row r="761" spans="1:10" x14ac:dyDescent="0.3">
      <c r="A761" t="s">
        <v>59</v>
      </c>
      <c r="B761" t="s">
        <v>63</v>
      </c>
      <c r="C761">
        <v>65000</v>
      </c>
      <c r="D761" t="s">
        <v>12</v>
      </c>
      <c r="E761" t="s">
        <v>20</v>
      </c>
      <c r="F761" t="s">
        <v>40</v>
      </c>
      <c r="G761" s="2" t="s">
        <v>60</v>
      </c>
      <c r="H761" t="s">
        <v>22</v>
      </c>
      <c r="I761" t="s">
        <v>51</v>
      </c>
      <c r="J761" t="s">
        <v>57</v>
      </c>
    </row>
    <row r="762" spans="1:10" x14ac:dyDescent="0.3">
      <c r="A762" t="s">
        <v>65</v>
      </c>
      <c r="B762" t="s">
        <v>63</v>
      </c>
      <c r="C762" t="s">
        <v>58</v>
      </c>
      <c r="D762" t="s">
        <v>34</v>
      </c>
      <c r="E762" t="s">
        <v>35</v>
      </c>
      <c r="F762" t="s">
        <v>37</v>
      </c>
      <c r="G762" s="2">
        <v>43881</v>
      </c>
      <c r="H762" t="s">
        <v>22</v>
      </c>
      <c r="I762" t="s">
        <v>32</v>
      </c>
      <c r="J762" t="s">
        <v>42</v>
      </c>
    </row>
    <row r="763" spans="1:10" x14ac:dyDescent="0.3">
      <c r="A763" t="s">
        <v>66</v>
      </c>
      <c r="B763" t="s">
        <v>63</v>
      </c>
      <c r="C763">
        <v>70000</v>
      </c>
      <c r="D763" t="s">
        <v>19</v>
      </c>
      <c r="E763" t="s">
        <v>30</v>
      </c>
      <c r="F763" t="s">
        <v>37</v>
      </c>
      <c r="G763" s="2" t="s">
        <v>62</v>
      </c>
      <c r="H763" t="s">
        <v>31</v>
      </c>
      <c r="I763" t="s">
        <v>16</v>
      </c>
      <c r="J763" t="s">
        <v>42</v>
      </c>
    </row>
    <row r="764" spans="1:10" x14ac:dyDescent="0.3">
      <c r="A764" t="s">
        <v>59</v>
      </c>
      <c r="B764" t="s">
        <v>63</v>
      </c>
      <c r="C764">
        <v>50000</v>
      </c>
      <c r="D764" t="s">
        <v>19</v>
      </c>
      <c r="E764" t="s">
        <v>26</v>
      </c>
      <c r="F764" t="s">
        <v>40</v>
      </c>
      <c r="G764" s="2" t="s">
        <v>60</v>
      </c>
      <c r="H764" t="s">
        <v>38</v>
      </c>
      <c r="I764" t="s">
        <v>16</v>
      </c>
      <c r="J764" t="s">
        <v>24</v>
      </c>
    </row>
    <row r="765" spans="1:10" x14ac:dyDescent="0.3">
      <c r="A765" t="s">
        <v>67</v>
      </c>
      <c r="B765" t="s">
        <v>51</v>
      </c>
      <c r="C765">
        <v>50000</v>
      </c>
      <c r="D765" t="s">
        <v>34</v>
      </c>
      <c r="E765" t="s">
        <v>35</v>
      </c>
      <c r="F765" t="s">
        <v>37</v>
      </c>
      <c r="G765" s="2">
        <v>43881</v>
      </c>
      <c r="H765" t="s">
        <v>31</v>
      </c>
      <c r="I765" t="s">
        <v>23</v>
      </c>
      <c r="J765" t="s">
        <v>42</v>
      </c>
    </row>
    <row r="766" spans="1:10" x14ac:dyDescent="0.3">
      <c r="A766" t="s">
        <v>59</v>
      </c>
      <c r="B766">
        <v>25</v>
      </c>
      <c r="C766" t="s">
        <v>58</v>
      </c>
      <c r="D766" t="s">
        <v>34</v>
      </c>
      <c r="E766" t="s">
        <v>35</v>
      </c>
      <c r="F766" t="s">
        <v>41</v>
      </c>
      <c r="G766" s="2" t="s">
        <v>50</v>
      </c>
      <c r="H766" t="s">
        <v>27</v>
      </c>
      <c r="I766" t="s">
        <v>23</v>
      </c>
      <c r="J766" t="s">
        <v>28</v>
      </c>
    </row>
    <row r="767" spans="1:10" x14ac:dyDescent="0.3">
      <c r="A767" t="s">
        <v>67</v>
      </c>
      <c r="B767">
        <v>35</v>
      </c>
      <c r="C767">
        <v>65000</v>
      </c>
      <c r="D767" t="s">
        <v>12</v>
      </c>
      <c r="E767" t="s">
        <v>30</v>
      </c>
      <c r="F767" t="s">
        <v>41</v>
      </c>
      <c r="G767" s="2" t="s">
        <v>50</v>
      </c>
      <c r="H767" t="s">
        <v>38</v>
      </c>
      <c r="I767" t="s">
        <v>23</v>
      </c>
      <c r="J767" t="s">
        <v>42</v>
      </c>
    </row>
    <row r="768" spans="1:10" x14ac:dyDescent="0.3">
      <c r="A768" t="s">
        <v>67</v>
      </c>
      <c r="B768">
        <v>40</v>
      </c>
      <c r="C768">
        <v>65000</v>
      </c>
      <c r="D768" t="s">
        <v>34</v>
      </c>
      <c r="E768" t="s">
        <v>26</v>
      </c>
      <c r="F768" t="s">
        <v>37</v>
      </c>
      <c r="G768" s="2">
        <v>43881</v>
      </c>
      <c r="H768" t="s">
        <v>15</v>
      </c>
      <c r="I768" t="s">
        <v>32</v>
      </c>
      <c r="J768" t="s">
        <v>24</v>
      </c>
    </row>
    <row r="769" spans="1:10" x14ac:dyDescent="0.3">
      <c r="A769" t="s">
        <v>64</v>
      </c>
      <c r="B769">
        <v>35</v>
      </c>
      <c r="C769" t="s">
        <v>54</v>
      </c>
      <c r="D769" t="s">
        <v>12</v>
      </c>
      <c r="E769" t="s">
        <v>35</v>
      </c>
      <c r="F769" t="s">
        <v>37</v>
      </c>
      <c r="G769" s="2" t="s">
        <v>55</v>
      </c>
      <c r="H769" t="s">
        <v>22</v>
      </c>
      <c r="I769" t="s">
        <v>51</v>
      </c>
      <c r="J769" t="s">
        <v>24</v>
      </c>
    </row>
    <row r="770" spans="1:10" x14ac:dyDescent="0.3">
      <c r="A770" t="s">
        <v>53</v>
      </c>
      <c r="B770">
        <v>35</v>
      </c>
      <c r="C770" t="s">
        <v>58</v>
      </c>
      <c r="D770" t="s">
        <v>19</v>
      </c>
      <c r="E770" t="s">
        <v>35</v>
      </c>
      <c r="F770" t="s">
        <v>41</v>
      </c>
      <c r="G770" s="2">
        <v>43881</v>
      </c>
      <c r="H770" t="s">
        <v>27</v>
      </c>
      <c r="I770" t="s">
        <v>51</v>
      </c>
      <c r="J770" t="s">
        <v>28</v>
      </c>
    </row>
    <row r="771" spans="1:10" x14ac:dyDescent="0.3">
      <c r="A771" t="s">
        <v>66</v>
      </c>
      <c r="B771">
        <v>50</v>
      </c>
      <c r="C771" t="s">
        <v>58</v>
      </c>
      <c r="D771" t="s">
        <v>34</v>
      </c>
      <c r="E771" t="s">
        <v>13</v>
      </c>
      <c r="F771" t="s">
        <v>37</v>
      </c>
      <c r="G771" s="2">
        <v>43881</v>
      </c>
      <c r="H771" t="s">
        <v>38</v>
      </c>
      <c r="I771" t="s">
        <v>51</v>
      </c>
      <c r="J771" t="s">
        <v>24</v>
      </c>
    </row>
    <row r="772" spans="1:10" x14ac:dyDescent="0.3">
      <c r="A772" t="s">
        <v>59</v>
      </c>
      <c r="B772">
        <v>25</v>
      </c>
      <c r="C772">
        <v>65000</v>
      </c>
      <c r="D772" t="s">
        <v>12</v>
      </c>
      <c r="E772" t="s">
        <v>35</v>
      </c>
      <c r="F772" t="s">
        <v>37</v>
      </c>
      <c r="G772" s="2" t="s">
        <v>55</v>
      </c>
      <c r="H772" t="s">
        <v>31</v>
      </c>
      <c r="I772" t="s">
        <v>32</v>
      </c>
      <c r="J772" t="s">
        <v>51</v>
      </c>
    </row>
    <row r="773" spans="1:10" x14ac:dyDescent="0.3">
      <c r="A773" t="s">
        <v>52</v>
      </c>
      <c r="B773">
        <v>50</v>
      </c>
      <c r="C773" t="s">
        <v>54</v>
      </c>
      <c r="D773" t="s">
        <v>12</v>
      </c>
      <c r="E773" t="s">
        <v>13</v>
      </c>
      <c r="F773" t="s">
        <v>40</v>
      </c>
      <c r="G773" s="2" t="s">
        <v>55</v>
      </c>
      <c r="H773" t="s">
        <v>22</v>
      </c>
      <c r="I773" t="s">
        <v>32</v>
      </c>
      <c r="J773" t="s">
        <v>57</v>
      </c>
    </row>
    <row r="774" spans="1:10" x14ac:dyDescent="0.3">
      <c r="A774" t="s">
        <v>66</v>
      </c>
      <c r="B774">
        <v>25</v>
      </c>
      <c r="C774">
        <v>50000</v>
      </c>
      <c r="D774" t="s">
        <v>19</v>
      </c>
      <c r="E774" t="s">
        <v>26</v>
      </c>
      <c r="F774" t="s">
        <v>14</v>
      </c>
      <c r="G774" s="2" t="s">
        <v>60</v>
      </c>
      <c r="H774" t="s">
        <v>31</v>
      </c>
      <c r="I774" t="s">
        <v>23</v>
      </c>
      <c r="J774" t="s">
        <v>42</v>
      </c>
    </row>
    <row r="775" spans="1:10" x14ac:dyDescent="0.3">
      <c r="A775" t="s">
        <v>53</v>
      </c>
      <c r="B775">
        <v>25</v>
      </c>
      <c r="C775">
        <v>55000</v>
      </c>
      <c r="D775" t="s">
        <v>34</v>
      </c>
      <c r="E775" t="s">
        <v>26</v>
      </c>
      <c r="F775" t="s">
        <v>41</v>
      </c>
      <c r="G775" s="2" t="s">
        <v>60</v>
      </c>
      <c r="H775" t="s">
        <v>38</v>
      </c>
      <c r="I775" t="s">
        <v>16</v>
      </c>
      <c r="J775" t="s">
        <v>51</v>
      </c>
    </row>
    <row r="776" spans="1:10" x14ac:dyDescent="0.3">
      <c r="A776" t="s">
        <v>66</v>
      </c>
      <c r="B776" t="s">
        <v>63</v>
      </c>
      <c r="C776">
        <v>70000</v>
      </c>
      <c r="D776" t="s">
        <v>19</v>
      </c>
      <c r="E776" t="s">
        <v>26</v>
      </c>
      <c r="F776" t="s">
        <v>40</v>
      </c>
      <c r="G776" s="2" t="s">
        <v>55</v>
      </c>
      <c r="H776" t="s">
        <v>38</v>
      </c>
      <c r="J776" t="s">
        <v>42</v>
      </c>
    </row>
    <row r="777" spans="1:10" x14ac:dyDescent="0.3">
      <c r="A777" t="s">
        <v>61</v>
      </c>
      <c r="B777" t="s">
        <v>51</v>
      </c>
      <c r="C777">
        <v>50000</v>
      </c>
      <c r="D777" t="s">
        <v>12</v>
      </c>
      <c r="E777" t="s">
        <v>20</v>
      </c>
      <c r="F777" t="s">
        <v>14</v>
      </c>
      <c r="G777" s="2" t="s">
        <v>50</v>
      </c>
      <c r="H777" t="s">
        <v>27</v>
      </c>
      <c r="J777" t="s">
        <v>51</v>
      </c>
    </row>
    <row r="778" spans="1:10" x14ac:dyDescent="0.3">
      <c r="A778" t="s">
        <v>52</v>
      </c>
      <c r="B778" t="s">
        <v>63</v>
      </c>
      <c r="C778">
        <v>65000</v>
      </c>
      <c r="D778" t="s">
        <v>12</v>
      </c>
      <c r="E778" t="s">
        <v>26</v>
      </c>
      <c r="F778" t="s">
        <v>37</v>
      </c>
      <c r="G778" s="2" t="s">
        <v>50</v>
      </c>
      <c r="H778" t="s">
        <v>15</v>
      </c>
      <c r="I778" t="s">
        <v>16</v>
      </c>
      <c r="J778" t="s">
        <v>42</v>
      </c>
    </row>
    <row r="779" spans="1:10" x14ac:dyDescent="0.3">
      <c r="A779" t="s">
        <v>53</v>
      </c>
      <c r="B779" t="s">
        <v>51</v>
      </c>
      <c r="C779">
        <v>70000</v>
      </c>
      <c r="D779" t="s">
        <v>34</v>
      </c>
      <c r="E779" t="s">
        <v>35</v>
      </c>
      <c r="F779" t="s">
        <v>37</v>
      </c>
      <c r="G779" s="2">
        <v>43881</v>
      </c>
      <c r="H779" t="s">
        <v>31</v>
      </c>
      <c r="I779" t="s">
        <v>23</v>
      </c>
      <c r="J779" t="s">
        <v>28</v>
      </c>
    </row>
    <row r="780" spans="1:10" x14ac:dyDescent="0.3">
      <c r="A780" t="s">
        <v>64</v>
      </c>
      <c r="B780">
        <v>50</v>
      </c>
      <c r="C780">
        <v>55000</v>
      </c>
      <c r="D780" t="s">
        <v>12</v>
      </c>
      <c r="E780" t="s">
        <v>30</v>
      </c>
      <c r="F780" t="s">
        <v>40</v>
      </c>
      <c r="G780" s="2" t="s">
        <v>62</v>
      </c>
      <c r="H780" t="s">
        <v>27</v>
      </c>
      <c r="I780" t="s">
        <v>16</v>
      </c>
      <c r="J780" t="s">
        <v>24</v>
      </c>
    </row>
    <row r="781" spans="1:10" x14ac:dyDescent="0.3">
      <c r="A781" t="s">
        <v>59</v>
      </c>
      <c r="B781" t="s">
        <v>51</v>
      </c>
      <c r="C781">
        <v>55000</v>
      </c>
      <c r="D781" t="s">
        <v>34</v>
      </c>
      <c r="E781" t="s">
        <v>13</v>
      </c>
      <c r="F781" t="s">
        <v>37</v>
      </c>
      <c r="G781" s="2">
        <v>43881</v>
      </c>
      <c r="H781" t="s">
        <v>22</v>
      </c>
      <c r="I781" t="s">
        <v>16</v>
      </c>
      <c r="J781" t="s">
        <v>24</v>
      </c>
    </row>
    <row r="782" spans="1:10" x14ac:dyDescent="0.3">
      <c r="A782" t="s">
        <v>49</v>
      </c>
      <c r="B782">
        <v>50</v>
      </c>
      <c r="C782" t="s">
        <v>54</v>
      </c>
      <c r="D782" t="s">
        <v>19</v>
      </c>
      <c r="E782" t="s">
        <v>20</v>
      </c>
      <c r="F782" t="s">
        <v>21</v>
      </c>
      <c r="G782" s="2">
        <v>43881</v>
      </c>
      <c r="H782" t="s">
        <v>15</v>
      </c>
      <c r="J782" t="s">
        <v>28</v>
      </c>
    </row>
    <row r="783" spans="1:10" x14ac:dyDescent="0.3">
      <c r="A783" t="s">
        <v>53</v>
      </c>
      <c r="B783">
        <v>35</v>
      </c>
      <c r="C783">
        <v>70000</v>
      </c>
      <c r="D783" t="s">
        <v>34</v>
      </c>
      <c r="E783" t="s">
        <v>26</v>
      </c>
      <c r="F783" t="s">
        <v>40</v>
      </c>
      <c r="G783" s="2" t="s">
        <v>62</v>
      </c>
      <c r="H783" t="s">
        <v>27</v>
      </c>
      <c r="I783" t="s">
        <v>23</v>
      </c>
      <c r="J783" t="s">
        <v>51</v>
      </c>
    </row>
    <row r="784" spans="1:10" x14ac:dyDescent="0.3">
      <c r="A784" t="s">
        <v>65</v>
      </c>
      <c r="B784">
        <v>35</v>
      </c>
      <c r="C784" t="s">
        <v>54</v>
      </c>
      <c r="D784" t="s">
        <v>34</v>
      </c>
      <c r="E784" t="s">
        <v>26</v>
      </c>
      <c r="F784" t="s">
        <v>14</v>
      </c>
      <c r="G784" s="2" t="s">
        <v>55</v>
      </c>
      <c r="H784" t="s">
        <v>31</v>
      </c>
      <c r="I784" t="s">
        <v>32</v>
      </c>
      <c r="J784" t="s">
        <v>57</v>
      </c>
    </row>
    <row r="785" spans="1:10" x14ac:dyDescent="0.3">
      <c r="A785" t="s">
        <v>59</v>
      </c>
      <c r="B785" t="s">
        <v>51</v>
      </c>
      <c r="C785">
        <v>50000</v>
      </c>
      <c r="D785" t="s">
        <v>12</v>
      </c>
      <c r="E785" t="s">
        <v>30</v>
      </c>
      <c r="F785" t="s">
        <v>40</v>
      </c>
      <c r="G785" s="2" t="s">
        <v>50</v>
      </c>
      <c r="H785" t="s">
        <v>38</v>
      </c>
      <c r="J785" t="s">
        <v>51</v>
      </c>
    </row>
    <row r="786" spans="1:10" x14ac:dyDescent="0.3">
      <c r="A786" t="s">
        <v>53</v>
      </c>
      <c r="B786" t="s">
        <v>51</v>
      </c>
      <c r="C786" t="s">
        <v>58</v>
      </c>
      <c r="D786" t="s">
        <v>12</v>
      </c>
      <c r="E786" t="s">
        <v>30</v>
      </c>
      <c r="F786" t="s">
        <v>41</v>
      </c>
      <c r="G786" s="2">
        <v>43881</v>
      </c>
      <c r="H786" t="s">
        <v>22</v>
      </c>
      <c r="I786" t="s">
        <v>32</v>
      </c>
      <c r="J786" t="s">
        <v>24</v>
      </c>
    </row>
    <row r="787" spans="1:10" x14ac:dyDescent="0.3">
      <c r="A787" t="s">
        <v>61</v>
      </c>
      <c r="B787">
        <v>50</v>
      </c>
      <c r="C787" t="s">
        <v>58</v>
      </c>
      <c r="D787" t="s">
        <v>34</v>
      </c>
      <c r="E787" t="s">
        <v>20</v>
      </c>
      <c r="F787" t="s">
        <v>40</v>
      </c>
      <c r="G787" s="2" t="s">
        <v>62</v>
      </c>
      <c r="H787" t="s">
        <v>31</v>
      </c>
      <c r="I787" t="s">
        <v>23</v>
      </c>
      <c r="J787" t="s">
        <v>57</v>
      </c>
    </row>
    <row r="788" spans="1:10" x14ac:dyDescent="0.3">
      <c r="A788" t="s">
        <v>49</v>
      </c>
      <c r="B788" t="s">
        <v>63</v>
      </c>
      <c r="C788" t="s">
        <v>58</v>
      </c>
      <c r="D788" t="s">
        <v>12</v>
      </c>
      <c r="E788" t="s">
        <v>13</v>
      </c>
      <c r="F788" t="s">
        <v>37</v>
      </c>
      <c r="G788" s="2" t="s">
        <v>60</v>
      </c>
      <c r="H788" t="s">
        <v>15</v>
      </c>
      <c r="I788" t="s">
        <v>16</v>
      </c>
      <c r="J788" t="s">
        <v>42</v>
      </c>
    </row>
    <row r="789" spans="1:10" x14ac:dyDescent="0.3">
      <c r="A789" t="s">
        <v>61</v>
      </c>
      <c r="B789">
        <v>50</v>
      </c>
      <c r="C789">
        <v>70000</v>
      </c>
      <c r="D789" t="s">
        <v>12</v>
      </c>
      <c r="E789" t="s">
        <v>26</v>
      </c>
      <c r="F789" t="s">
        <v>37</v>
      </c>
      <c r="G789" s="2">
        <v>43881</v>
      </c>
      <c r="H789" t="s">
        <v>15</v>
      </c>
      <c r="I789" t="s">
        <v>51</v>
      </c>
      <c r="J789" t="s">
        <v>57</v>
      </c>
    </row>
    <row r="790" spans="1:10" x14ac:dyDescent="0.3">
      <c r="A790" t="s">
        <v>49</v>
      </c>
      <c r="B790" t="s">
        <v>63</v>
      </c>
      <c r="C790" t="s">
        <v>58</v>
      </c>
      <c r="D790" t="s">
        <v>12</v>
      </c>
      <c r="E790" t="s">
        <v>20</v>
      </c>
      <c r="F790" t="s">
        <v>21</v>
      </c>
      <c r="G790" s="2" t="s">
        <v>50</v>
      </c>
      <c r="H790" t="s">
        <v>38</v>
      </c>
      <c r="I790" t="s">
        <v>51</v>
      </c>
      <c r="J790" t="s">
        <v>51</v>
      </c>
    </row>
    <row r="791" spans="1:10" x14ac:dyDescent="0.3">
      <c r="A791" t="s">
        <v>65</v>
      </c>
      <c r="B791">
        <v>35</v>
      </c>
      <c r="C791">
        <v>50000</v>
      </c>
      <c r="D791" t="s">
        <v>34</v>
      </c>
      <c r="E791" t="s">
        <v>35</v>
      </c>
      <c r="F791" t="s">
        <v>21</v>
      </c>
      <c r="G791" s="2" t="s">
        <v>55</v>
      </c>
      <c r="H791" t="s">
        <v>38</v>
      </c>
      <c r="I791" t="s">
        <v>23</v>
      </c>
      <c r="J791" t="s">
        <v>28</v>
      </c>
    </row>
    <row r="792" spans="1:10" x14ac:dyDescent="0.3">
      <c r="A792" t="s">
        <v>59</v>
      </c>
      <c r="B792">
        <v>25</v>
      </c>
      <c r="C792" t="s">
        <v>54</v>
      </c>
      <c r="D792" t="s">
        <v>12</v>
      </c>
      <c r="E792" t="s">
        <v>35</v>
      </c>
      <c r="F792" t="s">
        <v>21</v>
      </c>
      <c r="G792" s="2">
        <v>43881</v>
      </c>
      <c r="H792" t="s">
        <v>22</v>
      </c>
      <c r="I792" t="s">
        <v>51</v>
      </c>
      <c r="J792" t="s">
        <v>42</v>
      </c>
    </row>
    <row r="793" spans="1:10" x14ac:dyDescent="0.3">
      <c r="A793" t="s">
        <v>64</v>
      </c>
      <c r="B793" t="s">
        <v>51</v>
      </c>
      <c r="C793">
        <v>70000</v>
      </c>
      <c r="D793" t="s">
        <v>34</v>
      </c>
      <c r="E793" t="s">
        <v>20</v>
      </c>
      <c r="F793" t="s">
        <v>14</v>
      </c>
      <c r="G793" s="2">
        <v>43881</v>
      </c>
      <c r="H793" t="s">
        <v>22</v>
      </c>
      <c r="I793" t="s">
        <v>32</v>
      </c>
      <c r="J793" t="s">
        <v>51</v>
      </c>
    </row>
    <row r="794" spans="1:10" x14ac:dyDescent="0.3">
      <c r="A794" t="s">
        <v>61</v>
      </c>
      <c r="B794" t="s">
        <v>63</v>
      </c>
      <c r="C794" t="s">
        <v>54</v>
      </c>
      <c r="D794" t="s">
        <v>12</v>
      </c>
      <c r="E794" t="s">
        <v>26</v>
      </c>
      <c r="F794" t="s">
        <v>21</v>
      </c>
      <c r="G794" s="2" t="s">
        <v>62</v>
      </c>
      <c r="H794" t="s">
        <v>38</v>
      </c>
      <c r="I794" t="s">
        <v>51</v>
      </c>
      <c r="J794" t="s">
        <v>42</v>
      </c>
    </row>
    <row r="795" spans="1:10" x14ac:dyDescent="0.3">
      <c r="A795" t="s">
        <v>61</v>
      </c>
      <c r="B795">
        <v>50</v>
      </c>
      <c r="C795">
        <v>70000</v>
      </c>
      <c r="D795" t="s">
        <v>19</v>
      </c>
      <c r="E795" t="s">
        <v>20</v>
      </c>
      <c r="F795" t="s">
        <v>14</v>
      </c>
      <c r="G795" s="2" t="s">
        <v>60</v>
      </c>
      <c r="H795" t="s">
        <v>38</v>
      </c>
      <c r="I795" t="s">
        <v>23</v>
      </c>
      <c r="J795" t="s">
        <v>57</v>
      </c>
    </row>
    <row r="796" spans="1:10" x14ac:dyDescent="0.3">
      <c r="A796" t="s">
        <v>67</v>
      </c>
      <c r="B796">
        <v>35</v>
      </c>
      <c r="C796" t="s">
        <v>54</v>
      </c>
      <c r="D796" t="s">
        <v>12</v>
      </c>
      <c r="E796" t="s">
        <v>26</v>
      </c>
      <c r="F796" t="s">
        <v>21</v>
      </c>
      <c r="G796" s="2" t="s">
        <v>60</v>
      </c>
      <c r="H796" t="s">
        <v>15</v>
      </c>
      <c r="I796" t="s">
        <v>23</v>
      </c>
      <c r="J796" t="s">
        <v>24</v>
      </c>
    </row>
    <row r="797" spans="1:10" x14ac:dyDescent="0.3">
      <c r="A797" t="s">
        <v>49</v>
      </c>
      <c r="B797" t="s">
        <v>63</v>
      </c>
      <c r="C797">
        <v>55000</v>
      </c>
      <c r="D797" t="s">
        <v>12</v>
      </c>
      <c r="E797" t="s">
        <v>30</v>
      </c>
      <c r="F797" t="s">
        <v>14</v>
      </c>
      <c r="G797" s="2" t="s">
        <v>55</v>
      </c>
      <c r="H797" t="s">
        <v>38</v>
      </c>
      <c r="I797" t="s">
        <v>32</v>
      </c>
      <c r="J797" t="s">
        <v>51</v>
      </c>
    </row>
    <row r="798" spans="1:10" x14ac:dyDescent="0.3">
      <c r="A798" t="s">
        <v>56</v>
      </c>
      <c r="B798">
        <v>50</v>
      </c>
      <c r="C798" t="s">
        <v>54</v>
      </c>
      <c r="D798" t="s">
        <v>34</v>
      </c>
      <c r="E798" t="s">
        <v>20</v>
      </c>
      <c r="F798" t="s">
        <v>40</v>
      </c>
      <c r="G798" s="2" t="s">
        <v>50</v>
      </c>
      <c r="H798" t="s">
        <v>27</v>
      </c>
      <c r="I798" t="s">
        <v>51</v>
      </c>
      <c r="J798" t="s">
        <v>28</v>
      </c>
    </row>
    <row r="799" spans="1:10" x14ac:dyDescent="0.3">
      <c r="A799" t="s">
        <v>59</v>
      </c>
      <c r="B799" t="s">
        <v>51</v>
      </c>
      <c r="C799" t="s">
        <v>58</v>
      </c>
      <c r="D799" t="s">
        <v>34</v>
      </c>
      <c r="E799" t="s">
        <v>26</v>
      </c>
      <c r="F799" t="s">
        <v>40</v>
      </c>
      <c r="G799" s="2" t="s">
        <v>55</v>
      </c>
      <c r="H799" t="s">
        <v>31</v>
      </c>
      <c r="I799" t="s">
        <v>51</v>
      </c>
      <c r="J799" t="s">
        <v>57</v>
      </c>
    </row>
    <row r="800" spans="1:10" x14ac:dyDescent="0.3">
      <c r="A800" t="s">
        <v>49</v>
      </c>
      <c r="B800" t="s">
        <v>51</v>
      </c>
      <c r="C800">
        <v>55000</v>
      </c>
      <c r="D800" t="s">
        <v>12</v>
      </c>
      <c r="E800" t="s">
        <v>20</v>
      </c>
      <c r="F800" t="s">
        <v>37</v>
      </c>
      <c r="G800" s="2">
        <v>43881</v>
      </c>
      <c r="H800" t="s">
        <v>38</v>
      </c>
      <c r="I800" t="s">
        <v>16</v>
      </c>
      <c r="J800" t="s">
        <v>51</v>
      </c>
    </row>
    <row r="801" spans="1:10" x14ac:dyDescent="0.3">
      <c r="A801" t="s">
        <v>67</v>
      </c>
      <c r="B801">
        <v>40</v>
      </c>
      <c r="C801" t="s">
        <v>54</v>
      </c>
      <c r="D801" t="s">
        <v>19</v>
      </c>
      <c r="E801" t="s">
        <v>20</v>
      </c>
      <c r="F801" t="s">
        <v>14</v>
      </c>
      <c r="G801" s="2">
        <v>43881</v>
      </c>
      <c r="H801" t="s">
        <v>22</v>
      </c>
      <c r="J801" t="s">
        <v>28</v>
      </c>
    </row>
    <row r="802" spans="1:10" x14ac:dyDescent="0.3">
      <c r="A802" t="s">
        <v>66</v>
      </c>
      <c r="B802">
        <v>25</v>
      </c>
      <c r="C802">
        <v>70000</v>
      </c>
      <c r="D802" t="s">
        <v>12</v>
      </c>
      <c r="E802" t="s">
        <v>26</v>
      </c>
      <c r="F802" t="s">
        <v>41</v>
      </c>
      <c r="G802" s="2" t="s">
        <v>60</v>
      </c>
      <c r="H802" t="s">
        <v>27</v>
      </c>
      <c r="I802" t="s">
        <v>23</v>
      </c>
      <c r="J802" t="s">
        <v>51</v>
      </c>
    </row>
    <row r="803" spans="1:10" x14ac:dyDescent="0.3">
      <c r="A803" t="s">
        <v>49</v>
      </c>
      <c r="B803">
        <v>40</v>
      </c>
      <c r="C803">
        <v>70000</v>
      </c>
      <c r="D803" t="s">
        <v>12</v>
      </c>
      <c r="E803" t="s">
        <v>26</v>
      </c>
      <c r="F803" t="s">
        <v>37</v>
      </c>
      <c r="G803" s="2" t="s">
        <v>50</v>
      </c>
      <c r="H803" t="s">
        <v>22</v>
      </c>
      <c r="I803" t="s">
        <v>16</v>
      </c>
      <c r="J803" t="s">
        <v>57</v>
      </c>
    </row>
    <row r="804" spans="1:10" x14ac:dyDescent="0.3">
      <c r="A804" t="s">
        <v>64</v>
      </c>
      <c r="B804">
        <v>35</v>
      </c>
      <c r="C804">
        <v>70000</v>
      </c>
      <c r="D804" t="s">
        <v>19</v>
      </c>
      <c r="E804" t="s">
        <v>13</v>
      </c>
      <c r="F804" t="s">
        <v>40</v>
      </c>
      <c r="G804" s="2" t="s">
        <v>62</v>
      </c>
      <c r="H804" t="s">
        <v>27</v>
      </c>
      <c r="I804" t="s">
        <v>23</v>
      </c>
      <c r="J804" t="s">
        <v>51</v>
      </c>
    </row>
    <row r="805" spans="1:10" x14ac:dyDescent="0.3">
      <c r="A805" t="s">
        <v>59</v>
      </c>
      <c r="B805" t="s">
        <v>63</v>
      </c>
      <c r="C805">
        <v>65000</v>
      </c>
      <c r="D805" t="s">
        <v>34</v>
      </c>
      <c r="E805" t="s">
        <v>20</v>
      </c>
      <c r="F805" t="s">
        <v>14</v>
      </c>
      <c r="G805" s="2" t="s">
        <v>50</v>
      </c>
      <c r="H805" t="s">
        <v>38</v>
      </c>
      <c r="I805" t="s">
        <v>16</v>
      </c>
      <c r="J805" t="s">
        <v>42</v>
      </c>
    </row>
    <row r="806" spans="1:10" x14ac:dyDescent="0.3">
      <c r="A806" t="s">
        <v>67</v>
      </c>
      <c r="B806">
        <v>35</v>
      </c>
      <c r="C806">
        <v>50000</v>
      </c>
      <c r="D806" t="s">
        <v>12</v>
      </c>
      <c r="E806" t="s">
        <v>35</v>
      </c>
      <c r="F806" t="s">
        <v>21</v>
      </c>
      <c r="G806" s="2">
        <v>43881</v>
      </c>
      <c r="H806" t="s">
        <v>31</v>
      </c>
      <c r="J806" t="s">
        <v>57</v>
      </c>
    </row>
    <row r="807" spans="1:10" x14ac:dyDescent="0.3">
      <c r="A807" t="s">
        <v>66</v>
      </c>
      <c r="B807">
        <v>50</v>
      </c>
      <c r="C807">
        <v>70000</v>
      </c>
      <c r="D807" t="s">
        <v>34</v>
      </c>
      <c r="E807" t="s">
        <v>20</v>
      </c>
      <c r="F807" t="s">
        <v>41</v>
      </c>
      <c r="G807" s="2" t="s">
        <v>62</v>
      </c>
      <c r="H807" t="s">
        <v>22</v>
      </c>
      <c r="I807" t="s">
        <v>16</v>
      </c>
      <c r="J807" t="s">
        <v>51</v>
      </c>
    </row>
    <row r="808" spans="1:10" x14ac:dyDescent="0.3">
      <c r="A808" t="s">
        <v>52</v>
      </c>
      <c r="B808" t="s">
        <v>51</v>
      </c>
      <c r="C808">
        <v>55000</v>
      </c>
      <c r="D808" t="s">
        <v>34</v>
      </c>
      <c r="E808" t="s">
        <v>20</v>
      </c>
      <c r="F808" t="s">
        <v>40</v>
      </c>
      <c r="G808" s="2" t="s">
        <v>50</v>
      </c>
      <c r="H808" t="s">
        <v>27</v>
      </c>
      <c r="I808" t="s">
        <v>23</v>
      </c>
      <c r="J808" t="s">
        <v>24</v>
      </c>
    </row>
    <row r="809" spans="1:10" x14ac:dyDescent="0.3">
      <c r="A809" t="s">
        <v>67</v>
      </c>
      <c r="B809">
        <v>40</v>
      </c>
      <c r="C809">
        <v>70000</v>
      </c>
      <c r="D809" t="s">
        <v>19</v>
      </c>
      <c r="E809" t="s">
        <v>26</v>
      </c>
      <c r="F809" t="s">
        <v>37</v>
      </c>
      <c r="G809" s="2" t="s">
        <v>50</v>
      </c>
      <c r="H809" t="s">
        <v>15</v>
      </c>
      <c r="I809" t="s">
        <v>51</v>
      </c>
      <c r="J809" t="s">
        <v>51</v>
      </c>
    </row>
    <row r="810" spans="1:10" x14ac:dyDescent="0.3">
      <c r="A810" t="s">
        <v>52</v>
      </c>
      <c r="B810">
        <v>40</v>
      </c>
      <c r="C810">
        <v>65000</v>
      </c>
      <c r="D810" t="s">
        <v>19</v>
      </c>
      <c r="E810" t="s">
        <v>20</v>
      </c>
      <c r="F810" t="s">
        <v>14</v>
      </c>
      <c r="G810" s="2" t="s">
        <v>62</v>
      </c>
      <c r="H810" t="s">
        <v>38</v>
      </c>
      <c r="I810" t="s">
        <v>23</v>
      </c>
      <c r="J810" t="s">
        <v>42</v>
      </c>
    </row>
    <row r="811" spans="1:10" x14ac:dyDescent="0.3">
      <c r="A811" t="s">
        <v>59</v>
      </c>
      <c r="B811">
        <v>40</v>
      </c>
      <c r="C811" t="s">
        <v>58</v>
      </c>
      <c r="D811" t="s">
        <v>34</v>
      </c>
      <c r="E811" t="s">
        <v>20</v>
      </c>
      <c r="F811" t="s">
        <v>41</v>
      </c>
      <c r="G811" s="2">
        <v>43881</v>
      </c>
      <c r="H811" t="s">
        <v>31</v>
      </c>
      <c r="I811" t="s">
        <v>32</v>
      </c>
      <c r="J811" t="s">
        <v>28</v>
      </c>
    </row>
    <row r="812" spans="1:10" x14ac:dyDescent="0.3">
      <c r="A812" t="s">
        <v>61</v>
      </c>
      <c r="B812">
        <v>35</v>
      </c>
      <c r="C812">
        <v>55000</v>
      </c>
      <c r="D812" t="s">
        <v>12</v>
      </c>
      <c r="E812" t="s">
        <v>35</v>
      </c>
      <c r="F812" t="s">
        <v>14</v>
      </c>
      <c r="G812" s="2" t="s">
        <v>50</v>
      </c>
      <c r="H812" t="s">
        <v>38</v>
      </c>
      <c r="I812" t="s">
        <v>32</v>
      </c>
      <c r="J812" t="s">
        <v>28</v>
      </c>
    </row>
    <row r="813" spans="1:10" x14ac:dyDescent="0.3">
      <c r="A813" t="s">
        <v>67</v>
      </c>
      <c r="B813" t="s">
        <v>51</v>
      </c>
      <c r="C813">
        <v>65000</v>
      </c>
      <c r="D813" t="s">
        <v>34</v>
      </c>
      <c r="E813" t="s">
        <v>26</v>
      </c>
      <c r="F813" t="s">
        <v>21</v>
      </c>
      <c r="G813" s="2" t="s">
        <v>62</v>
      </c>
      <c r="H813" t="s">
        <v>15</v>
      </c>
      <c r="I813" t="s">
        <v>32</v>
      </c>
      <c r="J813" t="s">
        <v>28</v>
      </c>
    </row>
    <row r="814" spans="1:10" x14ac:dyDescent="0.3">
      <c r="A814" t="s">
        <v>65</v>
      </c>
      <c r="B814" t="s">
        <v>63</v>
      </c>
      <c r="C814" t="s">
        <v>58</v>
      </c>
      <c r="D814" t="s">
        <v>12</v>
      </c>
      <c r="E814" t="s">
        <v>20</v>
      </c>
      <c r="F814" t="s">
        <v>37</v>
      </c>
      <c r="G814" s="2">
        <v>43881</v>
      </c>
      <c r="H814" t="s">
        <v>31</v>
      </c>
      <c r="I814" t="s">
        <v>32</v>
      </c>
      <c r="J814" t="s">
        <v>24</v>
      </c>
    </row>
    <row r="815" spans="1:10" x14ac:dyDescent="0.3">
      <c r="A815" t="s">
        <v>52</v>
      </c>
      <c r="B815">
        <v>50</v>
      </c>
      <c r="C815">
        <v>55000</v>
      </c>
      <c r="D815" t="s">
        <v>12</v>
      </c>
      <c r="E815" t="s">
        <v>30</v>
      </c>
      <c r="F815" t="s">
        <v>14</v>
      </c>
      <c r="G815" s="2" t="s">
        <v>62</v>
      </c>
      <c r="H815" t="s">
        <v>15</v>
      </c>
      <c r="J815" t="s">
        <v>42</v>
      </c>
    </row>
    <row r="816" spans="1:10" x14ac:dyDescent="0.3">
      <c r="A816" t="s">
        <v>64</v>
      </c>
      <c r="B816" t="s">
        <v>63</v>
      </c>
      <c r="C816" t="s">
        <v>54</v>
      </c>
      <c r="D816" t="s">
        <v>19</v>
      </c>
      <c r="E816" t="s">
        <v>13</v>
      </c>
      <c r="F816" t="s">
        <v>40</v>
      </c>
      <c r="G816" s="2" t="s">
        <v>62</v>
      </c>
      <c r="H816" t="s">
        <v>38</v>
      </c>
      <c r="I816" t="s">
        <v>51</v>
      </c>
      <c r="J816" t="s">
        <v>57</v>
      </c>
    </row>
    <row r="817" spans="1:10" x14ac:dyDescent="0.3">
      <c r="A817" t="s">
        <v>65</v>
      </c>
      <c r="B817">
        <v>35</v>
      </c>
      <c r="C817">
        <v>50000</v>
      </c>
      <c r="D817" t="s">
        <v>12</v>
      </c>
      <c r="E817" t="s">
        <v>35</v>
      </c>
      <c r="F817" t="s">
        <v>37</v>
      </c>
      <c r="G817" s="2" t="s">
        <v>50</v>
      </c>
      <c r="H817" t="s">
        <v>27</v>
      </c>
      <c r="I817" t="s">
        <v>51</v>
      </c>
      <c r="J817" t="s">
        <v>28</v>
      </c>
    </row>
    <row r="818" spans="1:10" x14ac:dyDescent="0.3">
      <c r="A818" t="s">
        <v>53</v>
      </c>
      <c r="B818">
        <v>50</v>
      </c>
      <c r="C818">
        <v>50000</v>
      </c>
      <c r="D818" t="s">
        <v>12</v>
      </c>
      <c r="E818" t="s">
        <v>20</v>
      </c>
      <c r="F818" t="s">
        <v>40</v>
      </c>
      <c r="G818" s="2">
        <v>43881</v>
      </c>
      <c r="H818" t="s">
        <v>38</v>
      </c>
      <c r="I818" t="s">
        <v>23</v>
      </c>
      <c r="J818" t="s">
        <v>42</v>
      </c>
    </row>
    <row r="819" spans="1:10" x14ac:dyDescent="0.3">
      <c r="A819" t="s">
        <v>53</v>
      </c>
      <c r="B819">
        <v>40</v>
      </c>
      <c r="C819">
        <v>65000</v>
      </c>
      <c r="D819" t="s">
        <v>34</v>
      </c>
      <c r="E819" t="s">
        <v>30</v>
      </c>
      <c r="F819" t="s">
        <v>14</v>
      </c>
      <c r="G819" s="2" t="s">
        <v>50</v>
      </c>
      <c r="H819" t="s">
        <v>38</v>
      </c>
      <c r="I819" t="s">
        <v>16</v>
      </c>
      <c r="J819" t="s">
        <v>51</v>
      </c>
    </row>
    <row r="820" spans="1:10" x14ac:dyDescent="0.3">
      <c r="A820" t="s">
        <v>66</v>
      </c>
      <c r="B820">
        <v>25</v>
      </c>
      <c r="C820" t="s">
        <v>58</v>
      </c>
      <c r="D820" t="s">
        <v>19</v>
      </c>
      <c r="E820" t="s">
        <v>20</v>
      </c>
      <c r="F820" t="s">
        <v>37</v>
      </c>
      <c r="G820" s="2" t="s">
        <v>55</v>
      </c>
      <c r="H820" t="s">
        <v>38</v>
      </c>
      <c r="I820" t="s">
        <v>23</v>
      </c>
      <c r="J820" t="s">
        <v>24</v>
      </c>
    </row>
    <row r="821" spans="1:10" x14ac:dyDescent="0.3">
      <c r="A821" t="s">
        <v>61</v>
      </c>
      <c r="B821">
        <v>35</v>
      </c>
      <c r="C821">
        <v>50000</v>
      </c>
      <c r="D821" t="s">
        <v>12</v>
      </c>
      <c r="E821" t="s">
        <v>20</v>
      </c>
      <c r="F821" t="s">
        <v>40</v>
      </c>
      <c r="G821" s="2" t="s">
        <v>55</v>
      </c>
      <c r="H821" t="s">
        <v>22</v>
      </c>
      <c r="I821" t="s">
        <v>23</v>
      </c>
      <c r="J821" t="s">
        <v>42</v>
      </c>
    </row>
    <row r="822" spans="1:10" x14ac:dyDescent="0.3">
      <c r="A822" t="s">
        <v>59</v>
      </c>
      <c r="B822">
        <v>35</v>
      </c>
      <c r="C822" t="s">
        <v>58</v>
      </c>
      <c r="D822" t="s">
        <v>12</v>
      </c>
      <c r="E822" t="s">
        <v>26</v>
      </c>
      <c r="F822" t="s">
        <v>21</v>
      </c>
      <c r="G822" s="2">
        <v>43881</v>
      </c>
      <c r="H822" t="s">
        <v>15</v>
      </c>
      <c r="I822" t="s">
        <v>23</v>
      </c>
      <c r="J822" t="s">
        <v>42</v>
      </c>
    </row>
    <row r="823" spans="1:10" x14ac:dyDescent="0.3">
      <c r="A823" t="s">
        <v>67</v>
      </c>
      <c r="B823" t="s">
        <v>51</v>
      </c>
      <c r="C823" t="s">
        <v>58</v>
      </c>
      <c r="D823" t="s">
        <v>19</v>
      </c>
      <c r="E823" t="s">
        <v>26</v>
      </c>
      <c r="F823" t="s">
        <v>21</v>
      </c>
      <c r="G823" s="2" t="s">
        <v>62</v>
      </c>
      <c r="H823" t="s">
        <v>15</v>
      </c>
      <c r="I823" t="s">
        <v>23</v>
      </c>
      <c r="J823" t="s">
        <v>57</v>
      </c>
    </row>
    <row r="824" spans="1:10" x14ac:dyDescent="0.3">
      <c r="A824" t="s">
        <v>56</v>
      </c>
      <c r="B824" t="s">
        <v>63</v>
      </c>
      <c r="C824">
        <v>65000</v>
      </c>
      <c r="D824" t="s">
        <v>34</v>
      </c>
      <c r="E824" t="s">
        <v>26</v>
      </c>
      <c r="F824" t="s">
        <v>14</v>
      </c>
      <c r="G824" s="2" t="s">
        <v>50</v>
      </c>
      <c r="H824" t="s">
        <v>15</v>
      </c>
      <c r="I824" t="s">
        <v>51</v>
      </c>
      <c r="J824" t="s">
        <v>42</v>
      </c>
    </row>
    <row r="825" spans="1:10" x14ac:dyDescent="0.3">
      <c r="A825" t="s">
        <v>64</v>
      </c>
      <c r="B825">
        <v>35</v>
      </c>
      <c r="C825">
        <v>65000</v>
      </c>
      <c r="D825" t="s">
        <v>19</v>
      </c>
      <c r="E825" t="s">
        <v>30</v>
      </c>
      <c r="F825" t="s">
        <v>37</v>
      </c>
      <c r="G825" s="2" t="s">
        <v>50</v>
      </c>
      <c r="H825" t="s">
        <v>22</v>
      </c>
      <c r="I825" t="s">
        <v>16</v>
      </c>
      <c r="J825" t="s">
        <v>57</v>
      </c>
    </row>
    <row r="826" spans="1:10" x14ac:dyDescent="0.3">
      <c r="A826" t="s">
        <v>52</v>
      </c>
      <c r="B826">
        <v>35</v>
      </c>
      <c r="C826">
        <v>65000</v>
      </c>
      <c r="D826" t="s">
        <v>19</v>
      </c>
      <c r="E826" t="s">
        <v>20</v>
      </c>
      <c r="F826" t="s">
        <v>41</v>
      </c>
      <c r="G826" s="2">
        <v>43881</v>
      </c>
      <c r="H826" t="s">
        <v>27</v>
      </c>
      <c r="I826" t="s">
        <v>23</v>
      </c>
      <c r="J826" t="s">
        <v>24</v>
      </c>
    </row>
    <row r="827" spans="1:10" x14ac:dyDescent="0.3">
      <c r="A827" t="s">
        <v>59</v>
      </c>
      <c r="B827">
        <v>40</v>
      </c>
      <c r="C827">
        <v>50000</v>
      </c>
      <c r="D827" t="s">
        <v>12</v>
      </c>
      <c r="E827" t="s">
        <v>13</v>
      </c>
      <c r="F827" t="s">
        <v>37</v>
      </c>
      <c r="G827" s="2">
        <v>43881</v>
      </c>
      <c r="H827" t="s">
        <v>38</v>
      </c>
      <c r="I827" t="s">
        <v>51</v>
      </c>
      <c r="J827" t="s">
        <v>24</v>
      </c>
    </row>
    <row r="828" spans="1:10" x14ac:dyDescent="0.3">
      <c r="A828" t="s">
        <v>65</v>
      </c>
      <c r="B828">
        <v>40</v>
      </c>
      <c r="C828">
        <v>65000</v>
      </c>
      <c r="D828" t="s">
        <v>12</v>
      </c>
      <c r="E828" t="s">
        <v>35</v>
      </c>
      <c r="F828" t="s">
        <v>21</v>
      </c>
      <c r="G828" s="2" t="s">
        <v>55</v>
      </c>
      <c r="H828" t="s">
        <v>27</v>
      </c>
      <c r="I828" t="s">
        <v>23</v>
      </c>
      <c r="J828" t="s">
        <v>51</v>
      </c>
    </row>
    <row r="829" spans="1:10" x14ac:dyDescent="0.3">
      <c r="A829" t="s">
        <v>53</v>
      </c>
      <c r="B829">
        <v>50</v>
      </c>
      <c r="C829">
        <v>50000</v>
      </c>
      <c r="D829" t="s">
        <v>34</v>
      </c>
      <c r="E829" t="s">
        <v>26</v>
      </c>
      <c r="F829" t="s">
        <v>40</v>
      </c>
      <c r="G829" s="2" t="s">
        <v>60</v>
      </c>
      <c r="H829" t="s">
        <v>22</v>
      </c>
      <c r="I829" t="s">
        <v>32</v>
      </c>
      <c r="J829" t="s">
        <v>57</v>
      </c>
    </row>
    <row r="830" spans="1:10" x14ac:dyDescent="0.3">
      <c r="A830" t="s">
        <v>64</v>
      </c>
      <c r="B830">
        <v>25</v>
      </c>
      <c r="C830">
        <v>65000</v>
      </c>
      <c r="D830" t="s">
        <v>12</v>
      </c>
      <c r="E830" t="s">
        <v>26</v>
      </c>
      <c r="F830" t="s">
        <v>41</v>
      </c>
      <c r="G830" s="2">
        <v>43881</v>
      </c>
      <c r="H830" t="s">
        <v>15</v>
      </c>
      <c r="I830" t="s">
        <v>23</v>
      </c>
      <c r="J830" t="s">
        <v>57</v>
      </c>
    </row>
    <row r="831" spans="1:10" x14ac:dyDescent="0.3">
      <c r="A831" t="s">
        <v>56</v>
      </c>
      <c r="B831" t="s">
        <v>51</v>
      </c>
      <c r="C831">
        <v>70000</v>
      </c>
      <c r="D831" t="s">
        <v>12</v>
      </c>
      <c r="E831" t="s">
        <v>20</v>
      </c>
      <c r="F831" t="s">
        <v>14</v>
      </c>
      <c r="G831" s="2" t="s">
        <v>60</v>
      </c>
      <c r="H831" t="s">
        <v>38</v>
      </c>
      <c r="I831" t="s">
        <v>23</v>
      </c>
      <c r="J831" t="s">
        <v>28</v>
      </c>
    </row>
    <row r="832" spans="1:10" x14ac:dyDescent="0.3">
      <c r="A832" t="s">
        <v>67</v>
      </c>
      <c r="B832">
        <v>25</v>
      </c>
      <c r="C832" t="s">
        <v>58</v>
      </c>
      <c r="D832" t="s">
        <v>19</v>
      </c>
      <c r="E832" t="s">
        <v>20</v>
      </c>
      <c r="F832" t="s">
        <v>41</v>
      </c>
      <c r="G832" s="2">
        <v>43881</v>
      </c>
      <c r="H832" t="s">
        <v>31</v>
      </c>
      <c r="J832" t="s">
        <v>28</v>
      </c>
    </row>
    <row r="833" spans="1:10" x14ac:dyDescent="0.3">
      <c r="A833" t="s">
        <v>66</v>
      </c>
      <c r="B833">
        <v>50</v>
      </c>
      <c r="C833">
        <v>65000</v>
      </c>
      <c r="D833" t="s">
        <v>12</v>
      </c>
      <c r="E833" t="s">
        <v>30</v>
      </c>
      <c r="F833" t="s">
        <v>14</v>
      </c>
      <c r="G833" s="2" t="s">
        <v>62</v>
      </c>
      <c r="H833" t="s">
        <v>31</v>
      </c>
      <c r="I833" t="s">
        <v>32</v>
      </c>
      <c r="J833" t="s">
        <v>51</v>
      </c>
    </row>
    <row r="834" spans="1:10" x14ac:dyDescent="0.3">
      <c r="A834" t="s">
        <v>56</v>
      </c>
      <c r="B834">
        <v>40</v>
      </c>
      <c r="C834">
        <v>55000</v>
      </c>
      <c r="D834" t="s">
        <v>34</v>
      </c>
      <c r="E834" t="s">
        <v>30</v>
      </c>
      <c r="F834" t="s">
        <v>41</v>
      </c>
      <c r="G834" s="2" t="s">
        <v>62</v>
      </c>
      <c r="H834" t="s">
        <v>27</v>
      </c>
      <c r="I834" t="s">
        <v>16</v>
      </c>
      <c r="J834" t="s">
        <v>24</v>
      </c>
    </row>
    <row r="835" spans="1:10" x14ac:dyDescent="0.3">
      <c r="A835" t="s">
        <v>64</v>
      </c>
      <c r="B835" t="s">
        <v>63</v>
      </c>
      <c r="C835" t="s">
        <v>58</v>
      </c>
      <c r="D835" t="s">
        <v>19</v>
      </c>
      <c r="E835" t="s">
        <v>26</v>
      </c>
      <c r="F835" t="s">
        <v>14</v>
      </c>
      <c r="G835" s="2" t="s">
        <v>55</v>
      </c>
      <c r="H835" t="s">
        <v>15</v>
      </c>
      <c r="I835" t="s">
        <v>23</v>
      </c>
      <c r="J835" t="s">
        <v>28</v>
      </c>
    </row>
    <row r="836" spans="1:10" x14ac:dyDescent="0.3">
      <c r="A836" t="s">
        <v>56</v>
      </c>
      <c r="B836">
        <v>40</v>
      </c>
      <c r="C836" t="s">
        <v>58</v>
      </c>
      <c r="D836" t="s">
        <v>34</v>
      </c>
      <c r="E836" t="s">
        <v>20</v>
      </c>
      <c r="F836" t="s">
        <v>14</v>
      </c>
      <c r="G836" s="2" t="s">
        <v>55</v>
      </c>
      <c r="H836" t="s">
        <v>31</v>
      </c>
      <c r="I836" t="s">
        <v>16</v>
      </c>
      <c r="J836" t="s">
        <v>42</v>
      </c>
    </row>
    <row r="837" spans="1:10" x14ac:dyDescent="0.3">
      <c r="A837" t="s">
        <v>64</v>
      </c>
      <c r="B837" t="s">
        <v>51</v>
      </c>
      <c r="C837">
        <v>65000</v>
      </c>
      <c r="D837" t="s">
        <v>19</v>
      </c>
      <c r="E837" t="s">
        <v>13</v>
      </c>
      <c r="F837" t="s">
        <v>41</v>
      </c>
      <c r="G837" s="2" t="s">
        <v>60</v>
      </c>
      <c r="H837" t="s">
        <v>27</v>
      </c>
      <c r="I837" t="s">
        <v>32</v>
      </c>
      <c r="J837" t="s">
        <v>24</v>
      </c>
    </row>
    <row r="838" spans="1:10" x14ac:dyDescent="0.3">
      <c r="A838" t="s">
        <v>64</v>
      </c>
      <c r="B838">
        <v>40</v>
      </c>
      <c r="C838" t="s">
        <v>54</v>
      </c>
      <c r="D838" t="s">
        <v>12</v>
      </c>
      <c r="E838" t="s">
        <v>35</v>
      </c>
      <c r="F838" t="s">
        <v>41</v>
      </c>
      <c r="G838" s="2">
        <v>43881</v>
      </c>
      <c r="H838" t="s">
        <v>22</v>
      </c>
      <c r="I838" t="s">
        <v>23</v>
      </c>
      <c r="J838" t="s">
        <v>42</v>
      </c>
    </row>
    <row r="839" spans="1:10" x14ac:dyDescent="0.3">
      <c r="A839" t="s">
        <v>49</v>
      </c>
      <c r="B839" t="s">
        <v>51</v>
      </c>
      <c r="C839">
        <v>65000</v>
      </c>
      <c r="D839" t="s">
        <v>19</v>
      </c>
      <c r="E839" t="s">
        <v>20</v>
      </c>
      <c r="F839" t="s">
        <v>14</v>
      </c>
      <c r="G839" s="2" t="s">
        <v>50</v>
      </c>
      <c r="H839" t="s">
        <v>27</v>
      </c>
      <c r="J839" t="s">
        <v>57</v>
      </c>
    </row>
    <row r="840" spans="1:10" x14ac:dyDescent="0.3">
      <c r="A840" t="s">
        <v>52</v>
      </c>
      <c r="B840" t="s">
        <v>51</v>
      </c>
      <c r="C840" t="s">
        <v>58</v>
      </c>
      <c r="D840" t="s">
        <v>19</v>
      </c>
      <c r="E840" t="s">
        <v>20</v>
      </c>
      <c r="F840" t="s">
        <v>21</v>
      </c>
      <c r="G840" s="2" t="s">
        <v>55</v>
      </c>
      <c r="H840" t="s">
        <v>27</v>
      </c>
      <c r="I840" t="s">
        <v>51</v>
      </c>
      <c r="J840" t="s">
        <v>24</v>
      </c>
    </row>
    <row r="841" spans="1:10" x14ac:dyDescent="0.3">
      <c r="A841" t="s">
        <v>53</v>
      </c>
      <c r="B841" t="s">
        <v>51</v>
      </c>
      <c r="C841">
        <v>55000</v>
      </c>
      <c r="D841" t="s">
        <v>12</v>
      </c>
      <c r="E841" t="s">
        <v>30</v>
      </c>
      <c r="F841" t="s">
        <v>41</v>
      </c>
      <c r="G841" s="2" t="s">
        <v>50</v>
      </c>
      <c r="H841" t="s">
        <v>27</v>
      </c>
      <c r="J841" t="s">
        <v>51</v>
      </c>
    </row>
    <row r="842" spans="1:10" x14ac:dyDescent="0.3">
      <c r="A842" t="s">
        <v>49</v>
      </c>
      <c r="B842">
        <v>50</v>
      </c>
      <c r="C842" t="s">
        <v>58</v>
      </c>
      <c r="D842" t="s">
        <v>12</v>
      </c>
      <c r="E842" t="s">
        <v>35</v>
      </c>
      <c r="F842" t="s">
        <v>37</v>
      </c>
      <c r="G842" s="2" t="s">
        <v>50</v>
      </c>
      <c r="H842" t="s">
        <v>38</v>
      </c>
      <c r="J842" t="s">
        <v>57</v>
      </c>
    </row>
    <row r="843" spans="1:10" x14ac:dyDescent="0.3">
      <c r="A843" t="s">
        <v>67</v>
      </c>
      <c r="B843" t="s">
        <v>51</v>
      </c>
      <c r="C843">
        <v>55000</v>
      </c>
      <c r="D843" t="s">
        <v>34</v>
      </c>
      <c r="E843" t="s">
        <v>26</v>
      </c>
      <c r="F843" t="s">
        <v>40</v>
      </c>
      <c r="G843" s="2">
        <v>43881</v>
      </c>
      <c r="H843" t="s">
        <v>27</v>
      </c>
      <c r="I843" t="s">
        <v>51</v>
      </c>
      <c r="J843" t="s">
        <v>57</v>
      </c>
    </row>
    <row r="844" spans="1:10" x14ac:dyDescent="0.3">
      <c r="A844" t="s">
        <v>49</v>
      </c>
      <c r="B844" t="s">
        <v>51</v>
      </c>
      <c r="C844">
        <v>50000</v>
      </c>
      <c r="D844" t="s">
        <v>34</v>
      </c>
      <c r="E844" t="s">
        <v>20</v>
      </c>
      <c r="F844" t="s">
        <v>14</v>
      </c>
      <c r="G844" s="2" t="s">
        <v>60</v>
      </c>
      <c r="H844" t="s">
        <v>27</v>
      </c>
      <c r="I844" t="s">
        <v>51</v>
      </c>
      <c r="J844" t="s">
        <v>42</v>
      </c>
    </row>
    <row r="845" spans="1:10" x14ac:dyDescent="0.3">
      <c r="A845" t="s">
        <v>61</v>
      </c>
      <c r="B845" t="s">
        <v>63</v>
      </c>
      <c r="C845">
        <v>70000</v>
      </c>
      <c r="D845" t="s">
        <v>12</v>
      </c>
      <c r="E845" t="s">
        <v>26</v>
      </c>
      <c r="F845" t="s">
        <v>14</v>
      </c>
      <c r="G845" s="2">
        <v>43881</v>
      </c>
      <c r="H845" t="s">
        <v>38</v>
      </c>
      <c r="I845" t="s">
        <v>51</v>
      </c>
      <c r="J845" t="s">
        <v>57</v>
      </c>
    </row>
    <row r="846" spans="1:10" x14ac:dyDescent="0.3">
      <c r="A846" t="s">
        <v>61</v>
      </c>
      <c r="B846">
        <v>25</v>
      </c>
      <c r="C846" t="s">
        <v>58</v>
      </c>
      <c r="D846" t="s">
        <v>12</v>
      </c>
      <c r="E846" t="s">
        <v>20</v>
      </c>
      <c r="F846" t="s">
        <v>40</v>
      </c>
      <c r="G846" s="2" t="s">
        <v>55</v>
      </c>
      <c r="H846" t="s">
        <v>38</v>
      </c>
      <c r="I846" t="s">
        <v>23</v>
      </c>
      <c r="J846" t="s">
        <v>28</v>
      </c>
    </row>
    <row r="847" spans="1:10" x14ac:dyDescent="0.3">
      <c r="A847" t="s">
        <v>53</v>
      </c>
      <c r="B847">
        <v>35</v>
      </c>
      <c r="C847">
        <v>65000</v>
      </c>
      <c r="D847" t="s">
        <v>12</v>
      </c>
      <c r="E847" t="s">
        <v>26</v>
      </c>
      <c r="F847" t="s">
        <v>21</v>
      </c>
      <c r="G847" s="2" t="s">
        <v>50</v>
      </c>
      <c r="H847" t="s">
        <v>22</v>
      </c>
      <c r="I847" t="s">
        <v>16</v>
      </c>
      <c r="J847" t="s">
        <v>24</v>
      </c>
    </row>
    <row r="848" spans="1:10" x14ac:dyDescent="0.3">
      <c r="A848" t="s">
        <v>56</v>
      </c>
      <c r="B848">
        <v>25</v>
      </c>
      <c r="C848">
        <v>50000</v>
      </c>
      <c r="D848" t="s">
        <v>19</v>
      </c>
      <c r="E848" t="s">
        <v>35</v>
      </c>
      <c r="F848" t="s">
        <v>40</v>
      </c>
      <c r="G848" s="2">
        <v>43881</v>
      </c>
      <c r="H848" t="s">
        <v>15</v>
      </c>
      <c r="I848" t="s">
        <v>16</v>
      </c>
      <c r="J848" t="s">
        <v>28</v>
      </c>
    </row>
    <row r="849" spans="1:10" x14ac:dyDescent="0.3">
      <c r="A849" t="s">
        <v>52</v>
      </c>
      <c r="B849" t="s">
        <v>51</v>
      </c>
      <c r="C849">
        <v>70000</v>
      </c>
      <c r="D849" t="s">
        <v>19</v>
      </c>
      <c r="E849" t="s">
        <v>30</v>
      </c>
      <c r="F849" t="s">
        <v>41</v>
      </c>
      <c r="G849" s="2">
        <v>43881</v>
      </c>
      <c r="H849" t="s">
        <v>31</v>
      </c>
      <c r="I849" t="s">
        <v>51</v>
      </c>
      <c r="J849" t="s">
        <v>42</v>
      </c>
    </row>
    <row r="850" spans="1:10" x14ac:dyDescent="0.3">
      <c r="A850" t="s">
        <v>53</v>
      </c>
      <c r="B850" t="s">
        <v>63</v>
      </c>
      <c r="C850">
        <v>65000</v>
      </c>
      <c r="D850" t="s">
        <v>19</v>
      </c>
      <c r="E850" t="s">
        <v>35</v>
      </c>
      <c r="F850" t="s">
        <v>40</v>
      </c>
      <c r="G850" s="2">
        <v>43881</v>
      </c>
      <c r="H850" t="s">
        <v>31</v>
      </c>
      <c r="J850" t="s">
        <v>42</v>
      </c>
    </row>
    <row r="851" spans="1:10" x14ac:dyDescent="0.3">
      <c r="A851" t="s">
        <v>64</v>
      </c>
      <c r="B851">
        <v>40</v>
      </c>
      <c r="C851" t="s">
        <v>54</v>
      </c>
      <c r="D851" t="s">
        <v>12</v>
      </c>
      <c r="E851" t="s">
        <v>13</v>
      </c>
      <c r="F851" t="s">
        <v>14</v>
      </c>
      <c r="G851" s="2" t="s">
        <v>55</v>
      </c>
      <c r="H851" t="s">
        <v>27</v>
      </c>
      <c r="I851" t="s">
        <v>32</v>
      </c>
      <c r="J851" t="s">
        <v>24</v>
      </c>
    </row>
    <row r="852" spans="1:10" x14ac:dyDescent="0.3">
      <c r="A852" t="s">
        <v>65</v>
      </c>
      <c r="B852" t="s">
        <v>63</v>
      </c>
      <c r="C852">
        <v>65000</v>
      </c>
      <c r="D852" t="s">
        <v>34</v>
      </c>
      <c r="E852" t="s">
        <v>30</v>
      </c>
      <c r="F852" t="s">
        <v>40</v>
      </c>
      <c r="G852" s="2" t="s">
        <v>60</v>
      </c>
      <c r="H852" t="s">
        <v>22</v>
      </c>
      <c r="I852" t="s">
        <v>51</v>
      </c>
      <c r="J852" t="s">
        <v>57</v>
      </c>
    </row>
    <row r="853" spans="1:10" x14ac:dyDescent="0.3">
      <c r="A853" t="s">
        <v>52</v>
      </c>
      <c r="B853" t="s">
        <v>51</v>
      </c>
      <c r="C853">
        <v>55000</v>
      </c>
      <c r="D853" t="s">
        <v>12</v>
      </c>
      <c r="E853" t="s">
        <v>35</v>
      </c>
      <c r="F853" t="s">
        <v>37</v>
      </c>
      <c r="G853" s="2">
        <v>43881</v>
      </c>
      <c r="H853" t="s">
        <v>27</v>
      </c>
      <c r="J853" t="s">
        <v>51</v>
      </c>
    </row>
    <row r="854" spans="1:10" x14ac:dyDescent="0.3">
      <c r="A854" t="s">
        <v>52</v>
      </c>
      <c r="B854" t="s">
        <v>63</v>
      </c>
      <c r="C854">
        <v>55000</v>
      </c>
      <c r="D854" t="s">
        <v>19</v>
      </c>
      <c r="E854" t="s">
        <v>13</v>
      </c>
      <c r="F854" t="s">
        <v>41</v>
      </c>
      <c r="G854" s="2" t="s">
        <v>55</v>
      </c>
      <c r="H854" t="s">
        <v>31</v>
      </c>
      <c r="J854" t="s">
        <v>42</v>
      </c>
    </row>
    <row r="855" spans="1:10" x14ac:dyDescent="0.3">
      <c r="A855" t="s">
        <v>64</v>
      </c>
      <c r="B855" t="s">
        <v>63</v>
      </c>
      <c r="C855" t="s">
        <v>54</v>
      </c>
      <c r="D855" t="s">
        <v>19</v>
      </c>
      <c r="E855" t="s">
        <v>20</v>
      </c>
      <c r="F855" t="s">
        <v>40</v>
      </c>
      <c r="G855" s="2" t="s">
        <v>50</v>
      </c>
      <c r="H855" t="s">
        <v>38</v>
      </c>
      <c r="I855" t="s">
        <v>23</v>
      </c>
      <c r="J855" t="s">
        <v>24</v>
      </c>
    </row>
    <row r="856" spans="1:10" x14ac:dyDescent="0.3">
      <c r="A856" t="s">
        <v>64</v>
      </c>
      <c r="B856" t="s">
        <v>51</v>
      </c>
      <c r="C856">
        <v>50000</v>
      </c>
      <c r="D856" t="s">
        <v>12</v>
      </c>
      <c r="E856" t="s">
        <v>20</v>
      </c>
      <c r="F856" t="s">
        <v>14</v>
      </c>
      <c r="G856" s="2" t="s">
        <v>62</v>
      </c>
      <c r="H856" t="s">
        <v>15</v>
      </c>
      <c r="I856" t="s">
        <v>23</v>
      </c>
      <c r="J856" t="s">
        <v>51</v>
      </c>
    </row>
    <row r="857" spans="1:10" x14ac:dyDescent="0.3">
      <c r="A857" t="s">
        <v>66</v>
      </c>
      <c r="B857">
        <v>50</v>
      </c>
      <c r="C857">
        <v>70000</v>
      </c>
      <c r="D857" t="s">
        <v>12</v>
      </c>
      <c r="E857" t="s">
        <v>26</v>
      </c>
      <c r="F857" t="s">
        <v>41</v>
      </c>
      <c r="G857" s="2" t="s">
        <v>55</v>
      </c>
      <c r="H857" t="s">
        <v>22</v>
      </c>
      <c r="I857" t="s">
        <v>16</v>
      </c>
      <c r="J857" t="s">
        <v>57</v>
      </c>
    </row>
    <row r="858" spans="1:10" x14ac:dyDescent="0.3">
      <c r="A858" t="s">
        <v>53</v>
      </c>
      <c r="B858" t="s">
        <v>63</v>
      </c>
      <c r="C858">
        <v>65000</v>
      </c>
      <c r="D858" t="s">
        <v>19</v>
      </c>
      <c r="E858" t="s">
        <v>30</v>
      </c>
      <c r="F858" t="s">
        <v>14</v>
      </c>
      <c r="G858" s="2" t="s">
        <v>62</v>
      </c>
      <c r="H858" t="s">
        <v>38</v>
      </c>
      <c r="I858" t="s">
        <v>16</v>
      </c>
      <c r="J858" t="s">
        <v>42</v>
      </c>
    </row>
    <row r="859" spans="1:10" x14ac:dyDescent="0.3">
      <c r="A859" t="s">
        <v>64</v>
      </c>
      <c r="B859">
        <v>35</v>
      </c>
      <c r="C859">
        <v>55000</v>
      </c>
      <c r="D859" t="s">
        <v>19</v>
      </c>
      <c r="E859" t="s">
        <v>20</v>
      </c>
      <c r="F859" t="s">
        <v>21</v>
      </c>
      <c r="G859" s="2">
        <v>43881</v>
      </c>
      <c r="H859" t="s">
        <v>15</v>
      </c>
      <c r="I859" t="s">
        <v>32</v>
      </c>
      <c r="J859" t="s">
        <v>24</v>
      </c>
    </row>
    <row r="860" spans="1:10" x14ac:dyDescent="0.3">
      <c r="A860" t="s">
        <v>61</v>
      </c>
      <c r="B860">
        <v>35</v>
      </c>
      <c r="C860">
        <v>50000</v>
      </c>
      <c r="D860" t="s">
        <v>19</v>
      </c>
      <c r="E860" t="s">
        <v>30</v>
      </c>
      <c r="F860" t="s">
        <v>37</v>
      </c>
      <c r="G860" s="2">
        <v>43881</v>
      </c>
      <c r="H860" t="s">
        <v>22</v>
      </c>
      <c r="I860" t="s">
        <v>32</v>
      </c>
      <c r="J860" t="s">
        <v>24</v>
      </c>
    </row>
    <row r="861" spans="1:10" x14ac:dyDescent="0.3">
      <c r="A861" t="s">
        <v>67</v>
      </c>
      <c r="B861" t="s">
        <v>63</v>
      </c>
      <c r="C861" t="s">
        <v>54</v>
      </c>
      <c r="D861" t="s">
        <v>12</v>
      </c>
      <c r="E861" t="s">
        <v>20</v>
      </c>
      <c r="F861" t="s">
        <v>21</v>
      </c>
      <c r="G861" s="2" t="s">
        <v>55</v>
      </c>
      <c r="H861" t="s">
        <v>22</v>
      </c>
      <c r="I861" t="s">
        <v>32</v>
      </c>
      <c r="J861" t="s">
        <v>24</v>
      </c>
    </row>
    <row r="862" spans="1:10" x14ac:dyDescent="0.3">
      <c r="A862" t="s">
        <v>65</v>
      </c>
      <c r="B862">
        <v>50</v>
      </c>
      <c r="C862" t="s">
        <v>58</v>
      </c>
      <c r="D862" t="s">
        <v>19</v>
      </c>
      <c r="E862" t="s">
        <v>26</v>
      </c>
      <c r="F862" t="s">
        <v>37</v>
      </c>
      <c r="G862" s="2" t="s">
        <v>62</v>
      </c>
      <c r="H862" t="s">
        <v>31</v>
      </c>
      <c r="I862" t="s">
        <v>32</v>
      </c>
      <c r="J862" t="s">
        <v>42</v>
      </c>
    </row>
    <row r="863" spans="1:10" x14ac:dyDescent="0.3">
      <c r="A863" t="s">
        <v>53</v>
      </c>
      <c r="B863">
        <v>40</v>
      </c>
      <c r="C863">
        <v>55000</v>
      </c>
      <c r="D863" t="s">
        <v>19</v>
      </c>
      <c r="E863" t="s">
        <v>35</v>
      </c>
      <c r="F863" t="s">
        <v>40</v>
      </c>
      <c r="G863" s="2">
        <v>43881</v>
      </c>
      <c r="H863" t="s">
        <v>38</v>
      </c>
      <c r="J863" t="s">
        <v>51</v>
      </c>
    </row>
    <row r="864" spans="1:10" x14ac:dyDescent="0.3">
      <c r="A864" t="s">
        <v>59</v>
      </c>
      <c r="B864" t="s">
        <v>51</v>
      </c>
      <c r="C864" t="s">
        <v>54</v>
      </c>
      <c r="D864" t="s">
        <v>34</v>
      </c>
      <c r="E864" t="s">
        <v>26</v>
      </c>
      <c r="F864" t="s">
        <v>41</v>
      </c>
      <c r="G864" s="2" t="s">
        <v>50</v>
      </c>
      <c r="H864" t="s">
        <v>22</v>
      </c>
      <c r="J864" t="s">
        <v>24</v>
      </c>
    </row>
    <row r="865" spans="1:10" x14ac:dyDescent="0.3">
      <c r="A865" t="s">
        <v>61</v>
      </c>
      <c r="B865">
        <v>35</v>
      </c>
      <c r="C865">
        <v>65000</v>
      </c>
      <c r="D865" t="s">
        <v>12</v>
      </c>
      <c r="E865" t="s">
        <v>13</v>
      </c>
      <c r="F865" t="s">
        <v>40</v>
      </c>
      <c r="G865" s="2" t="s">
        <v>60</v>
      </c>
      <c r="H865" t="s">
        <v>22</v>
      </c>
      <c r="I865" t="s">
        <v>16</v>
      </c>
      <c r="J865" t="s">
        <v>57</v>
      </c>
    </row>
    <row r="866" spans="1:10" x14ac:dyDescent="0.3">
      <c r="A866" t="s">
        <v>56</v>
      </c>
      <c r="B866">
        <v>40</v>
      </c>
      <c r="C866">
        <v>70000</v>
      </c>
      <c r="D866" t="s">
        <v>34</v>
      </c>
      <c r="E866" t="s">
        <v>20</v>
      </c>
      <c r="F866" t="s">
        <v>37</v>
      </c>
      <c r="G866" s="2" t="s">
        <v>60</v>
      </c>
      <c r="H866" t="s">
        <v>15</v>
      </c>
      <c r="I866" t="s">
        <v>23</v>
      </c>
      <c r="J866" t="s">
        <v>24</v>
      </c>
    </row>
    <row r="867" spans="1:10" x14ac:dyDescent="0.3">
      <c r="A867" t="s">
        <v>64</v>
      </c>
      <c r="B867" t="s">
        <v>63</v>
      </c>
      <c r="C867">
        <v>55000</v>
      </c>
      <c r="D867" t="s">
        <v>34</v>
      </c>
      <c r="E867" t="s">
        <v>13</v>
      </c>
      <c r="F867" t="s">
        <v>37</v>
      </c>
      <c r="G867" s="2">
        <v>43881</v>
      </c>
      <c r="H867" t="s">
        <v>31</v>
      </c>
      <c r="I867" t="s">
        <v>23</v>
      </c>
      <c r="J867" t="s">
        <v>51</v>
      </c>
    </row>
    <row r="868" spans="1:10" x14ac:dyDescent="0.3">
      <c r="A868" t="s">
        <v>59</v>
      </c>
      <c r="B868">
        <v>40</v>
      </c>
      <c r="C868">
        <v>55000</v>
      </c>
      <c r="D868" t="s">
        <v>19</v>
      </c>
      <c r="E868" t="s">
        <v>13</v>
      </c>
      <c r="F868" t="s">
        <v>37</v>
      </c>
      <c r="G868" s="2" t="s">
        <v>62</v>
      </c>
      <c r="H868" t="s">
        <v>27</v>
      </c>
      <c r="I868" t="s">
        <v>51</v>
      </c>
      <c r="J868" t="s">
        <v>42</v>
      </c>
    </row>
    <row r="869" spans="1:10" x14ac:dyDescent="0.3">
      <c r="A869" t="s">
        <v>64</v>
      </c>
      <c r="B869">
        <v>25</v>
      </c>
      <c r="C869">
        <v>65000</v>
      </c>
      <c r="D869" t="s">
        <v>12</v>
      </c>
      <c r="E869" t="s">
        <v>30</v>
      </c>
      <c r="F869" t="s">
        <v>14</v>
      </c>
      <c r="G869" s="2">
        <v>43881</v>
      </c>
      <c r="H869" t="s">
        <v>31</v>
      </c>
      <c r="J869" t="s">
        <v>24</v>
      </c>
    </row>
    <row r="870" spans="1:10" x14ac:dyDescent="0.3">
      <c r="A870" t="s">
        <v>52</v>
      </c>
      <c r="B870">
        <v>35</v>
      </c>
      <c r="C870" t="s">
        <v>58</v>
      </c>
      <c r="D870" t="s">
        <v>19</v>
      </c>
      <c r="E870" t="s">
        <v>20</v>
      </c>
      <c r="F870" t="s">
        <v>41</v>
      </c>
      <c r="G870" s="2" t="s">
        <v>62</v>
      </c>
      <c r="H870" t="s">
        <v>27</v>
      </c>
      <c r="I870" t="s">
        <v>32</v>
      </c>
      <c r="J870" t="s">
        <v>24</v>
      </c>
    </row>
    <row r="871" spans="1:10" x14ac:dyDescent="0.3">
      <c r="A871" t="s">
        <v>61</v>
      </c>
      <c r="B871" t="s">
        <v>63</v>
      </c>
      <c r="C871">
        <v>50000</v>
      </c>
      <c r="D871" t="s">
        <v>12</v>
      </c>
      <c r="E871" t="s">
        <v>13</v>
      </c>
      <c r="F871" t="s">
        <v>40</v>
      </c>
      <c r="G871" s="2" t="s">
        <v>50</v>
      </c>
      <c r="H871" t="s">
        <v>38</v>
      </c>
      <c r="I871" t="s">
        <v>32</v>
      </c>
      <c r="J871" t="s">
        <v>57</v>
      </c>
    </row>
    <row r="872" spans="1:10" x14ac:dyDescent="0.3">
      <c r="A872" t="s">
        <v>52</v>
      </c>
      <c r="B872" t="s">
        <v>51</v>
      </c>
      <c r="C872">
        <v>70000</v>
      </c>
      <c r="D872" t="s">
        <v>34</v>
      </c>
      <c r="E872" t="s">
        <v>35</v>
      </c>
      <c r="F872" t="s">
        <v>40</v>
      </c>
      <c r="G872" s="2" t="s">
        <v>62</v>
      </c>
      <c r="H872" t="s">
        <v>38</v>
      </c>
      <c r="I872" t="s">
        <v>51</v>
      </c>
      <c r="J872" t="s">
        <v>57</v>
      </c>
    </row>
    <row r="873" spans="1:10" x14ac:dyDescent="0.3">
      <c r="A873" t="s">
        <v>66</v>
      </c>
      <c r="B873">
        <v>50</v>
      </c>
      <c r="C873">
        <v>55000</v>
      </c>
      <c r="D873" t="s">
        <v>12</v>
      </c>
      <c r="E873" t="s">
        <v>13</v>
      </c>
      <c r="F873" t="s">
        <v>21</v>
      </c>
      <c r="G873" s="2">
        <v>43881</v>
      </c>
      <c r="H873" t="s">
        <v>22</v>
      </c>
      <c r="I873" t="s">
        <v>23</v>
      </c>
      <c r="J873" t="s">
        <v>24</v>
      </c>
    </row>
    <row r="874" spans="1:10" x14ac:dyDescent="0.3">
      <c r="A874" t="s">
        <v>52</v>
      </c>
      <c r="B874" t="s">
        <v>63</v>
      </c>
      <c r="C874">
        <v>70000</v>
      </c>
      <c r="D874" t="s">
        <v>19</v>
      </c>
      <c r="E874" t="s">
        <v>35</v>
      </c>
      <c r="F874" t="s">
        <v>37</v>
      </c>
      <c r="G874" s="2" t="s">
        <v>50</v>
      </c>
      <c r="H874" t="s">
        <v>38</v>
      </c>
      <c r="I874" t="s">
        <v>32</v>
      </c>
      <c r="J874" t="s">
        <v>24</v>
      </c>
    </row>
    <row r="875" spans="1:10" x14ac:dyDescent="0.3">
      <c r="A875" t="s">
        <v>66</v>
      </c>
      <c r="B875" t="s">
        <v>51</v>
      </c>
      <c r="C875">
        <v>55000</v>
      </c>
      <c r="D875" t="s">
        <v>19</v>
      </c>
      <c r="E875" t="s">
        <v>30</v>
      </c>
      <c r="F875" t="s">
        <v>37</v>
      </c>
      <c r="G875" s="2" t="s">
        <v>55</v>
      </c>
      <c r="H875" t="s">
        <v>22</v>
      </c>
      <c r="I875" t="s">
        <v>23</v>
      </c>
      <c r="J875" t="s">
        <v>57</v>
      </c>
    </row>
    <row r="876" spans="1:10" x14ac:dyDescent="0.3">
      <c r="A876" t="s">
        <v>66</v>
      </c>
      <c r="B876">
        <v>50</v>
      </c>
      <c r="C876">
        <v>70000</v>
      </c>
      <c r="D876" t="s">
        <v>19</v>
      </c>
      <c r="E876" t="s">
        <v>13</v>
      </c>
      <c r="F876" t="s">
        <v>37</v>
      </c>
      <c r="G876" s="2" t="s">
        <v>60</v>
      </c>
      <c r="H876" t="s">
        <v>31</v>
      </c>
      <c r="I876" t="s">
        <v>51</v>
      </c>
      <c r="J876" t="s">
        <v>51</v>
      </c>
    </row>
    <row r="877" spans="1:10" x14ac:dyDescent="0.3">
      <c r="A877" t="s">
        <v>59</v>
      </c>
      <c r="B877">
        <v>50</v>
      </c>
      <c r="C877" t="s">
        <v>54</v>
      </c>
      <c r="D877" t="s">
        <v>12</v>
      </c>
      <c r="E877" t="s">
        <v>26</v>
      </c>
      <c r="F877" t="s">
        <v>40</v>
      </c>
      <c r="G877" s="2">
        <v>43881</v>
      </c>
      <c r="H877" t="s">
        <v>38</v>
      </c>
      <c r="I877" t="s">
        <v>23</v>
      </c>
      <c r="J877" t="s">
        <v>28</v>
      </c>
    </row>
    <row r="878" spans="1:10" x14ac:dyDescent="0.3">
      <c r="A878" t="s">
        <v>64</v>
      </c>
      <c r="B878" t="s">
        <v>63</v>
      </c>
      <c r="C878">
        <v>55000</v>
      </c>
      <c r="D878" t="s">
        <v>34</v>
      </c>
      <c r="E878" t="s">
        <v>30</v>
      </c>
      <c r="F878" t="s">
        <v>21</v>
      </c>
      <c r="G878" s="2">
        <v>43881</v>
      </c>
      <c r="H878" t="s">
        <v>31</v>
      </c>
      <c r="I878" t="s">
        <v>23</v>
      </c>
      <c r="J878" t="s">
        <v>28</v>
      </c>
    </row>
    <row r="879" spans="1:10" x14ac:dyDescent="0.3">
      <c r="A879" t="s">
        <v>56</v>
      </c>
      <c r="B879">
        <v>40</v>
      </c>
      <c r="C879">
        <v>70000</v>
      </c>
      <c r="D879" t="s">
        <v>34</v>
      </c>
      <c r="E879" t="s">
        <v>35</v>
      </c>
      <c r="F879" t="s">
        <v>14</v>
      </c>
      <c r="G879" s="2">
        <v>43881</v>
      </c>
      <c r="H879" t="s">
        <v>31</v>
      </c>
      <c r="I879" t="s">
        <v>23</v>
      </c>
      <c r="J879" t="s">
        <v>24</v>
      </c>
    </row>
    <row r="880" spans="1:10" x14ac:dyDescent="0.3">
      <c r="A880" t="s">
        <v>52</v>
      </c>
      <c r="B880">
        <v>40</v>
      </c>
      <c r="C880">
        <v>50000</v>
      </c>
      <c r="D880" t="s">
        <v>12</v>
      </c>
      <c r="E880" t="s">
        <v>30</v>
      </c>
      <c r="F880" t="s">
        <v>41</v>
      </c>
      <c r="G880" s="2" t="s">
        <v>50</v>
      </c>
      <c r="H880" t="s">
        <v>38</v>
      </c>
      <c r="I880" t="s">
        <v>32</v>
      </c>
      <c r="J880" t="s">
        <v>57</v>
      </c>
    </row>
    <row r="881" spans="1:10" x14ac:dyDescent="0.3">
      <c r="A881" t="s">
        <v>61</v>
      </c>
      <c r="B881">
        <v>50</v>
      </c>
      <c r="C881" t="s">
        <v>54</v>
      </c>
      <c r="D881" t="s">
        <v>19</v>
      </c>
      <c r="E881" t="s">
        <v>13</v>
      </c>
      <c r="F881" t="s">
        <v>14</v>
      </c>
      <c r="G881" s="2" t="s">
        <v>55</v>
      </c>
      <c r="H881" t="s">
        <v>31</v>
      </c>
      <c r="I881" t="s">
        <v>16</v>
      </c>
      <c r="J881" t="s">
        <v>42</v>
      </c>
    </row>
    <row r="882" spans="1:10" x14ac:dyDescent="0.3">
      <c r="A882" t="s">
        <v>66</v>
      </c>
      <c r="B882">
        <v>40</v>
      </c>
      <c r="C882" t="s">
        <v>54</v>
      </c>
      <c r="D882" t="s">
        <v>34</v>
      </c>
      <c r="E882" t="s">
        <v>20</v>
      </c>
      <c r="F882" t="s">
        <v>40</v>
      </c>
      <c r="G882" s="2" t="s">
        <v>62</v>
      </c>
      <c r="H882" t="s">
        <v>38</v>
      </c>
      <c r="J882" t="s">
        <v>42</v>
      </c>
    </row>
    <row r="883" spans="1:10" x14ac:dyDescent="0.3">
      <c r="A883" t="s">
        <v>64</v>
      </c>
      <c r="B883">
        <v>25</v>
      </c>
      <c r="C883">
        <v>50000</v>
      </c>
      <c r="D883" t="s">
        <v>19</v>
      </c>
      <c r="E883" t="s">
        <v>20</v>
      </c>
      <c r="F883" t="s">
        <v>37</v>
      </c>
      <c r="G883" s="2" t="s">
        <v>55</v>
      </c>
      <c r="H883" t="s">
        <v>38</v>
      </c>
      <c r="I883" t="s">
        <v>23</v>
      </c>
      <c r="J883" t="s">
        <v>28</v>
      </c>
    </row>
    <row r="884" spans="1:10" x14ac:dyDescent="0.3">
      <c r="A884" t="s">
        <v>65</v>
      </c>
      <c r="B884">
        <v>50</v>
      </c>
      <c r="C884">
        <v>70000</v>
      </c>
      <c r="D884" t="s">
        <v>12</v>
      </c>
      <c r="E884" t="s">
        <v>35</v>
      </c>
      <c r="F884" t="s">
        <v>41</v>
      </c>
      <c r="G884" s="2" t="s">
        <v>50</v>
      </c>
      <c r="H884" t="s">
        <v>38</v>
      </c>
      <c r="I884" t="s">
        <v>23</v>
      </c>
      <c r="J884" t="s">
        <v>51</v>
      </c>
    </row>
    <row r="885" spans="1:10" x14ac:dyDescent="0.3">
      <c r="A885" t="s">
        <v>53</v>
      </c>
      <c r="B885">
        <v>50</v>
      </c>
      <c r="C885">
        <v>65000</v>
      </c>
      <c r="D885" t="s">
        <v>19</v>
      </c>
      <c r="E885" t="s">
        <v>35</v>
      </c>
      <c r="F885" t="s">
        <v>40</v>
      </c>
      <c r="G885" s="2">
        <v>43881</v>
      </c>
      <c r="H885" t="s">
        <v>27</v>
      </c>
      <c r="I885" t="s">
        <v>23</v>
      </c>
      <c r="J885" t="s">
        <v>28</v>
      </c>
    </row>
    <row r="886" spans="1:10" x14ac:dyDescent="0.3">
      <c r="A886" t="s">
        <v>59</v>
      </c>
      <c r="B886" t="s">
        <v>51</v>
      </c>
      <c r="C886">
        <v>50000</v>
      </c>
      <c r="D886" t="s">
        <v>34</v>
      </c>
      <c r="E886" t="s">
        <v>20</v>
      </c>
      <c r="F886" t="s">
        <v>40</v>
      </c>
      <c r="G886" s="2" t="s">
        <v>60</v>
      </c>
      <c r="H886" t="s">
        <v>31</v>
      </c>
      <c r="I886" t="s">
        <v>16</v>
      </c>
      <c r="J886" t="s">
        <v>24</v>
      </c>
    </row>
    <row r="887" spans="1:10" x14ac:dyDescent="0.3">
      <c r="A887" t="s">
        <v>56</v>
      </c>
      <c r="B887">
        <v>40</v>
      </c>
      <c r="C887">
        <v>70000</v>
      </c>
      <c r="D887" t="s">
        <v>34</v>
      </c>
      <c r="E887" t="s">
        <v>35</v>
      </c>
      <c r="F887" t="s">
        <v>40</v>
      </c>
      <c r="G887" s="2">
        <v>43881</v>
      </c>
      <c r="H887" t="s">
        <v>15</v>
      </c>
      <c r="I887" t="s">
        <v>51</v>
      </c>
      <c r="J887" t="s">
        <v>51</v>
      </c>
    </row>
    <row r="888" spans="1:10" x14ac:dyDescent="0.3">
      <c r="A888" t="s">
        <v>49</v>
      </c>
      <c r="B888">
        <v>50</v>
      </c>
      <c r="C888">
        <v>50000</v>
      </c>
      <c r="D888" t="s">
        <v>19</v>
      </c>
      <c r="E888" t="s">
        <v>30</v>
      </c>
      <c r="F888" t="s">
        <v>41</v>
      </c>
      <c r="G888" s="2" t="s">
        <v>62</v>
      </c>
      <c r="H888" t="s">
        <v>38</v>
      </c>
      <c r="I888" t="s">
        <v>32</v>
      </c>
      <c r="J888" t="s">
        <v>42</v>
      </c>
    </row>
    <row r="889" spans="1:10" x14ac:dyDescent="0.3">
      <c r="A889" t="s">
        <v>59</v>
      </c>
      <c r="B889">
        <v>25</v>
      </c>
      <c r="C889">
        <v>50000</v>
      </c>
      <c r="D889" t="s">
        <v>12</v>
      </c>
      <c r="E889" t="s">
        <v>26</v>
      </c>
      <c r="F889" t="s">
        <v>41</v>
      </c>
      <c r="G889" s="2" t="s">
        <v>60</v>
      </c>
      <c r="H889" t="s">
        <v>31</v>
      </c>
      <c r="I889" t="s">
        <v>16</v>
      </c>
      <c r="J889" t="s">
        <v>57</v>
      </c>
    </row>
    <row r="890" spans="1:10" x14ac:dyDescent="0.3">
      <c r="A890" t="s">
        <v>65</v>
      </c>
      <c r="B890" t="s">
        <v>51</v>
      </c>
      <c r="C890">
        <v>55000</v>
      </c>
      <c r="D890" t="s">
        <v>19</v>
      </c>
      <c r="E890" t="s">
        <v>26</v>
      </c>
      <c r="F890" t="s">
        <v>21</v>
      </c>
      <c r="G890" s="2">
        <v>43881</v>
      </c>
      <c r="H890" t="s">
        <v>22</v>
      </c>
      <c r="I890" t="s">
        <v>23</v>
      </c>
      <c r="J890" t="s">
        <v>57</v>
      </c>
    </row>
    <row r="891" spans="1:10" x14ac:dyDescent="0.3">
      <c r="A891" t="s">
        <v>53</v>
      </c>
      <c r="B891" t="s">
        <v>63</v>
      </c>
      <c r="C891">
        <v>70000</v>
      </c>
      <c r="D891" t="s">
        <v>12</v>
      </c>
      <c r="E891" t="s">
        <v>30</v>
      </c>
      <c r="F891" t="s">
        <v>21</v>
      </c>
      <c r="G891" s="2" t="s">
        <v>60</v>
      </c>
      <c r="H891" t="s">
        <v>38</v>
      </c>
      <c r="I891" t="s">
        <v>16</v>
      </c>
      <c r="J891" t="s">
        <v>24</v>
      </c>
    </row>
    <row r="892" spans="1:10" x14ac:dyDescent="0.3">
      <c r="A892" t="s">
        <v>65</v>
      </c>
      <c r="B892">
        <v>50</v>
      </c>
      <c r="C892">
        <v>65000</v>
      </c>
      <c r="D892" t="s">
        <v>19</v>
      </c>
      <c r="E892" t="s">
        <v>26</v>
      </c>
      <c r="F892" t="s">
        <v>14</v>
      </c>
      <c r="G892" s="2" t="s">
        <v>55</v>
      </c>
      <c r="H892" t="s">
        <v>38</v>
      </c>
      <c r="I892" t="s">
        <v>16</v>
      </c>
      <c r="J892" t="s">
        <v>28</v>
      </c>
    </row>
    <row r="893" spans="1:10" x14ac:dyDescent="0.3">
      <c r="A893" t="s">
        <v>52</v>
      </c>
      <c r="B893">
        <v>25</v>
      </c>
      <c r="C893">
        <v>55000</v>
      </c>
      <c r="D893" t="s">
        <v>34</v>
      </c>
      <c r="E893" t="s">
        <v>13</v>
      </c>
      <c r="F893" t="s">
        <v>41</v>
      </c>
      <c r="G893" s="2" t="s">
        <v>50</v>
      </c>
      <c r="H893" t="s">
        <v>15</v>
      </c>
      <c r="I893" t="s">
        <v>16</v>
      </c>
      <c r="J893" t="s">
        <v>24</v>
      </c>
    </row>
    <row r="894" spans="1:10" x14ac:dyDescent="0.3">
      <c r="A894" t="s">
        <v>66</v>
      </c>
      <c r="B894">
        <v>35</v>
      </c>
      <c r="C894">
        <v>50000</v>
      </c>
      <c r="D894" t="s">
        <v>12</v>
      </c>
      <c r="E894" t="s">
        <v>30</v>
      </c>
      <c r="F894" t="s">
        <v>41</v>
      </c>
      <c r="G894" s="2">
        <v>43881</v>
      </c>
      <c r="H894" t="s">
        <v>27</v>
      </c>
      <c r="I894" t="s">
        <v>51</v>
      </c>
      <c r="J894" t="s">
        <v>57</v>
      </c>
    </row>
    <row r="895" spans="1:10" x14ac:dyDescent="0.3">
      <c r="A895" t="s">
        <v>56</v>
      </c>
      <c r="B895">
        <v>25</v>
      </c>
      <c r="C895" t="s">
        <v>58</v>
      </c>
      <c r="D895" t="s">
        <v>12</v>
      </c>
      <c r="E895" t="s">
        <v>35</v>
      </c>
      <c r="F895" t="s">
        <v>41</v>
      </c>
      <c r="G895" s="2" t="s">
        <v>62</v>
      </c>
      <c r="H895" t="s">
        <v>27</v>
      </c>
      <c r="J895" t="s">
        <v>42</v>
      </c>
    </row>
    <row r="896" spans="1:10" x14ac:dyDescent="0.3">
      <c r="A896" t="s">
        <v>67</v>
      </c>
      <c r="B896">
        <v>25</v>
      </c>
      <c r="C896">
        <v>50000</v>
      </c>
      <c r="D896" t="s">
        <v>12</v>
      </c>
      <c r="E896" t="s">
        <v>30</v>
      </c>
      <c r="F896" t="s">
        <v>21</v>
      </c>
      <c r="G896" s="2" t="s">
        <v>55</v>
      </c>
      <c r="H896" t="s">
        <v>38</v>
      </c>
      <c r="I896" t="s">
        <v>32</v>
      </c>
      <c r="J896" t="s">
        <v>57</v>
      </c>
    </row>
    <row r="897" spans="1:10" x14ac:dyDescent="0.3">
      <c r="A897" t="s">
        <v>66</v>
      </c>
      <c r="B897" t="s">
        <v>51</v>
      </c>
      <c r="C897">
        <v>50000</v>
      </c>
      <c r="D897" t="s">
        <v>34</v>
      </c>
      <c r="E897" t="s">
        <v>20</v>
      </c>
      <c r="F897" t="s">
        <v>40</v>
      </c>
      <c r="G897" s="2">
        <v>43881</v>
      </c>
      <c r="H897" t="s">
        <v>31</v>
      </c>
      <c r="I897" t="s">
        <v>51</v>
      </c>
      <c r="J897" t="s">
        <v>51</v>
      </c>
    </row>
    <row r="898" spans="1:10" x14ac:dyDescent="0.3">
      <c r="A898" t="s">
        <v>67</v>
      </c>
      <c r="B898" t="s">
        <v>63</v>
      </c>
      <c r="C898">
        <v>70000</v>
      </c>
      <c r="D898" t="s">
        <v>19</v>
      </c>
      <c r="E898" t="s">
        <v>35</v>
      </c>
      <c r="F898" t="s">
        <v>37</v>
      </c>
      <c r="G898" s="2" t="s">
        <v>55</v>
      </c>
      <c r="H898" t="s">
        <v>22</v>
      </c>
      <c r="I898" t="s">
        <v>51</v>
      </c>
      <c r="J898" t="s">
        <v>57</v>
      </c>
    </row>
    <row r="899" spans="1:10" x14ac:dyDescent="0.3">
      <c r="A899" t="s">
        <v>53</v>
      </c>
      <c r="B899">
        <v>35</v>
      </c>
      <c r="C899">
        <v>70000</v>
      </c>
      <c r="D899" t="s">
        <v>34</v>
      </c>
      <c r="E899" t="s">
        <v>20</v>
      </c>
      <c r="F899" t="s">
        <v>21</v>
      </c>
      <c r="G899" s="2" t="s">
        <v>62</v>
      </c>
      <c r="H899" t="s">
        <v>22</v>
      </c>
      <c r="J899" t="s">
        <v>57</v>
      </c>
    </row>
    <row r="900" spans="1:10" x14ac:dyDescent="0.3">
      <c r="A900" t="s">
        <v>64</v>
      </c>
      <c r="B900">
        <v>40</v>
      </c>
      <c r="C900">
        <v>55000</v>
      </c>
      <c r="D900" t="s">
        <v>12</v>
      </c>
      <c r="E900" t="s">
        <v>35</v>
      </c>
      <c r="F900" t="s">
        <v>41</v>
      </c>
      <c r="G900" s="2">
        <v>43881</v>
      </c>
      <c r="H900" t="s">
        <v>31</v>
      </c>
      <c r="I900" t="s">
        <v>51</v>
      </c>
      <c r="J900" t="s">
        <v>51</v>
      </c>
    </row>
    <row r="901" spans="1:10" x14ac:dyDescent="0.3">
      <c r="A901" t="s">
        <v>49</v>
      </c>
      <c r="B901">
        <v>40</v>
      </c>
      <c r="C901">
        <v>65000</v>
      </c>
      <c r="D901" t="s">
        <v>19</v>
      </c>
      <c r="E901" t="s">
        <v>26</v>
      </c>
      <c r="F901" t="s">
        <v>21</v>
      </c>
      <c r="G901" s="2" t="s">
        <v>62</v>
      </c>
      <c r="H901" t="s">
        <v>38</v>
      </c>
      <c r="I901" t="s">
        <v>16</v>
      </c>
      <c r="J901" t="s">
        <v>28</v>
      </c>
    </row>
    <row r="902" spans="1:10" x14ac:dyDescent="0.3">
      <c r="A902" t="s">
        <v>61</v>
      </c>
      <c r="B902">
        <v>25</v>
      </c>
      <c r="C902">
        <v>55000</v>
      </c>
      <c r="D902" t="s">
        <v>34</v>
      </c>
      <c r="E902" t="s">
        <v>30</v>
      </c>
      <c r="F902" t="s">
        <v>14</v>
      </c>
      <c r="G902" s="2" t="s">
        <v>60</v>
      </c>
      <c r="H902" t="s">
        <v>22</v>
      </c>
      <c r="I902" t="s">
        <v>16</v>
      </c>
      <c r="J902" t="s">
        <v>57</v>
      </c>
    </row>
    <row r="903" spans="1:10" x14ac:dyDescent="0.3">
      <c r="A903" t="s">
        <v>66</v>
      </c>
      <c r="B903" t="s">
        <v>51</v>
      </c>
      <c r="C903" t="s">
        <v>54</v>
      </c>
      <c r="D903" t="s">
        <v>12</v>
      </c>
      <c r="E903" t="s">
        <v>13</v>
      </c>
      <c r="F903" t="s">
        <v>41</v>
      </c>
      <c r="G903" s="2" t="s">
        <v>62</v>
      </c>
      <c r="H903" t="s">
        <v>27</v>
      </c>
      <c r="I903" t="s">
        <v>23</v>
      </c>
      <c r="J903" t="s">
        <v>24</v>
      </c>
    </row>
    <row r="904" spans="1:10" x14ac:dyDescent="0.3">
      <c r="A904" t="s">
        <v>56</v>
      </c>
      <c r="B904" t="s">
        <v>51</v>
      </c>
      <c r="C904">
        <v>50000</v>
      </c>
      <c r="D904" t="s">
        <v>12</v>
      </c>
      <c r="E904" t="s">
        <v>35</v>
      </c>
      <c r="F904" t="s">
        <v>14</v>
      </c>
      <c r="G904" s="2" t="s">
        <v>60</v>
      </c>
      <c r="H904" t="s">
        <v>31</v>
      </c>
      <c r="I904" t="s">
        <v>51</v>
      </c>
      <c r="J904" t="s">
        <v>57</v>
      </c>
    </row>
    <row r="905" spans="1:10" x14ac:dyDescent="0.3">
      <c r="A905" t="s">
        <v>65</v>
      </c>
      <c r="B905">
        <v>40</v>
      </c>
      <c r="C905" t="s">
        <v>58</v>
      </c>
      <c r="D905" t="s">
        <v>34</v>
      </c>
      <c r="E905" t="s">
        <v>35</v>
      </c>
      <c r="F905" t="s">
        <v>41</v>
      </c>
      <c r="G905" s="2">
        <v>43881</v>
      </c>
      <c r="H905" t="s">
        <v>15</v>
      </c>
      <c r="I905" t="s">
        <v>23</v>
      </c>
      <c r="J905" t="s">
        <v>24</v>
      </c>
    </row>
    <row r="906" spans="1:10" x14ac:dyDescent="0.3">
      <c r="A906" t="s">
        <v>56</v>
      </c>
      <c r="B906">
        <v>35</v>
      </c>
      <c r="C906">
        <v>50000</v>
      </c>
      <c r="D906" t="s">
        <v>34</v>
      </c>
      <c r="E906" t="s">
        <v>20</v>
      </c>
      <c r="F906" t="s">
        <v>21</v>
      </c>
      <c r="G906" s="2" t="s">
        <v>60</v>
      </c>
      <c r="H906" t="s">
        <v>38</v>
      </c>
      <c r="I906" t="s">
        <v>32</v>
      </c>
      <c r="J906" t="s">
        <v>51</v>
      </c>
    </row>
    <row r="907" spans="1:10" x14ac:dyDescent="0.3">
      <c r="A907" t="s">
        <v>53</v>
      </c>
      <c r="B907" t="s">
        <v>63</v>
      </c>
      <c r="C907">
        <v>50000</v>
      </c>
      <c r="D907" t="s">
        <v>34</v>
      </c>
      <c r="E907" t="s">
        <v>26</v>
      </c>
      <c r="F907" t="s">
        <v>40</v>
      </c>
      <c r="G907" s="2">
        <v>43881</v>
      </c>
      <c r="H907" t="s">
        <v>31</v>
      </c>
      <c r="I907" t="s">
        <v>16</v>
      </c>
      <c r="J907" t="s">
        <v>57</v>
      </c>
    </row>
    <row r="908" spans="1:10" x14ac:dyDescent="0.3">
      <c r="A908" t="s">
        <v>67</v>
      </c>
      <c r="B908">
        <v>35</v>
      </c>
      <c r="C908">
        <v>55000</v>
      </c>
      <c r="D908" t="s">
        <v>12</v>
      </c>
      <c r="E908" t="s">
        <v>20</v>
      </c>
      <c r="F908" t="s">
        <v>37</v>
      </c>
      <c r="G908" s="2">
        <v>43881</v>
      </c>
      <c r="H908" t="s">
        <v>22</v>
      </c>
      <c r="I908" t="s">
        <v>32</v>
      </c>
      <c r="J908" t="s">
        <v>51</v>
      </c>
    </row>
    <row r="909" spans="1:10" x14ac:dyDescent="0.3">
      <c r="A909" t="s">
        <v>65</v>
      </c>
      <c r="B909">
        <v>50</v>
      </c>
      <c r="C909" t="s">
        <v>58</v>
      </c>
      <c r="D909" t="s">
        <v>34</v>
      </c>
      <c r="E909" t="s">
        <v>20</v>
      </c>
      <c r="F909" t="s">
        <v>14</v>
      </c>
      <c r="G909" s="2" t="s">
        <v>50</v>
      </c>
      <c r="H909" t="s">
        <v>38</v>
      </c>
      <c r="J909" t="s">
        <v>51</v>
      </c>
    </row>
    <row r="910" spans="1:10" x14ac:dyDescent="0.3">
      <c r="A910" t="s">
        <v>61</v>
      </c>
      <c r="B910">
        <v>50</v>
      </c>
      <c r="C910" t="s">
        <v>58</v>
      </c>
      <c r="D910" t="s">
        <v>12</v>
      </c>
      <c r="E910" t="s">
        <v>26</v>
      </c>
      <c r="F910" t="s">
        <v>21</v>
      </c>
      <c r="G910" s="2">
        <v>43881</v>
      </c>
      <c r="H910" t="s">
        <v>27</v>
      </c>
      <c r="I910" t="s">
        <v>16</v>
      </c>
      <c r="J910" t="s">
        <v>28</v>
      </c>
    </row>
    <row r="911" spans="1:10" x14ac:dyDescent="0.3">
      <c r="A911" t="s">
        <v>61</v>
      </c>
      <c r="B911" t="s">
        <v>63</v>
      </c>
      <c r="C911" t="s">
        <v>58</v>
      </c>
      <c r="D911" t="s">
        <v>34</v>
      </c>
      <c r="E911" t="s">
        <v>13</v>
      </c>
      <c r="F911" t="s">
        <v>40</v>
      </c>
      <c r="G911" s="2" t="s">
        <v>60</v>
      </c>
      <c r="H911" t="s">
        <v>38</v>
      </c>
      <c r="I911" t="s">
        <v>32</v>
      </c>
      <c r="J911" t="s">
        <v>57</v>
      </c>
    </row>
    <row r="912" spans="1:10" x14ac:dyDescent="0.3">
      <c r="A912" t="s">
        <v>66</v>
      </c>
      <c r="B912">
        <v>40</v>
      </c>
      <c r="C912">
        <v>55000</v>
      </c>
      <c r="D912" t="s">
        <v>12</v>
      </c>
      <c r="E912" t="s">
        <v>20</v>
      </c>
      <c r="F912" t="s">
        <v>21</v>
      </c>
      <c r="G912" s="2" t="s">
        <v>50</v>
      </c>
      <c r="H912" t="s">
        <v>38</v>
      </c>
      <c r="J912" t="s">
        <v>24</v>
      </c>
    </row>
    <row r="913" spans="1:10" x14ac:dyDescent="0.3">
      <c r="A913" t="s">
        <v>53</v>
      </c>
      <c r="B913" t="s">
        <v>63</v>
      </c>
      <c r="C913">
        <v>50000</v>
      </c>
      <c r="D913" t="s">
        <v>12</v>
      </c>
      <c r="E913" t="s">
        <v>20</v>
      </c>
      <c r="F913" t="s">
        <v>14</v>
      </c>
      <c r="G913" s="2" t="s">
        <v>50</v>
      </c>
      <c r="H913" t="s">
        <v>27</v>
      </c>
      <c r="I913" t="s">
        <v>32</v>
      </c>
      <c r="J913" t="s">
        <v>24</v>
      </c>
    </row>
    <row r="914" spans="1:10" x14ac:dyDescent="0.3">
      <c r="A914" t="s">
        <v>64</v>
      </c>
      <c r="B914" t="s">
        <v>51</v>
      </c>
      <c r="C914">
        <v>55000</v>
      </c>
      <c r="D914" t="s">
        <v>19</v>
      </c>
      <c r="E914" t="s">
        <v>35</v>
      </c>
      <c r="F914" t="s">
        <v>37</v>
      </c>
      <c r="G914" s="2">
        <v>43881</v>
      </c>
      <c r="H914" t="s">
        <v>27</v>
      </c>
      <c r="J914" t="s">
        <v>57</v>
      </c>
    </row>
    <row r="915" spans="1:10" x14ac:dyDescent="0.3">
      <c r="A915" t="s">
        <v>53</v>
      </c>
      <c r="B915">
        <v>50</v>
      </c>
      <c r="C915">
        <v>70000</v>
      </c>
      <c r="D915" t="s">
        <v>34</v>
      </c>
      <c r="E915" t="s">
        <v>26</v>
      </c>
      <c r="F915" t="s">
        <v>21</v>
      </c>
      <c r="G915" s="2" t="s">
        <v>62</v>
      </c>
      <c r="H915" t="s">
        <v>38</v>
      </c>
      <c r="J915" t="s">
        <v>28</v>
      </c>
    </row>
    <row r="916" spans="1:10" x14ac:dyDescent="0.3">
      <c r="A916" t="s">
        <v>67</v>
      </c>
      <c r="B916">
        <v>25</v>
      </c>
      <c r="C916">
        <v>70000</v>
      </c>
      <c r="D916" t="s">
        <v>34</v>
      </c>
      <c r="E916" t="s">
        <v>30</v>
      </c>
      <c r="F916" t="s">
        <v>41</v>
      </c>
      <c r="G916" s="2" t="s">
        <v>62</v>
      </c>
      <c r="H916" t="s">
        <v>27</v>
      </c>
      <c r="I916" t="s">
        <v>16</v>
      </c>
      <c r="J916" t="s">
        <v>28</v>
      </c>
    </row>
    <row r="917" spans="1:10" x14ac:dyDescent="0.3">
      <c r="A917" t="s">
        <v>56</v>
      </c>
      <c r="B917">
        <v>25</v>
      </c>
      <c r="C917">
        <v>55000</v>
      </c>
      <c r="D917" t="s">
        <v>12</v>
      </c>
      <c r="E917" t="s">
        <v>13</v>
      </c>
      <c r="F917" t="s">
        <v>40</v>
      </c>
      <c r="G917" s="2" t="s">
        <v>50</v>
      </c>
      <c r="H917" t="s">
        <v>31</v>
      </c>
      <c r="I917" t="s">
        <v>23</v>
      </c>
      <c r="J917" t="s">
        <v>28</v>
      </c>
    </row>
    <row r="918" spans="1:10" x14ac:dyDescent="0.3">
      <c r="A918" t="s">
        <v>61</v>
      </c>
      <c r="B918">
        <v>40</v>
      </c>
      <c r="C918" t="s">
        <v>58</v>
      </c>
      <c r="D918" t="s">
        <v>12</v>
      </c>
      <c r="E918" t="s">
        <v>13</v>
      </c>
      <c r="F918" t="s">
        <v>21</v>
      </c>
      <c r="G918" s="2">
        <v>43881</v>
      </c>
      <c r="H918" t="s">
        <v>27</v>
      </c>
      <c r="J918" t="s">
        <v>24</v>
      </c>
    </row>
    <row r="919" spans="1:10" x14ac:dyDescent="0.3">
      <c r="A919" t="s">
        <v>56</v>
      </c>
      <c r="B919" t="s">
        <v>51</v>
      </c>
      <c r="C919">
        <v>50000</v>
      </c>
      <c r="D919" t="s">
        <v>12</v>
      </c>
      <c r="E919" t="s">
        <v>26</v>
      </c>
      <c r="F919" t="s">
        <v>40</v>
      </c>
      <c r="G919" s="2" t="s">
        <v>62</v>
      </c>
      <c r="H919" t="s">
        <v>27</v>
      </c>
      <c r="J919" t="s">
        <v>51</v>
      </c>
    </row>
    <row r="920" spans="1:10" x14ac:dyDescent="0.3">
      <c r="A920" t="s">
        <v>56</v>
      </c>
      <c r="B920">
        <v>35</v>
      </c>
      <c r="C920">
        <v>55000</v>
      </c>
      <c r="D920" t="s">
        <v>19</v>
      </c>
      <c r="E920" t="s">
        <v>35</v>
      </c>
      <c r="F920" t="s">
        <v>41</v>
      </c>
      <c r="G920" s="2">
        <v>43881</v>
      </c>
      <c r="H920" t="s">
        <v>38</v>
      </c>
      <c r="I920" t="s">
        <v>16</v>
      </c>
      <c r="J920" t="s">
        <v>28</v>
      </c>
    </row>
    <row r="921" spans="1:10" x14ac:dyDescent="0.3">
      <c r="A921" t="s">
        <v>56</v>
      </c>
      <c r="B921" t="s">
        <v>51</v>
      </c>
      <c r="C921">
        <v>55000</v>
      </c>
      <c r="D921" t="s">
        <v>19</v>
      </c>
      <c r="E921" t="s">
        <v>35</v>
      </c>
      <c r="F921" t="s">
        <v>37</v>
      </c>
      <c r="G921" s="2">
        <v>43881</v>
      </c>
      <c r="H921" t="s">
        <v>31</v>
      </c>
      <c r="I921" t="s">
        <v>23</v>
      </c>
      <c r="J921" t="s">
        <v>24</v>
      </c>
    </row>
    <row r="922" spans="1:10" x14ac:dyDescent="0.3">
      <c r="A922" t="s">
        <v>61</v>
      </c>
      <c r="B922">
        <v>25</v>
      </c>
      <c r="C922">
        <v>55000</v>
      </c>
      <c r="D922" t="s">
        <v>12</v>
      </c>
      <c r="E922" t="s">
        <v>26</v>
      </c>
      <c r="F922" t="s">
        <v>37</v>
      </c>
      <c r="G922" s="2" t="s">
        <v>50</v>
      </c>
      <c r="H922" t="s">
        <v>15</v>
      </c>
      <c r="I922" t="s">
        <v>51</v>
      </c>
      <c r="J922" t="s">
        <v>24</v>
      </c>
    </row>
    <row r="923" spans="1:10" x14ac:dyDescent="0.3">
      <c r="A923" t="s">
        <v>59</v>
      </c>
      <c r="B923">
        <v>25</v>
      </c>
      <c r="C923" t="s">
        <v>54</v>
      </c>
      <c r="D923" t="s">
        <v>34</v>
      </c>
      <c r="E923" t="s">
        <v>35</v>
      </c>
      <c r="F923" t="s">
        <v>41</v>
      </c>
      <c r="G923" s="2" t="s">
        <v>50</v>
      </c>
      <c r="H923" t="s">
        <v>15</v>
      </c>
      <c r="I923" t="s">
        <v>51</v>
      </c>
      <c r="J923" t="s">
        <v>51</v>
      </c>
    </row>
    <row r="924" spans="1:10" x14ac:dyDescent="0.3">
      <c r="A924" t="s">
        <v>52</v>
      </c>
      <c r="B924">
        <v>50</v>
      </c>
      <c r="C924">
        <v>70000</v>
      </c>
      <c r="D924" t="s">
        <v>34</v>
      </c>
      <c r="E924" t="s">
        <v>13</v>
      </c>
      <c r="F924" t="s">
        <v>40</v>
      </c>
      <c r="G924" s="2" t="s">
        <v>55</v>
      </c>
      <c r="H924" t="s">
        <v>22</v>
      </c>
      <c r="I924" t="s">
        <v>23</v>
      </c>
      <c r="J924" t="s">
        <v>57</v>
      </c>
    </row>
    <row r="925" spans="1:10" x14ac:dyDescent="0.3">
      <c r="A925" t="s">
        <v>67</v>
      </c>
      <c r="B925" t="s">
        <v>51</v>
      </c>
      <c r="C925" t="s">
        <v>58</v>
      </c>
      <c r="D925" t="s">
        <v>19</v>
      </c>
      <c r="E925" t="s">
        <v>13</v>
      </c>
      <c r="F925" t="s">
        <v>21</v>
      </c>
      <c r="G925" s="2" t="s">
        <v>62</v>
      </c>
      <c r="H925" t="s">
        <v>27</v>
      </c>
      <c r="I925" t="s">
        <v>32</v>
      </c>
      <c r="J925" t="s">
        <v>57</v>
      </c>
    </row>
    <row r="926" spans="1:10" x14ac:dyDescent="0.3">
      <c r="A926" t="s">
        <v>59</v>
      </c>
      <c r="B926" t="s">
        <v>51</v>
      </c>
      <c r="C926">
        <v>65000</v>
      </c>
      <c r="D926" t="s">
        <v>19</v>
      </c>
      <c r="E926" t="s">
        <v>30</v>
      </c>
      <c r="F926" t="s">
        <v>41</v>
      </c>
      <c r="G926" s="2" t="s">
        <v>62</v>
      </c>
      <c r="H926" t="s">
        <v>27</v>
      </c>
      <c r="I926" t="s">
        <v>16</v>
      </c>
      <c r="J926" t="s">
        <v>28</v>
      </c>
    </row>
    <row r="927" spans="1:10" x14ac:dyDescent="0.3">
      <c r="A927" t="s">
        <v>67</v>
      </c>
      <c r="B927">
        <v>25</v>
      </c>
      <c r="C927" t="s">
        <v>58</v>
      </c>
      <c r="D927" t="s">
        <v>12</v>
      </c>
      <c r="E927" t="s">
        <v>26</v>
      </c>
      <c r="F927" t="s">
        <v>14</v>
      </c>
      <c r="G927" s="2" t="s">
        <v>62</v>
      </c>
      <c r="H927" t="s">
        <v>31</v>
      </c>
      <c r="I927" t="s">
        <v>23</v>
      </c>
      <c r="J927" t="s">
        <v>28</v>
      </c>
    </row>
    <row r="928" spans="1:10" x14ac:dyDescent="0.3">
      <c r="A928" t="s">
        <v>65</v>
      </c>
      <c r="B928">
        <v>35</v>
      </c>
      <c r="C928">
        <v>65000</v>
      </c>
      <c r="D928" t="s">
        <v>34</v>
      </c>
      <c r="E928" t="s">
        <v>20</v>
      </c>
      <c r="F928" t="s">
        <v>40</v>
      </c>
      <c r="G928" s="2" t="s">
        <v>60</v>
      </c>
      <c r="H928" t="s">
        <v>15</v>
      </c>
      <c r="I928" t="s">
        <v>51</v>
      </c>
      <c r="J928" t="s">
        <v>51</v>
      </c>
    </row>
    <row r="929" spans="1:10" x14ac:dyDescent="0.3">
      <c r="A929" t="s">
        <v>53</v>
      </c>
      <c r="B929">
        <v>40</v>
      </c>
      <c r="C929" t="s">
        <v>54</v>
      </c>
      <c r="D929" t="s">
        <v>12</v>
      </c>
      <c r="E929" t="s">
        <v>20</v>
      </c>
      <c r="F929" t="s">
        <v>37</v>
      </c>
      <c r="G929" s="2">
        <v>43881</v>
      </c>
      <c r="H929" t="s">
        <v>22</v>
      </c>
      <c r="J929" t="s">
        <v>28</v>
      </c>
    </row>
    <row r="930" spans="1:10" x14ac:dyDescent="0.3">
      <c r="A930" t="s">
        <v>53</v>
      </c>
      <c r="B930">
        <v>40</v>
      </c>
      <c r="C930">
        <v>55000</v>
      </c>
      <c r="D930" t="s">
        <v>19</v>
      </c>
      <c r="E930" t="s">
        <v>30</v>
      </c>
      <c r="F930" t="s">
        <v>41</v>
      </c>
      <c r="G930" s="2" t="s">
        <v>50</v>
      </c>
      <c r="H930" t="s">
        <v>31</v>
      </c>
      <c r="I930" t="s">
        <v>51</v>
      </c>
      <c r="J930" t="s">
        <v>51</v>
      </c>
    </row>
    <row r="931" spans="1:10" x14ac:dyDescent="0.3">
      <c r="A931" t="s">
        <v>49</v>
      </c>
      <c r="B931" t="s">
        <v>51</v>
      </c>
      <c r="C931" t="s">
        <v>54</v>
      </c>
      <c r="D931" t="s">
        <v>34</v>
      </c>
      <c r="E931" t="s">
        <v>30</v>
      </c>
      <c r="F931" t="s">
        <v>37</v>
      </c>
      <c r="G931" s="2" t="s">
        <v>62</v>
      </c>
      <c r="H931" t="s">
        <v>27</v>
      </c>
      <c r="J931" t="s">
        <v>24</v>
      </c>
    </row>
    <row r="932" spans="1:10" x14ac:dyDescent="0.3">
      <c r="A932" t="s">
        <v>53</v>
      </c>
      <c r="B932">
        <v>40</v>
      </c>
      <c r="C932" t="s">
        <v>54</v>
      </c>
      <c r="D932" t="s">
        <v>34</v>
      </c>
      <c r="E932" t="s">
        <v>35</v>
      </c>
      <c r="F932" t="s">
        <v>40</v>
      </c>
      <c r="G932" s="2" t="s">
        <v>55</v>
      </c>
      <c r="H932" t="s">
        <v>15</v>
      </c>
      <c r="I932" t="s">
        <v>16</v>
      </c>
      <c r="J932" t="s">
        <v>28</v>
      </c>
    </row>
    <row r="933" spans="1:10" x14ac:dyDescent="0.3">
      <c r="A933" t="s">
        <v>61</v>
      </c>
      <c r="B933">
        <v>25</v>
      </c>
      <c r="C933">
        <v>50000</v>
      </c>
      <c r="D933" t="s">
        <v>19</v>
      </c>
      <c r="E933" t="s">
        <v>30</v>
      </c>
      <c r="F933" t="s">
        <v>37</v>
      </c>
      <c r="G933" s="2" t="s">
        <v>62</v>
      </c>
      <c r="H933" t="s">
        <v>22</v>
      </c>
      <c r="J933" t="s">
        <v>24</v>
      </c>
    </row>
    <row r="934" spans="1:10" x14ac:dyDescent="0.3">
      <c r="A934" t="s">
        <v>64</v>
      </c>
      <c r="B934">
        <v>25</v>
      </c>
      <c r="C934">
        <v>70000</v>
      </c>
      <c r="D934" t="s">
        <v>12</v>
      </c>
      <c r="E934" t="s">
        <v>30</v>
      </c>
      <c r="F934" t="s">
        <v>41</v>
      </c>
      <c r="G934" s="2">
        <v>43881</v>
      </c>
      <c r="H934" t="s">
        <v>38</v>
      </c>
      <c r="I934" t="s">
        <v>23</v>
      </c>
      <c r="J934" t="s">
        <v>42</v>
      </c>
    </row>
    <row r="935" spans="1:10" x14ac:dyDescent="0.3">
      <c r="A935" t="s">
        <v>66</v>
      </c>
      <c r="B935" t="s">
        <v>51</v>
      </c>
      <c r="C935">
        <v>65000</v>
      </c>
      <c r="D935" t="s">
        <v>12</v>
      </c>
      <c r="E935" t="s">
        <v>20</v>
      </c>
      <c r="F935" t="s">
        <v>40</v>
      </c>
      <c r="G935" s="2">
        <v>43881</v>
      </c>
      <c r="H935" t="s">
        <v>15</v>
      </c>
      <c r="J935" t="s">
        <v>51</v>
      </c>
    </row>
    <row r="936" spans="1:10" x14ac:dyDescent="0.3">
      <c r="A936" t="s">
        <v>49</v>
      </c>
      <c r="B936" t="s">
        <v>51</v>
      </c>
      <c r="C936">
        <v>55000</v>
      </c>
      <c r="D936" t="s">
        <v>34</v>
      </c>
      <c r="E936" t="s">
        <v>35</v>
      </c>
      <c r="F936" t="s">
        <v>14</v>
      </c>
      <c r="G936" s="2" t="s">
        <v>50</v>
      </c>
      <c r="H936" t="s">
        <v>22</v>
      </c>
      <c r="I936" t="s">
        <v>32</v>
      </c>
      <c r="J936" t="s">
        <v>42</v>
      </c>
    </row>
    <row r="937" spans="1:10" x14ac:dyDescent="0.3">
      <c r="A937" t="s">
        <v>66</v>
      </c>
      <c r="B937">
        <v>50</v>
      </c>
      <c r="C937">
        <v>65000</v>
      </c>
      <c r="D937" t="s">
        <v>19</v>
      </c>
      <c r="E937" t="s">
        <v>30</v>
      </c>
      <c r="F937" t="s">
        <v>41</v>
      </c>
      <c r="G937" s="2" t="s">
        <v>60</v>
      </c>
      <c r="H937" t="s">
        <v>31</v>
      </c>
      <c r="I937" t="s">
        <v>23</v>
      </c>
      <c r="J937" t="s">
        <v>28</v>
      </c>
    </row>
    <row r="938" spans="1:10" x14ac:dyDescent="0.3">
      <c r="A938" t="s">
        <v>67</v>
      </c>
      <c r="B938" t="s">
        <v>51</v>
      </c>
      <c r="C938" t="s">
        <v>58</v>
      </c>
      <c r="D938" t="s">
        <v>34</v>
      </c>
      <c r="E938" t="s">
        <v>30</v>
      </c>
      <c r="F938" t="s">
        <v>21</v>
      </c>
      <c r="G938" s="2" t="s">
        <v>50</v>
      </c>
      <c r="H938" t="s">
        <v>38</v>
      </c>
      <c r="I938" t="s">
        <v>16</v>
      </c>
      <c r="J938" t="s">
        <v>24</v>
      </c>
    </row>
    <row r="939" spans="1:10" x14ac:dyDescent="0.3">
      <c r="A939" t="s">
        <v>66</v>
      </c>
      <c r="B939">
        <v>35</v>
      </c>
      <c r="C939">
        <v>65000</v>
      </c>
      <c r="D939" t="s">
        <v>19</v>
      </c>
      <c r="E939" t="s">
        <v>35</v>
      </c>
      <c r="F939" t="s">
        <v>41</v>
      </c>
      <c r="G939" s="2" t="s">
        <v>62</v>
      </c>
      <c r="H939" t="s">
        <v>22</v>
      </c>
      <c r="I939" t="s">
        <v>23</v>
      </c>
      <c r="J939" t="s">
        <v>28</v>
      </c>
    </row>
    <row r="940" spans="1:10" x14ac:dyDescent="0.3">
      <c r="A940" t="s">
        <v>66</v>
      </c>
      <c r="B940">
        <v>40</v>
      </c>
      <c r="C940" t="s">
        <v>58</v>
      </c>
      <c r="D940" t="s">
        <v>12</v>
      </c>
      <c r="E940" t="s">
        <v>26</v>
      </c>
      <c r="F940" t="s">
        <v>40</v>
      </c>
      <c r="G940" s="2" t="s">
        <v>55</v>
      </c>
      <c r="H940" t="s">
        <v>22</v>
      </c>
      <c r="I940" t="s">
        <v>32</v>
      </c>
      <c r="J940" t="s">
        <v>42</v>
      </c>
    </row>
    <row r="941" spans="1:10" x14ac:dyDescent="0.3">
      <c r="A941" t="s">
        <v>49</v>
      </c>
      <c r="B941" t="s">
        <v>51</v>
      </c>
      <c r="C941">
        <v>70000</v>
      </c>
      <c r="D941" t="s">
        <v>19</v>
      </c>
      <c r="E941" t="s">
        <v>35</v>
      </c>
      <c r="F941" t="s">
        <v>41</v>
      </c>
      <c r="G941" s="2" t="s">
        <v>50</v>
      </c>
      <c r="H941" t="s">
        <v>27</v>
      </c>
      <c r="I941" t="s">
        <v>16</v>
      </c>
      <c r="J941" t="s">
        <v>28</v>
      </c>
    </row>
    <row r="942" spans="1:10" x14ac:dyDescent="0.3">
      <c r="A942" t="s">
        <v>65</v>
      </c>
      <c r="B942" t="s">
        <v>63</v>
      </c>
      <c r="C942" t="s">
        <v>58</v>
      </c>
      <c r="D942" t="s">
        <v>12</v>
      </c>
      <c r="E942" t="s">
        <v>20</v>
      </c>
      <c r="F942" t="s">
        <v>14</v>
      </c>
      <c r="G942" s="2" t="s">
        <v>60</v>
      </c>
      <c r="H942" t="s">
        <v>15</v>
      </c>
      <c r="I942" t="s">
        <v>51</v>
      </c>
      <c r="J942" t="s">
        <v>57</v>
      </c>
    </row>
    <row r="943" spans="1:10" x14ac:dyDescent="0.3">
      <c r="A943" t="s">
        <v>56</v>
      </c>
      <c r="B943">
        <v>50</v>
      </c>
      <c r="C943">
        <v>65000</v>
      </c>
      <c r="D943" t="s">
        <v>19</v>
      </c>
      <c r="E943" t="s">
        <v>26</v>
      </c>
      <c r="F943" t="s">
        <v>14</v>
      </c>
      <c r="G943" s="2" t="s">
        <v>50</v>
      </c>
      <c r="H943" t="s">
        <v>27</v>
      </c>
      <c r="I943" t="s">
        <v>32</v>
      </c>
      <c r="J943" t="s">
        <v>42</v>
      </c>
    </row>
    <row r="944" spans="1:10" x14ac:dyDescent="0.3">
      <c r="A944" t="s">
        <v>53</v>
      </c>
      <c r="B944" t="s">
        <v>63</v>
      </c>
      <c r="C944">
        <v>65000</v>
      </c>
      <c r="D944" t="s">
        <v>34</v>
      </c>
      <c r="E944" t="s">
        <v>13</v>
      </c>
      <c r="F944" t="s">
        <v>21</v>
      </c>
      <c r="G944" s="2">
        <v>43881</v>
      </c>
      <c r="H944" t="s">
        <v>38</v>
      </c>
      <c r="I944" t="s">
        <v>16</v>
      </c>
      <c r="J944" t="s">
        <v>28</v>
      </c>
    </row>
    <row r="945" spans="1:10" x14ac:dyDescent="0.3">
      <c r="A945" t="s">
        <v>53</v>
      </c>
      <c r="B945">
        <v>25</v>
      </c>
      <c r="C945" t="s">
        <v>58</v>
      </c>
      <c r="D945" t="s">
        <v>12</v>
      </c>
      <c r="E945" t="s">
        <v>35</v>
      </c>
      <c r="F945" t="s">
        <v>37</v>
      </c>
      <c r="G945" s="2" t="s">
        <v>62</v>
      </c>
      <c r="H945" t="s">
        <v>22</v>
      </c>
      <c r="J945" t="s">
        <v>24</v>
      </c>
    </row>
    <row r="946" spans="1:10" x14ac:dyDescent="0.3">
      <c r="A946" t="s">
        <v>61</v>
      </c>
      <c r="B946">
        <v>40</v>
      </c>
      <c r="C946" t="s">
        <v>54</v>
      </c>
      <c r="D946" t="s">
        <v>34</v>
      </c>
      <c r="E946" t="s">
        <v>20</v>
      </c>
      <c r="F946" t="s">
        <v>40</v>
      </c>
      <c r="G946" s="2" t="s">
        <v>62</v>
      </c>
      <c r="H946" t="s">
        <v>27</v>
      </c>
      <c r="I946" t="s">
        <v>23</v>
      </c>
      <c r="J946" t="s">
        <v>28</v>
      </c>
    </row>
    <row r="947" spans="1:10" x14ac:dyDescent="0.3">
      <c r="A947" t="s">
        <v>49</v>
      </c>
      <c r="B947" t="s">
        <v>51</v>
      </c>
      <c r="C947">
        <v>70000</v>
      </c>
      <c r="D947" t="s">
        <v>34</v>
      </c>
      <c r="E947" t="s">
        <v>26</v>
      </c>
      <c r="F947" t="s">
        <v>40</v>
      </c>
      <c r="G947" s="2" t="s">
        <v>62</v>
      </c>
      <c r="H947" t="s">
        <v>15</v>
      </c>
      <c r="I947" t="s">
        <v>16</v>
      </c>
      <c r="J947" t="s">
        <v>24</v>
      </c>
    </row>
    <row r="948" spans="1:10" x14ac:dyDescent="0.3">
      <c r="A948" t="s">
        <v>61</v>
      </c>
      <c r="B948" t="s">
        <v>63</v>
      </c>
      <c r="C948">
        <v>50000</v>
      </c>
      <c r="D948" t="s">
        <v>12</v>
      </c>
      <c r="E948" t="s">
        <v>35</v>
      </c>
      <c r="F948" t="s">
        <v>37</v>
      </c>
      <c r="G948" s="2" t="s">
        <v>62</v>
      </c>
      <c r="H948" t="s">
        <v>38</v>
      </c>
      <c r="I948" t="s">
        <v>23</v>
      </c>
      <c r="J948" t="s">
        <v>57</v>
      </c>
    </row>
    <row r="949" spans="1:10" x14ac:dyDescent="0.3">
      <c r="A949" t="s">
        <v>64</v>
      </c>
      <c r="B949">
        <v>40</v>
      </c>
      <c r="C949">
        <v>55000</v>
      </c>
      <c r="D949" t="s">
        <v>12</v>
      </c>
      <c r="E949" t="s">
        <v>30</v>
      </c>
      <c r="F949" t="s">
        <v>14</v>
      </c>
      <c r="G949" s="2" t="s">
        <v>62</v>
      </c>
      <c r="H949" t="s">
        <v>31</v>
      </c>
      <c r="J949" t="s">
        <v>28</v>
      </c>
    </row>
    <row r="950" spans="1:10" x14ac:dyDescent="0.3">
      <c r="A950" t="s">
        <v>64</v>
      </c>
      <c r="B950">
        <v>25</v>
      </c>
      <c r="C950">
        <v>65000</v>
      </c>
      <c r="D950" t="s">
        <v>34</v>
      </c>
      <c r="E950" t="s">
        <v>35</v>
      </c>
      <c r="F950" t="s">
        <v>14</v>
      </c>
      <c r="G950" s="2" t="s">
        <v>62</v>
      </c>
      <c r="H950" t="s">
        <v>27</v>
      </c>
      <c r="I950" t="s">
        <v>16</v>
      </c>
      <c r="J950" t="s">
        <v>57</v>
      </c>
    </row>
    <row r="951" spans="1:10" x14ac:dyDescent="0.3">
      <c r="A951" t="s">
        <v>61</v>
      </c>
      <c r="B951">
        <v>35</v>
      </c>
      <c r="C951">
        <v>55000</v>
      </c>
      <c r="D951" t="s">
        <v>34</v>
      </c>
      <c r="E951" t="s">
        <v>13</v>
      </c>
      <c r="F951" t="s">
        <v>41</v>
      </c>
      <c r="G951" s="2" t="s">
        <v>55</v>
      </c>
      <c r="H951" t="s">
        <v>38</v>
      </c>
      <c r="I951" t="s">
        <v>51</v>
      </c>
      <c r="J951" t="s">
        <v>42</v>
      </c>
    </row>
    <row r="952" spans="1:10" x14ac:dyDescent="0.3">
      <c r="A952" t="s">
        <v>49</v>
      </c>
      <c r="B952">
        <v>50</v>
      </c>
      <c r="C952">
        <v>50000</v>
      </c>
      <c r="D952" t="s">
        <v>34</v>
      </c>
      <c r="E952" t="s">
        <v>35</v>
      </c>
      <c r="F952" t="s">
        <v>21</v>
      </c>
      <c r="G952" s="2" t="s">
        <v>60</v>
      </c>
      <c r="H952" t="s">
        <v>31</v>
      </c>
      <c r="I952" t="s">
        <v>32</v>
      </c>
      <c r="J952" t="s">
        <v>24</v>
      </c>
    </row>
    <row r="953" spans="1:10" x14ac:dyDescent="0.3">
      <c r="A953" t="s">
        <v>61</v>
      </c>
      <c r="B953">
        <v>40</v>
      </c>
      <c r="C953">
        <v>55000</v>
      </c>
      <c r="D953" t="s">
        <v>34</v>
      </c>
      <c r="E953" t="s">
        <v>26</v>
      </c>
      <c r="F953" t="s">
        <v>21</v>
      </c>
      <c r="G953" s="2" t="s">
        <v>62</v>
      </c>
      <c r="H953" t="s">
        <v>27</v>
      </c>
      <c r="I953" t="s">
        <v>16</v>
      </c>
      <c r="J953" t="s">
        <v>42</v>
      </c>
    </row>
    <row r="954" spans="1:10" x14ac:dyDescent="0.3">
      <c r="A954" t="s">
        <v>53</v>
      </c>
      <c r="B954">
        <v>40</v>
      </c>
      <c r="C954">
        <v>50000</v>
      </c>
      <c r="D954" t="s">
        <v>12</v>
      </c>
      <c r="E954" t="s">
        <v>26</v>
      </c>
      <c r="F954" t="s">
        <v>21</v>
      </c>
      <c r="G954" s="2" t="s">
        <v>60</v>
      </c>
      <c r="H954" t="s">
        <v>38</v>
      </c>
      <c r="J954" t="s">
        <v>24</v>
      </c>
    </row>
    <row r="955" spans="1:10" x14ac:dyDescent="0.3">
      <c r="A955" t="s">
        <v>59</v>
      </c>
      <c r="B955">
        <v>35</v>
      </c>
      <c r="C955" t="s">
        <v>58</v>
      </c>
      <c r="D955" t="s">
        <v>12</v>
      </c>
      <c r="E955" t="s">
        <v>35</v>
      </c>
      <c r="F955" t="s">
        <v>41</v>
      </c>
      <c r="G955" s="2" t="s">
        <v>62</v>
      </c>
      <c r="H955" t="s">
        <v>38</v>
      </c>
      <c r="I955" t="s">
        <v>16</v>
      </c>
      <c r="J955" t="s">
        <v>57</v>
      </c>
    </row>
    <row r="956" spans="1:10" x14ac:dyDescent="0.3">
      <c r="A956" t="s">
        <v>52</v>
      </c>
      <c r="B956">
        <v>40</v>
      </c>
      <c r="C956" t="s">
        <v>54</v>
      </c>
      <c r="D956" t="s">
        <v>34</v>
      </c>
      <c r="E956" t="s">
        <v>26</v>
      </c>
      <c r="F956" t="s">
        <v>21</v>
      </c>
      <c r="G956" s="2" t="s">
        <v>50</v>
      </c>
      <c r="H956" t="s">
        <v>27</v>
      </c>
      <c r="I956" t="s">
        <v>23</v>
      </c>
      <c r="J956" t="s">
        <v>51</v>
      </c>
    </row>
    <row r="957" spans="1:10" x14ac:dyDescent="0.3">
      <c r="A957" t="s">
        <v>66</v>
      </c>
      <c r="B957">
        <v>25</v>
      </c>
      <c r="C957">
        <v>65000</v>
      </c>
      <c r="D957" t="s">
        <v>19</v>
      </c>
      <c r="E957" t="s">
        <v>30</v>
      </c>
      <c r="F957" t="s">
        <v>37</v>
      </c>
      <c r="G957" s="2" t="s">
        <v>62</v>
      </c>
      <c r="H957" t="s">
        <v>38</v>
      </c>
      <c r="I957" t="s">
        <v>16</v>
      </c>
      <c r="J957" t="s">
        <v>28</v>
      </c>
    </row>
    <row r="958" spans="1:10" x14ac:dyDescent="0.3">
      <c r="A958" t="s">
        <v>52</v>
      </c>
      <c r="B958">
        <v>25</v>
      </c>
      <c r="C958">
        <v>50000</v>
      </c>
      <c r="D958" t="s">
        <v>19</v>
      </c>
      <c r="E958" t="s">
        <v>35</v>
      </c>
      <c r="F958" t="s">
        <v>41</v>
      </c>
      <c r="G958" s="2">
        <v>43881</v>
      </c>
      <c r="H958" t="s">
        <v>22</v>
      </c>
      <c r="I958" t="s">
        <v>51</v>
      </c>
      <c r="J958" t="s">
        <v>57</v>
      </c>
    </row>
    <row r="959" spans="1:10" x14ac:dyDescent="0.3">
      <c r="A959" t="s">
        <v>49</v>
      </c>
      <c r="B959">
        <v>35</v>
      </c>
      <c r="C959">
        <v>55000</v>
      </c>
      <c r="D959" t="s">
        <v>12</v>
      </c>
      <c r="E959" t="s">
        <v>30</v>
      </c>
      <c r="F959" t="s">
        <v>37</v>
      </c>
      <c r="G959" s="2" t="s">
        <v>55</v>
      </c>
      <c r="H959" t="s">
        <v>27</v>
      </c>
      <c r="I959" t="s">
        <v>16</v>
      </c>
      <c r="J959" t="s">
        <v>24</v>
      </c>
    </row>
    <row r="960" spans="1:10" x14ac:dyDescent="0.3">
      <c r="A960" t="s">
        <v>52</v>
      </c>
      <c r="B960">
        <v>50</v>
      </c>
      <c r="C960">
        <v>65000</v>
      </c>
      <c r="D960" t="s">
        <v>34</v>
      </c>
      <c r="E960" t="s">
        <v>30</v>
      </c>
      <c r="F960" t="s">
        <v>41</v>
      </c>
      <c r="G960" s="2" t="s">
        <v>50</v>
      </c>
      <c r="H960" t="s">
        <v>38</v>
      </c>
      <c r="I960" t="s">
        <v>32</v>
      </c>
      <c r="J960" t="s">
        <v>24</v>
      </c>
    </row>
    <row r="961" spans="1:10" x14ac:dyDescent="0.3">
      <c r="A961" t="s">
        <v>64</v>
      </c>
      <c r="B961" t="s">
        <v>51</v>
      </c>
      <c r="C961" t="s">
        <v>54</v>
      </c>
      <c r="D961" t="s">
        <v>34</v>
      </c>
      <c r="E961" t="s">
        <v>20</v>
      </c>
      <c r="F961" t="s">
        <v>21</v>
      </c>
      <c r="G961" s="2" t="s">
        <v>50</v>
      </c>
      <c r="H961" t="s">
        <v>31</v>
      </c>
      <c r="I961" t="s">
        <v>16</v>
      </c>
      <c r="J961" t="s">
        <v>24</v>
      </c>
    </row>
    <row r="962" spans="1:10" x14ac:dyDescent="0.3">
      <c r="A962" t="s">
        <v>67</v>
      </c>
      <c r="B962" t="s">
        <v>63</v>
      </c>
      <c r="C962" t="s">
        <v>58</v>
      </c>
      <c r="D962" t="s">
        <v>12</v>
      </c>
      <c r="E962" t="s">
        <v>35</v>
      </c>
      <c r="F962" t="s">
        <v>37</v>
      </c>
      <c r="G962" s="2">
        <v>43881</v>
      </c>
      <c r="H962" t="s">
        <v>31</v>
      </c>
      <c r="I962" t="s">
        <v>23</v>
      </c>
      <c r="J962" t="s">
        <v>24</v>
      </c>
    </row>
    <row r="963" spans="1:10" x14ac:dyDescent="0.3">
      <c r="A963" t="s">
        <v>66</v>
      </c>
      <c r="B963" t="s">
        <v>51</v>
      </c>
      <c r="C963">
        <v>65000</v>
      </c>
      <c r="D963" t="s">
        <v>19</v>
      </c>
      <c r="E963" t="s">
        <v>26</v>
      </c>
      <c r="F963" t="s">
        <v>37</v>
      </c>
      <c r="G963" s="2" t="s">
        <v>62</v>
      </c>
      <c r="H963" t="s">
        <v>22</v>
      </c>
      <c r="I963" t="s">
        <v>16</v>
      </c>
      <c r="J963" t="s">
        <v>28</v>
      </c>
    </row>
    <row r="964" spans="1:10" x14ac:dyDescent="0.3">
      <c r="A964" t="s">
        <v>56</v>
      </c>
      <c r="B964">
        <v>40</v>
      </c>
      <c r="C964">
        <v>50000</v>
      </c>
      <c r="D964" t="s">
        <v>19</v>
      </c>
      <c r="E964" t="s">
        <v>30</v>
      </c>
      <c r="F964" t="s">
        <v>37</v>
      </c>
      <c r="G964" s="2" t="s">
        <v>55</v>
      </c>
      <c r="H964" t="s">
        <v>27</v>
      </c>
      <c r="I964" t="s">
        <v>51</v>
      </c>
      <c r="J964" t="s">
        <v>42</v>
      </c>
    </row>
    <row r="965" spans="1:10" x14ac:dyDescent="0.3">
      <c r="A965" t="s">
        <v>49</v>
      </c>
      <c r="B965" t="s">
        <v>63</v>
      </c>
      <c r="C965" t="s">
        <v>54</v>
      </c>
      <c r="D965" t="s">
        <v>19</v>
      </c>
      <c r="E965" t="s">
        <v>20</v>
      </c>
      <c r="F965" t="s">
        <v>41</v>
      </c>
      <c r="G965" s="2" t="s">
        <v>50</v>
      </c>
      <c r="H965" t="s">
        <v>38</v>
      </c>
      <c r="J965" t="s">
        <v>51</v>
      </c>
    </row>
    <row r="966" spans="1:10" x14ac:dyDescent="0.3">
      <c r="A966" t="s">
        <v>66</v>
      </c>
      <c r="B966">
        <v>35</v>
      </c>
      <c r="C966">
        <v>55000</v>
      </c>
      <c r="D966" t="s">
        <v>12</v>
      </c>
      <c r="E966" t="s">
        <v>35</v>
      </c>
      <c r="F966" t="s">
        <v>40</v>
      </c>
      <c r="G966" s="2" t="s">
        <v>55</v>
      </c>
      <c r="H966" t="s">
        <v>38</v>
      </c>
      <c r="I966" t="s">
        <v>16</v>
      </c>
      <c r="J966" t="s">
        <v>28</v>
      </c>
    </row>
    <row r="967" spans="1:10" x14ac:dyDescent="0.3">
      <c r="A967" t="s">
        <v>52</v>
      </c>
      <c r="B967">
        <v>35</v>
      </c>
      <c r="C967" t="s">
        <v>54</v>
      </c>
      <c r="D967" t="s">
        <v>19</v>
      </c>
      <c r="E967" t="s">
        <v>35</v>
      </c>
      <c r="F967" t="s">
        <v>21</v>
      </c>
      <c r="G967" s="2" t="s">
        <v>50</v>
      </c>
      <c r="H967" t="s">
        <v>31</v>
      </c>
      <c r="I967" t="s">
        <v>16</v>
      </c>
      <c r="J967" t="s">
        <v>24</v>
      </c>
    </row>
    <row r="968" spans="1:10" x14ac:dyDescent="0.3">
      <c r="A968" t="s">
        <v>64</v>
      </c>
      <c r="B968">
        <v>50</v>
      </c>
      <c r="C968" t="s">
        <v>54</v>
      </c>
      <c r="D968" t="s">
        <v>12</v>
      </c>
      <c r="E968" t="s">
        <v>13</v>
      </c>
      <c r="F968" t="s">
        <v>37</v>
      </c>
      <c r="G968" s="2" t="s">
        <v>62</v>
      </c>
      <c r="H968" t="s">
        <v>22</v>
      </c>
      <c r="I968" t="s">
        <v>32</v>
      </c>
      <c r="J968" t="s">
        <v>28</v>
      </c>
    </row>
    <row r="969" spans="1:10" x14ac:dyDescent="0.3">
      <c r="A969" t="s">
        <v>65</v>
      </c>
      <c r="B969" t="s">
        <v>63</v>
      </c>
      <c r="C969">
        <v>70000</v>
      </c>
      <c r="D969" t="s">
        <v>12</v>
      </c>
      <c r="E969" t="s">
        <v>13</v>
      </c>
      <c r="F969" t="s">
        <v>40</v>
      </c>
      <c r="G969" s="2" t="s">
        <v>50</v>
      </c>
      <c r="H969" t="s">
        <v>31</v>
      </c>
      <c r="I969" t="s">
        <v>51</v>
      </c>
      <c r="J969" t="s">
        <v>57</v>
      </c>
    </row>
    <row r="970" spans="1:10" x14ac:dyDescent="0.3">
      <c r="A970" t="s">
        <v>59</v>
      </c>
      <c r="B970">
        <v>25</v>
      </c>
      <c r="C970" t="s">
        <v>54</v>
      </c>
      <c r="D970" t="s">
        <v>34</v>
      </c>
      <c r="E970" t="s">
        <v>30</v>
      </c>
      <c r="F970" t="s">
        <v>21</v>
      </c>
      <c r="G970" s="2" t="s">
        <v>50</v>
      </c>
      <c r="H970" t="s">
        <v>31</v>
      </c>
      <c r="J970" t="s">
        <v>24</v>
      </c>
    </row>
    <row r="971" spans="1:10" x14ac:dyDescent="0.3">
      <c r="A971" t="s">
        <v>56</v>
      </c>
      <c r="B971" t="s">
        <v>63</v>
      </c>
      <c r="C971" t="s">
        <v>54</v>
      </c>
      <c r="D971" t="s">
        <v>19</v>
      </c>
      <c r="E971" t="s">
        <v>13</v>
      </c>
      <c r="F971" t="s">
        <v>21</v>
      </c>
      <c r="G971" s="2" t="s">
        <v>60</v>
      </c>
      <c r="H971" t="s">
        <v>22</v>
      </c>
      <c r="I971" t="s">
        <v>23</v>
      </c>
      <c r="J971" t="s">
        <v>51</v>
      </c>
    </row>
    <row r="972" spans="1:10" x14ac:dyDescent="0.3">
      <c r="A972" t="s">
        <v>59</v>
      </c>
      <c r="B972">
        <v>40</v>
      </c>
      <c r="C972">
        <v>65000</v>
      </c>
      <c r="D972" t="s">
        <v>12</v>
      </c>
      <c r="E972" t="s">
        <v>30</v>
      </c>
      <c r="F972" t="s">
        <v>37</v>
      </c>
      <c r="G972" s="2" t="s">
        <v>62</v>
      </c>
      <c r="H972" t="s">
        <v>27</v>
      </c>
      <c r="I972" t="s">
        <v>16</v>
      </c>
      <c r="J972" t="s">
        <v>24</v>
      </c>
    </row>
    <row r="973" spans="1:10" x14ac:dyDescent="0.3">
      <c r="A973" t="s">
        <v>66</v>
      </c>
      <c r="B973">
        <v>25</v>
      </c>
      <c r="C973">
        <v>55000</v>
      </c>
      <c r="D973" t="s">
        <v>19</v>
      </c>
      <c r="E973" t="s">
        <v>26</v>
      </c>
      <c r="F973" t="s">
        <v>37</v>
      </c>
      <c r="G973" s="2">
        <v>43881</v>
      </c>
      <c r="H973" t="s">
        <v>38</v>
      </c>
      <c r="J973" t="s">
        <v>51</v>
      </c>
    </row>
    <row r="974" spans="1:10" x14ac:dyDescent="0.3">
      <c r="A974" t="s">
        <v>64</v>
      </c>
      <c r="B974">
        <v>35</v>
      </c>
      <c r="C974">
        <v>65000</v>
      </c>
      <c r="D974" t="s">
        <v>19</v>
      </c>
      <c r="E974" t="s">
        <v>30</v>
      </c>
      <c r="F974" t="s">
        <v>41</v>
      </c>
      <c r="G974" s="2">
        <v>43881</v>
      </c>
      <c r="H974" t="s">
        <v>27</v>
      </c>
      <c r="I974" t="s">
        <v>23</v>
      </c>
      <c r="J974" t="s">
        <v>51</v>
      </c>
    </row>
    <row r="975" spans="1:10" x14ac:dyDescent="0.3">
      <c r="A975" t="s">
        <v>64</v>
      </c>
      <c r="B975" t="s">
        <v>63</v>
      </c>
      <c r="C975">
        <v>65000</v>
      </c>
      <c r="D975" t="s">
        <v>34</v>
      </c>
      <c r="E975" t="s">
        <v>13</v>
      </c>
      <c r="F975" t="s">
        <v>40</v>
      </c>
      <c r="G975" s="2" t="s">
        <v>62</v>
      </c>
      <c r="H975" t="s">
        <v>15</v>
      </c>
      <c r="I975" t="s">
        <v>51</v>
      </c>
      <c r="J975" t="s">
        <v>42</v>
      </c>
    </row>
    <row r="976" spans="1:10" x14ac:dyDescent="0.3">
      <c r="A976" t="s">
        <v>52</v>
      </c>
      <c r="B976" t="s">
        <v>51</v>
      </c>
      <c r="C976">
        <v>50000</v>
      </c>
      <c r="D976" t="s">
        <v>19</v>
      </c>
      <c r="E976" t="s">
        <v>26</v>
      </c>
      <c r="F976" t="s">
        <v>40</v>
      </c>
      <c r="G976" s="2">
        <v>43881</v>
      </c>
      <c r="H976" t="s">
        <v>15</v>
      </c>
      <c r="I976" t="s">
        <v>51</v>
      </c>
      <c r="J976" t="s">
        <v>42</v>
      </c>
    </row>
    <row r="977" spans="1:10" x14ac:dyDescent="0.3">
      <c r="A977" t="s">
        <v>53</v>
      </c>
      <c r="B977">
        <v>50</v>
      </c>
      <c r="C977">
        <v>65000</v>
      </c>
      <c r="D977" t="s">
        <v>34</v>
      </c>
      <c r="E977" t="s">
        <v>13</v>
      </c>
      <c r="F977" t="s">
        <v>37</v>
      </c>
      <c r="G977" s="2" t="s">
        <v>62</v>
      </c>
      <c r="H977" t="s">
        <v>15</v>
      </c>
      <c r="J977" t="s">
        <v>28</v>
      </c>
    </row>
    <row r="978" spans="1:10" x14ac:dyDescent="0.3">
      <c r="A978" t="s">
        <v>52</v>
      </c>
      <c r="B978" t="s">
        <v>51</v>
      </c>
      <c r="C978">
        <v>70000</v>
      </c>
      <c r="D978" t="s">
        <v>12</v>
      </c>
      <c r="E978" t="s">
        <v>30</v>
      </c>
      <c r="F978" t="s">
        <v>21</v>
      </c>
      <c r="G978" s="2">
        <v>43881</v>
      </c>
      <c r="H978" t="s">
        <v>22</v>
      </c>
      <c r="I978" t="s">
        <v>23</v>
      </c>
      <c r="J978" t="s">
        <v>28</v>
      </c>
    </row>
    <row r="979" spans="1:10" x14ac:dyDescent="0.3">
      <c r="A979" t="s">
        <v>53</v>
      </c>
      <c r="B979">
        <v>50</v>
      </c>
      <c r="C979">
        <v>70000</v>
      </c>
      <c r="D979" t="s">
        <v>19</v>
      </c>
      <c r="E979" t="s">
        <v>20</v>
      </c>
      <c r="F979" t="s">
        <v>37</v>
      </c>
      <c r="G979" s="2" t="s">
        <v>60</v>
      </c>
      <c r="H979" t="s">
        <v>31</v>
      </c>
      <c r="I979" t="s">
        <v>51</v>
      </c>
      <c r="J979" t="s">
        <v>51</v>
      </c>
    </row>
    <row r="980" spans="1:10" x14ac:dyDescent="0.3">
      <c r="A980" t="s">
        <v>53</v>
      </c>
      <c r="B980">
        <v>40</v>
      </c>
      <c r="C980">
        <v>50000</v>
      </c>
      <c r="D980" t="s">
        <v>12</v>
      </c>
      <c r="E980" t="s">
        <v>35</v>
      </c>
      <c r="F980" t="s">
        <v>21</v>
      </c>
      <c r="G980" s="2">
        <v>43881</v>
      </c>
      <c r="H980" t="s">
        <v>27</v>
      </c>
      <c r="J980" t="s">
        <v>24</v>
      </c>
    </row>
    <row r="981" spans="1:10" x14ac:dyDescent="0.3">
      <c r="A981" t="s">
        <v>56</v>
      </c>
      <c r="B981" t="s">
        <v>51</v>
      </c>
      <c r="C981" t="s">
        <v>58</v>
      </c>
      <c r="D981" t="s">
        <v>19</v>
      </c>
      <c r="E981" t="s">
        <v>13</v>
      </c>
      <c r="F981" t="s">
        <v>21</v>
      </c>
      <c r="G981" s="2" t="s">
        <v>50</v>
      </c>
      <c r="H981" t="s">
        <v>38</v>
      </c>
      <c r="I981" t="s">
        <v>51</v>
      </c>
      <c r="J981" t="s">
        <v>57</v>
      </c>
    </row>
    <row r="982" spans="1:10" x14ac:dyDescent="0.3">
      <c r="A982" t="s">
        <v>52</v>
      </c>
      <c r="B982" t="s">
        <v>63</v>
      </c>
      <c r="C982">
        <v>55000</v>
      </c>
      <c r="D982" t="s">
        <v>12</v>
      </c>
      <c r="E982" t="s">
        <v>30</v>
      </c>
      <c r="F982" t="s">
        <v>37</v>
      </c>
      <c r="G982" s="2" t="s">
        <v>62</v>
      </c>
      <c r="H982" t="s">
        <v>15</v>
      </c>
      <c r="I982" t="s">
        <v>51</v>
      </c>
      <c r="J982" t="s">
        <v>57</v>
      </c>
    </row>
    <row r="983" spans="1:10" x14ac:dyDescent="0.3">
      <c r="A983" t="s">
        <v>65</v>
      </c>
      <c r="B983" t="s">
        <v>63</v>
      </c>
      <c r="C983">
        <v>55000</v>
      </c>
      <c r="D983" t="s">
        <v>19</v>
      </c>
      <c r="E983" t="s">
        <v>26</v>
      </c>
      <c r="F983" t="s">
        <v>14</v>
      </c>
      <c r="G983" s="2" t="s">
        <v>55</v>
      </c>
      <c r="H983" t="s">
        <v>27</v>
      </c>
      <c r="I983" t="s">
        <v>51</v>
      </c>
      <c r="J983" t="s">
        <v>24</v>
      </c>
    </row>
    <row r="984" spans="1:10" x14ac:dyDescent="0.3">
      <c r="A984" t="s">
        <v>61</v>
      </c>
      <c r="B984" t="s">
        <v>51</v>
      </c>
      <c r="C984">
        <v>65000</v>
      </c>
      <c r="D984" t="s">
        <v>19</v>
      </c>
      <c r="E984" t="s">
        <v>13</v>
      </c>
      <c r="F984" t="s">
        <v>40</v>
      </c>
      <c r="G984" s="2" t="s">
        <v>55</v>
      </c>
      <c r="H984" t="s">
        <v>15</v>
      </c>
      <c r="I984" t="s">
        <v>32</v>
      </c>
      <c r="J984" t="s">
        <v>24</v>
      </c>
    </row>
    <row r="985" spans="1:10" x14ac:dyDescent="0.3">
      <c r="A985" t="s">
        <v>61</v>
      </c>
      <c r="B985" t="s">
        <v>63</v>
      </c>
      <c r="C985">
        <v>65000</v>
      </c>
      <c r="D985" t="s">
        <v>19</v>
      </c>
      <c r="E985" t="s">
        <v>13</v>
      </c>
      <c r="F985" t="s">
        <v>21</v>
      </c>
      <c r="G985" s="2" t="s">
        <v>62</v>
      </c>
      <c r="H985" t="s">
        <v>15</v>
      </c>
      <c r="I985" t="s">
        <v>23</v>
      </c>
      <c r="J985" t="s">
        <v>42</v>
      </c>
    </row>
    <row r="986" spans="1:10" x14ac:dyDescent="0.3">
      <c r="A986" t="s">
        <v>52</v>
      </c>
      <c r="B986">
        <v>40</v>
      </c>
      <c r="C986" t="s">
        <v>58</v>
      </c>
      <c r="D986" t="s">
        <v>19</v>
      </c>
      <c r="E986" t="s">
        <v>35</v>
      </c>
      <c r="F986" t="s">
        <v>21</v>
      </c>
      <c r="G986" s="2" t="s">
        <v>60</v>
      </c>
      <c r="H986" t="s">
        <v>38</v>
      </c>
      <c r="J986" t="s">
        <v>57</v>
      </c>
    </row>
    <row r="987" spans="1:10" x14ac:dyDescent="0.3">
      <c r="A987" t="s">
        <v>52</v>
      </c>
      <c r="B987">
        <v>25</v>
      </c>
      <c r="C987">
        <v>65000</v>
      </c>
      <c r="D987" t="s">
        <v>19</v>
      </c>
      <c r="E987" t="s">
        <v>30</v>
      </c>
      <c r="F987" t="s">
        <v>14</v>
      </c>
      <c r="G987" s="2">
        <v>43881</v>
      </c>
      <c r="H987" t="s">
        <v>22</v>
      </c>
      <c r="J987" t="s">
        <v>51</v>
      </c>
    </row>
    <row r="988" spans="1:10" x14ac:dyDescent="0.3">
      <c r="A988" t="s">
        <v>59</v>
      </c>
      <c r="B988">
        <v>40</v>
      </c>
      <c r="C988">
        <v>55000</v>
      </c>
      <c r="D988" t="s">
        <v>19</v>
      </c>
      <c r="E988" t="s">
        <v>20</v>
      </c>
      <c r="F988" t="s">
        <v>41</v>
      </c>
      <c r="G988" s="2" t="s">
        <v>60</v>
      </c>
      <c r="H988" t="s">
        <v>31</v>
      </c>
      <c r="I988" t="s">
        <v>23</v>
      </c>
      <c r="J988" t="s">
        <v>28</v>
      </c>
    </row>
    <row r="989" spans="1:10" x14ac:dyDescent="0.3">
      <c r="A989" t="s">
        <v>56</v>
      </c>
      <c r="B989">
        <v>50</v>
      </c>
      <c r="C989" t="s">
        <v>54</v>
      </c>
      <c r="D989" t="s">
        <v>19</v>
      </c>
      <c r="E989" t="s">
        <v>26</v>
      </c>
      <c r="F989" t="s">
        <v>14</v>
      </c>
      <c r="G989" s="2" t="s">
        <v>55</v>
      </c>
      <c r="H989" t="s">
        <v>22</v>
      </c>
      <c r="I989" t="s">
        <v>23</v>
      </c>
      <c r="J989" t="s">
        <v>42</v>
      </c>
    </row>
    <row r="990" spans="1:10" x14ac:dyDescent="0.3">
      <c r="A990" t="s">
        <v>52</v>
      </c>
      <c r="B990">
        <v>40</v>
      </c>
      <c r="C990">
        <v>70000</v>
      </c>
      <c r="D990" t="s">
        <v>19</v>
      </c>
      <c r="E990" t="s">
        <v>30</v>
      </c>
      <c r="F990" t="s">
        <v>14</v>
      </c>
      <c r="G990" s="2" t="s">
        <v>62</v>
      </c>
      <c r="H990" t="s">
        <v>27</v>
      </c>
      <c r="I990" t="s">
        <v>23</v>
      </c>
      <c r="J990" t="s">
        <v>57</v>
      </c>
    </row>
    <row r="991" spans="1:10" x14ac:dyDescent="0.3">
      <c r="A991" t="s">
        <v>59</v>
      </c>
      <c r="B991">
        <v>50</v>
      </c>
      <c r="C991" t="s">
        <v>54</v>
      </c>
      <c r="D991" t="s">
        <v>19</v>
      </c>
      <c r="E991" t="s">
        <v>26</v>
      </c>
      <c r="F991" t="s">
        <v>21</v>
      </c>
      <c r="G991" s="2" t="s">
        <v>62</v>
      </c>
      <c r="H991" t="s">
        <v>22</v>
      </c>
      <c r="I991" t="s">
        <v>23</v>
      </c>
      <c r="J991" t="s">
        <v>24</v>
      </c>
    </row>
    <row r="992" spans="1:10" x14ac:dyDescent="0.3">
      <c r="A992" t="s">
        <v>53</v>
      </c>
      <c r="B992" t="s">
        <v>63</v>
      </c>
      <c r="C992" t="s">
        <v>54</v>
      </c>
      <c r="D992" t="s">
        <v>12</v>
      </c>
      <c r="E992" t="s">
        <v>13</v>
      </c>
      <c r="F992" t="s">
        <v>40</v>
      </c>
      <c r="G992" s="2" t="s">
        <v>60</v>
      </c>
      <c r="H992" t="s">
        <v>27</v>
      </c>
      <c r="I992" t="s">
        <v>16</v>
      </c>
      <c r="J992" t="s">
        <v>57</v>
      </c>
    </row>
    <row r="993" spans="1:10" x14ac:dyDescent="0.3">
      <c r="A993" t="s">
        <v>64</v>
      </c>
      <c r="B993">
        <v>25</v>
      </c>
      <c r="C993">
        <v>55000</v>
      </c>
      <c r="D993" t="s">
        <v>34</v>
      </c>
      <c r="E993" t="s">
        <v>35</v>
      </c>
      <c r="F993" t="s">
        <v>14</v>
      </c>
      <c r="G993" s="2" t="s">
        <v>60</v>
      </c>
      <c r="H993" t="s">
        <v>27</v>
      </c>
      <c r="J993" t="s">
        <v>51</v>
      </c>
    </row>
    <row r="994" spans="1:10" x14ac:dyDescent="0.3">
      <c r="A994" t="s">
        <v>64</v>
      </c>
      <c r="B994" t="s">
        <v>63</v>
      </c>
      <c r="C994" t="s">
        <v>54</v>
      </c>
      <c r="D994" t="s">
        <v>19</v>
      </c>
      <c r="E994" t="s">
        <v>35</v>
      </c>
      <c r="F994" t="s">
        <v>41</v>
      </c>
      <c r="G994" s="2">
        <v>43881</v>
      </c>
      <c r="H994" t="s">
        <v>31</v>
      </c>
      <c r="I994" t="s">
        <v>16</v>
      </c>
      <c r="J994" t="s">
        <v>42</v>
      </c>
    </row>
    <row r="995" spans="1:10" x14ac:dyDescent="0.3">
      <c r="A995" t="s">
        <v>53</v>
      </c>
      <c r="B995">
        <v>35</v>
      </c>
      <c r="C995" t="s">
        <v>58</v>
      </c>
      <c r="D995" t="s">
        <v>34</v>
      </c>
      <c r="E995" t="s">
        <v>20</v>
      </c>
      <c r="F995" t="s">
        <v>37</v>
      </c>
      <c r="G995" s="2" t="s">
        <v>50</v>
      </c>
      <c r="H995" t="s">
        <v>38</v>
      </c>
      <c r="I995" t="s">
        <v>51</v>
      </c>
      <c r="J995" t="s">
        <v>24</v>
      </c>
    </row>
    <row r="996" spans="1:10" x14ac:dyDescent="0.3">
      <c r="A996" t="s">
        <v>49</v>
      </c>
      <c r="B996" t="s">
        <v>63</v>
      </c>
      <c r="C996">
        <v>50000</v>
      </c>
      <c r="D996" t="s">
        <v>19</v>
      </c>
      <c r="E996" t="s">
        <v>35</v>
      </c>
      <c r="F996" t="s">
        <v>14</v>
      </c>
      <c r="G996" s="2" t="s">
        <v>50</v>
      </c>
      <c r="H996" t="s">
        <v>31</v>
      </c>
      <c r="I996" t="s">
        <v>51</v>
      </c>
      <c r="J996" t="s">
        <v>51</v>
      </c>
    </row>
    <row r="997" spans="1:10" x14ac:dyDescent="0.3">
      <c r="A997" t="s">
        <v>59</v>
      </c>
      <c r="B997">
        <v>50</v>
      </c>
      <c r="C997">
        <v>65000</v>
      </c>
      <c r="D997" t="s">
        <v>19</v>
      </c>
      <c r="E997" t="s">
        <v>13</v>
      </c>
      <c r="F997" t="s">
        <v>14</v>
      </c>
      <c r="G997" s="2">
        <v>43881</v>
      </c>
      <c r="H997" t="s">
        <v>22</v>
      </c>
      <c r="J997" t="s">
        <v>28</v>
      </c>
    </row>
    <row r="998" spans="1:10" x14ac:dyDescent="0.3">
      <c r="A998" t="s">
        <v>59</v>
      </c>
      <c r="B998" t="s">
        <v>63</v>
      </c>
      <c r="C998">
        <v>50000</v>
      </c>
      <c r="D998" t="s">
        <v>12</v>
      </c>
      <c r="E998" t="s">
        <v>20</v>
      </c>
      <c r="F998" t="s">
        <v>41</v>
      </c>
      <c r="G998" s="2" t="s">
        <v>50</v>
      </c>
      <c r="H998" t="s">
        <v>27</v>
      </c>
      <c r="I998" t="s">
        <v>51</v>
      </c>
      <c r="J998" t="s">
        <v>42</v>
      </c>
    </row>
    <row r="999" spans="1:10" x14ac:dyDescent="0.3">
      <c r="A999" t="s">
        <v>53</v>
      </c>
      <c r="B999" t="s">
        <v>63</v>
      </c>
      <c r="C999">
        <v>70000</v>
      </c>
      <c r="D999" t="s">
        <v>12</v>
      </c>
      <c r="E999" t="s">
        <v>30</v>
      </c>
      <c r="F999" t="s">
        <v>40</v>
      </c>
      <c r="G999" s="2" t="s">
        <v>55</v>
      </c>
      <c r="H999" t="s">
        <v>15</v>
      </c>
      <c r="I999" t="s">
        <v>23</v>
      </c>
      <c r="J999" t="s">
        <v>51</v>
      </c>
    </row>
    <row r="1000" spans="1:10" x14ac:dyDescent="0.3">
      <c r="A1000" t="s">
        <v>65</v>
      </c>
      <c r="B1000">
        <v>25</v>
      </c>
      <c r="C1000">
        <v>65000</v>
      </c>
      <c r="D1000" t="s">
        <v>34</v>
      </c>
      <c r="E1000" t="s">
        <v>35</v>
      </c>
      <c r="F1000" t="s">
        <v>14</v>
      </c>
      <c r="G1000" s="2" t="s">
        <v>50</v>
      </c>
      <c r="H1000" t="s">
        <v>15</v>
      </c>
      <c r="I1000" t="s">
        <v>16</v>
      </c>
      <c r="J1000" t="s">
        <v>51</v>
      </c>
    </row>
    <row r="1001" spans="1:10" x14ac:dyDescent="0.3">
      <c r="A1001" t="s">
        <v>67</v>
      </c>
      <c r="B1001" t="s">
        <v>63</v>
      </c>
      <c r="C1001" t="s">
        <v>54</v>
      </c>
      <c r="D1001" t="s">
        <v>12</v>
      </c>
      <c r="E1001" t="s">
        <v>20</v>
      </c>
      <c r="F1001" t="s">
        <v>14</v>
      </c>
      <c r="G1001" s="2">
        <v>43881</v>
      </c>
      <c r="H1001" t="s">
        <v>27</v>
      </c>
      <c r="I1001" t="s">
        <v>23</v>
      </c>
      <c r="J100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6B1B-CA06-47B3-B3E1-F90C4355FA2D}">
  <dimension ref="A1:M1001"/>
  <sheetViews>
    <sheetView workbookViewId="0">
      <selection activeCell="G26" sqref="G26"/>
    </sheetView>
  </sheetViews>
  <sheetFormatPr defaultRowHeight="14.4" x14ac:dyDescent="0.3"/>
  <cols>
    <col min="4" max="4" width="9" customWidth="1"/>
    <col min="5" max="5" width="12.88671875" customWidth="1"/>
    <col min="6" max="6" width="9.6640625" customWidth="1"/>
    <col min="7" max="7" width="12.77734375" style="2" customWidth="1"/>
    <col min="8" max="8" width="18.6640625" customWidth="1"/>
    <col min="10" max="10" width="15.109375" customWidth="1"/>
    <col min="11" max="11" width="9.77734375" style="5" customWidth="1"/>
    <col min="12" max="12" width="22.109375" style="5" customWidth="1"/>
    <col min="13" max="13" width="12.109375" style="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s="7" t="s">
        <v>48</v>
      </c>
      <c r="L1" s="7" t="s">
        <v>47</v>
      </c>
      <c r="M1" s="7" t="s">
        <v>68</v>
      </c>
    </row>
    <row r="2" spans="1:13" x14ac:dyDescent="0.3">
      <c r="A2" t="s">
        <v>49</v>
      </c>
      <c r="B2">
        <v>25</v>
      </c>
      <c r="C2">
        <v>50000</v>
      </c>
      <c r="D2" t="s">
        <v>12</v>
      </c>
      <c r="E2" t="s">
        <v>13</v>
      </c>
      <c r="F2" t="s">
        <v>14</v>
      </c>
      <c r="G2" s="2" t="s">
        <v>50</v>
      </c>
      <c r="H2" t="s">
        <v>15</v>
      </c>
      <c r="I2" t="s">
        <v>16</v>
      </c>
      <c r="J2" t="s">
        <v>17</v>
      </c>
      <c r="K2" s="5" t="s">
        <v>11</v>
      </c>
      <c r="L2" s="6" cm="1">
        <f t="array" ref="L2">_xlfn.SWITCH(Table13_2[[#This Row],[Performance Score]],"A",6,"B",5,"C",4,"D",3,"E",2,"F",1)</f>
        <v>3</v>
      </c>
      <c r="M2" s="5">
        <f>IF(C2=0,AVERAGEIF($E$2:$E$1001,E2,$C$2:$C$1001),C2)</f>
        <v>50000</v>
      </c>
    </row>
    <row r="3" spans="1:13" x14ac:dyDescent="0.3">
      <c r="A3" t="s">
        <v>52</v>
      </c>
      <c r="B3" t="s">
        <v>51</v>
      </c>
      <c r="C3">
        <v>65000</v>
      </c>
      <c r="D3" t="s">
        <v>19</v>
      </c>
      <c r="E3" t="s">
        <v>20</v>
      </c>
      <c r="F3" t="s">
        <v>21</v>
      </c>
      <c r="G3" s="2">
        <v>43881</v>
      </c>
      <c r="H3" t="s">
        <v>22</v>
      </c>
      <c r="I3" t="s">
        <v>23</v>
      </c>
      <c r="J3" t="s">
        <v>24</v>
      </c>
      <c r="K3" s="5" t="s">
        <v>18</v>
      </c>
      <c r="L3" s="6" cm="1">
        <f t="array" ref="L3">_xlfn.SWITCH(Table13_2[[#This Row],[Performance Score]],"A",6,"B",5,"C",4,"D",3,"E",2,"F",1)</f>
        <v>1</v>
      </c>
      <c r="M3" s="5">
        <f t="shared" ref="M3:M66" si="0">IF(C3=0,AVERAGEIF($E$2:$E$1001,E3,$C$2:$C$1001),C3)</f>
        <v>65000</v>
      </c>
    </row>
    <row r="4" spans="1:13" x14ac:dyDescent="0.3">
      <c r="A4" t="s">
        <v>53</v>
      </c>
      <c r="B4">
        <v>35</v>
      </c>
      <c r="C4">
        <v>60000</v>
      </c>
      <c r="D4" t="s">
        <v>19</v>
      </c>
      <c r="E4" t="s">
        <v>26</v>
      </c>
      <c r="F4" t="s">
        <v>21</v>
      </c>
      <c r="G4" s="2" t="s">
        <v>55</v>
      </c>
      <c r="H4" t="s">
        <v>27</v>
      </c>
      <c r="I4" t="s">
        <v>16</v>
      </c>
      <c r="J4" t="s">
        <v>28</v>
      </c>
      <c r="K4" s="5" t="s">
        <v>25</v>
      </c>
      <c r="L4" s="6" cm="1">
        <f t="array" ref="L4">_xlfn.SWITCH(Table13_2[[#This Row],[Performance Score]],"A",6,"B",5,"C",4,"D",3,"E",2,"F",1)</f>
        <v>4</v>
      </c>
      <c r="M4" s="5">
        <f t="shared" si="0"/>
        <v>60000</v>
      </c>
    </row>
    <row r="5" spans="1:13" x14ac:dyDescent="0.3">
      <c r="A5" t="s">
        <v>56</v>
      </c>
      <c r="B5" t="s">
        <v>51</v>
      </c>
      <c r="C5">
        <v>50000</v>
      </c>
      <c r="D5" t="s">
        <v>19</v>
      </c>
      <c r="E5" t="s">
        <v>30</v>
      </c>
      <c r="F5" t="s">
        <v>14</v>
      </c>
      <c r="G5" s="2" t="s">
        <v>50</v>
      </c>
      <c r="H5" t="s">
        <v>31</v>
      </c>
      <c r="I5" t="s">
        <v>32</v>
      </c>
      <c r="J5" t="s">
        <v>17</v>
      </c>
      <c r="K5" s="5" t="s">
        <v>29</v>
      </c>
      <c r="L5" s="6" cm="1">
        <f t="array" ref="L5">_xlfn.SWITCH(Table13_2[[#This Row],[Performance Score]],"A",6,"B",5,"C",4,"D",3,"E",2,"F",1)</f>
        <v>6</v>
      </c>
      <c r="M5" s="5">
        <f t="shared" si="0"/>
        <v>50000</v>
      </c>
    </row>
    <row r="6" spans="1:13" x14ac:dyDescent="0.3">
      <c r="A6" t="s">
        <v>49</v>
      </c>
      <c r="B6" t="s">
        <v>51</v>
      </c>
      <c r="C6">
        <v>0</v>
      </c>
      <c r="D6" t="s">
        <v>19</v>
      </c>
      <c r="E6" t="s">
        <v>20</v>
      </c>
      <c r="F6" t="s">
        <v>14</v>
      </c>
      <c r="G6" s="2" t="s">
        <v>55</v>
      </c>
      <c r="H6" t="s">
        <v>22</v>
      </c>
      <c r="I6" t="s">
        <v>32</v>
      </c>
      <c r="J6" t="s">
        <v>28</v>
      </c>
      <c r="K6" s="5" t="s">
        <v>11</v>
      </c>
      <c r="L6" s="6" cm="1">
        <f t="array" ref="L6">_xlfn.SWITCH(Table13_2[[#This Row],[Performance Score]],"A",6,"B",5,"C",4,"D",3,"E",2,"F",1)</f>
        <v>1</v>
      </c>
      <c r="M6" s="5">
        <f t="shared" si="0"/>
        <v>48417.431192660551</v>
      </c>
    </row>
    <row r="7" spans="1:13" x14ac:dyDescent="0.3">
      <c r="A7" t="s">
        <v>59</v>
      </c>
      <c r="B7" t="s">
        <v>51</v>
      </c>
      <c r="C7">
        <v>65000</v>
      </c>
      <c r="D7" t="s">
        <v>34</v>
      </c>
      <c r="E7" t="s">
        <v>35</v>
      </c>
      <c r="F7" t="s">
        <v>21</v>
      </c>
      <c r="G7" s="2" t="s">
        <v>60</v>
      </c>
      <c r="H7" t="s">
        <v>22</v>
      </c>
      <c r="I7" t="s">
        <v>23</v>
      </c>
      <c r="J7" t="s">
        <v>17</v>
      </c>
      <c r="K7" s="5" t="s">
        <v>33</v>
      </c>
      <c r="L7" s="6" cm="1">
        <f t="array" ref="L7">_xlfn.SWITCH(Table13_2[[#This Row],[Performance Score]],"A",6,"B",5,"C",4,"D",3,"E",2,"F",1)</f>
        <v>1</v>
      </c>
      <c r="M7" s="5">
        <f t="shared" si="0"/>
        <v>65000</v>
      </c>
    </row>
    <row r="8" spans="1:13" x14ac:dyDescent="0.3">
      <c r="A8" t="s">
        <v>61</v>
      </c>
      <c r="B8" t="s">
        <v>51</v>
      </c>
      <c r="C8">
        <v>50000</v>
      </c>
      <c r="D8" t="s">
        <v>12</v>
      </c>
      <c r="E8" t="s">
        <v>35</v>
      </c>
      <c r="F8" t="s">
        <v>37</v>
      </c>
      <c r="G8" s="2" t="s">
        <v>62</v>
      </c>
      <c r="H8" t="s">
        <v>38</v>
      </c>
      <c r="I8" t="s">
        <v>39</v>
      </c>
      <c r="J8" t="s">
        <v>24</v>
      </c>
      <c r="K8" s="5" t="s">
        <v>36</v>
      </c>
      <c r="L8" s="6" cm="1">
        <f t="array" ref="L8">_xlfn.SWITCH(Table13_2[[#This Row],[Performance Score]],"A",6,"B",5,"C",4,"D",3,"E",2,"F",1)</f>
        <v>5</v>
      </c>
      <c r="M8" s="5">
        <f t="shared" si="0"/>
        <v>50000</v>
      </c>
    </row>
    <row r="9" spans="1:13" x14ac:dyDescent="0.3">
      <c r="A9" t="s">
        <v>49</v>
      </c>
      <c r="B9">
        <v>40</v>
      </c>
      <c r="C9">
        <v>50000</v>
      </c>
      <c r="D9" t="s">
        <v>34</v>
      </c>
      <c r="E9" t="s">
        <v>13</v>
      </c>
      <c r="F9" t="s">
        <v>21</v>
      </c>
      <c r="G9" s="2" t="s">
        <v>60</v>
      </c>
      <c r="H9" t="s">
        <v>27</v>
      </c>
      <c r="I9" t="s">
        <v>39</v>
      </c>
      <c r="J9" t="s">
        <v>17</v>
      </c>
      <c r="K9" s="5" t="s">
        <v>11</v>
      </c>
      <c r="L9" s="6" cm="1">
        <f t="array" ref="L9">_xlfn.SWITCH(Table13_2[[#This Row],[Performance Score]],"A",6,"B",5,"C",4,"D",3,"E",2,"F",1)</f>
        <v>4</v>
      </c>
      <c r="M9" s="5">
        <f t="shared" si="0"/>
        <v>50000</v>
      </c>
    </row>
    <row r="10" spans="1:13" x14ac:dyDescent="0.3">
      <c r="A10" t="s">
        <v>53</v>
      </c>
      <c r="B10">
        <v>40</v>
      </c>
      <c r="C10">
        <v>60000</v>
      </c>
      <c r="D10" t="s">
        <v>19</v>
      </c>
      <c r="E10" t="s">
        <v>35</v>
      </c>
      <c r="F10" t="s">
        <v>14</v>
      </c>
      <c r="G10" s="2" t="s">
        <v>55</v>
      </c>
      <c r="H10" t="s">
        <v>27</v>
      </c>
      <c r="I10" t="s">
        <v>23</v>
      </c>
      <c r="J10" t="s">
        <v>24</v>
      </c>
      <c r="K10" s="5" t="s">
        <v>25</v>
      </c>
      <c r="L10" s="6" cm="1">
        <f t="array" ref="L10">_xlfn.SWITCH(Table13_2[[#This Row],[Performance Score]],"A",6,"B",5,"C",4,"D",3,"E",2,"F",1)</f>
        <v>4</v>
      </c>
      <c r="M10" s="5">
        <f t="shared" si="0"/>
        <v>60000</v>
      </c>
    </row>
    <row r="11" spans="1:13" x14ac:dyDescent="0.3">
      <c r="A11" t="s">
        <v>56</v>
      </c>
      <c r="B11" t="s">
        <v>63</v>
      </c>
      <c r="C11">
        <v>0</v>
      </c>
      <c r="D11" t="s">
        <v>34</v>
      </c>
      <c r="E11" t="s">
        <v>20</v>
      </c>
      <c r="F11" t="s">
        <v>40</v>
      </c>
      <c r="G11" s="2">
        <v>43881</v>
      </c>
      <c r="H11" t="s">
        <v>31</v>
      </c>
      <c r="I11" t="s">
        <v>39</v>
      </c>
      <c r="J11" t="s">
        <v>17</v>
      </c>
      <c r="K11" s="5" t="s">
        <v>29</v>
      </c>
      <c r="L11" s="6" cm="1">
        <f t="array" ref="L11">_xlfn.SWITCH(Table13_2[[#This Row],[Performance Score]],"A",6,"B",5,"C",4,"D",3,"E",2,"F",1)</f>
        <v>6</v>
      </c>
      <c r="M11" s="5">
        <f t="shared" si="0"/>
        <v>48417.431192660551</v>
      </c>
    </row>
    <row r="12" spans="1:13" x14ac:dyDescent="0.3">
      <c r="A12" t="s">
        <v>52</v>
      </c>
      <c r="B12">
        <v>25</v>
      </c>
      <c r="C12">
        <v>70000</v>
      </c>
      <c r="D12" t="s">
        <v>12</v>
      </c>
      <c r="E12" t="s">
        <v>35</v>
      </c>
      <c r="F12" t="s">
        <v>41</v>
      </c>
      <c r="G12" s="2" t="s">
        <v>62</v>
      </c>
      <c r="H12" t="s">
        <v>38</v>
      </c>
      <c r="I12" t="s">
        <v>39</v>
      </c>
      <c r="J12" t="s">
        <v>24</v>
      </c>
      <c r="K12" s="5" t="s">
        <v>18</v>
      </c>
      <c r="L12" s="6" cm="1">
        <f t="array" ref="L12">_xlfn.SWITCH(Table13_2[[#This Row],[Performance Score]],"A",6,"B",5,"C",4,"D",3,"E",2,"F",1)</f>
        <v>5</v>
      </c>
      <c r="M12" s="5">
        <f t="shared" si="0"/>
        <v>70000</v>
      </c>
    </row>
    <row r="13" spans="1:13" x14ac:dyDescent="0.3">
      <c r="A13" t="s">
        <v>53</v>
      </c>
      <c r="B13" t="s">
        <v>51</v>
      </c>
      <c r="C13">
        <v>70000</v>
      </c>
      <c r="D13" t="s">
        <v>34</v>
      </c>
      <c r="E13" t="s">
        <v>20</v>
      </c>
      <c r="F13" t="s">
        <v>40</v>
      </c>
      <c r="G13" s="2" t="s">
        <v>60</v>
      </c>
      <c r="H13" t="s">
        <v>31</v>
      </c>
      <c r="I13" t="s">
        <v>39</v>
      </c>
      <c r="J13" t="s">
        <v>17</v>
      </c>
      <c r="K13" s="5" t="s">
        <v>25</v>
      </c>
      <c r="L13" s="6" cm="1">
        <f t="array" ref="L13">_xlfn.SWITCH(Table13_2[[#This Row],[Performance Score]],"A",6,"B",5,"C",4,"D",3,"E",2,"F",1)</f>
        <v>6</v>
      </c>
      <c r="M13" s="5">
        <f t="shared" si="0"/>
        <v>70000</v>
      </c>
    </row>
    <row r="14" spans="1:13" x14ac:dyDescent="0.3">
      <c r="A14" t="s">
        <v>53</v>
      </c>
      <c r="B14" t="s">
        <v>63</v>
      </c>
      <c r="C14">
        <v>50000</v>
      </c>
      <c r="D14" t="s">
        <v>12</v>
      </c>
      <c r="E14" t="s">
        <v>30</v>
      </c>
      <c r="F14" t="s">
        <v>40</v>
      </c>
      <c r="G14" s="2" t="s">
        <v>50</v>
      </c>
      <c r="H14" t="s">
        <v>15</v>
      </c>
      <c r="I14" t="s">
        <v>39</v>
      </c>
      <c r="J14" t="s">
        <v>17</v>
      </c>
      <c r="K14" s="5" t="s">
        <v>25</v>
      </c>
      <c r="L14" s="6" cm="1">
        <f t="array" ref="L14">_xlfn.SWITCH(Table13_2[[#This Row],[Performance Score]],"A",6,"B",5,"C",4,"D",3,"E",2,"F",1)</f>
        <v>3</v>
      </c>
      <c r="M14" s="5">
        <f t="shared" si="0"/>
        <v>50000</v>
      </c>
    </row>
    <row r="15" spans="1:13" x14ac:dyDescent="0.3">
      <c r="A15" t="s">
        <v>61</v>
      </c>
      <c r="B15">
        <v>25</v>
      </c>
      <c r="C15">
        <v>55000</v>
      </c>
      <c r="D15" t="s">
        <v>34</v>
      </c>
      <c r="E15" t="s">
        <v>13</v>
      </c>
      <c r="F15" t="s">
        <v>14</v>
      </c>
      <c r="G15" s="2">
        <v>43881</v>
      </c>
      <c r="H15" t="s">
        <v>22</v>
      </c>
      <c r="I15" t="s">
        <v>39</v>
      </c>
      <c r="J15" t="s">
        <v>42</v>
      </c>
      <c r="K15" s="5" t="s">
        <v>36</v>
      </c>
      <c r="L15" s="6" cm="1">
        <f t="array" ref="L15">_xlfn.SWITCH(Table13_2[[#This Row],[Performance Score]],"A",6,"B",5,"C",4,"D",3,"E",2,"F",1)</f>
        <v>1</v>
      </c>
      <c r="M15" s="5">
        <f t="shared" si="0"/>
        <v>55000</v>
      </c>
    </row>
    <row r="16" spans="1:13" x14ac:dyDescent="0.3">
      <c r="A16" t="s">
        <v>64</v>
      </c>
      <c r="B16">
        <v>50</v>
      </c>
      <c r="C16">
        <v>0</v>
      </c>
      <c r="D16" t="s">
        <v>12</v>
      </c>
      <c r="E16" t="s">
        <v>35</v>
      </c>
      <c r="F16" t="s">
        <v>21</v>
      </c>
      <c r="G16" s="2" t="s">
        <v>60</v>
      </c>
      <c r="H16" t="s">
        <v>31</v>
      </c>
      <c r="I16" t="s">
        <v>39</v>
      </c>
      <c r="J16" t="s">
        <v>24</v>
      </c>
      <c r="K16" s="5" t="s">
        <v>43</v>
      </c>
      <c r="L16" s="6" cm="1">
        <f t="array" ref="L16">_xlfn.SWITCH(Table13_2[[#This Row],[Performance Score]],"A",6,"B",5,"C",4,"D",3,"E",2,"F",1)</f>
        <v>6</v>
      </c>
      <c r="M16" s="5">
        <f t="shared" si="0"/>
        <v>49144.385026737968</v>
      </c>
    </row>
    <row r="17" spans="1:13" x14ac:dyDescent="0.3">
      <c r="A17" t="s">
        <v>56</v>
      </c>
      <c r="B17">
        <v>35</v>
      </c>
      <c r="C17">
        <v>65000</v>
      </c>
      <c r="D17" t="s">
        <v>12</v>
      </c>
      <c r="E17" t="s">
        <v>20</v>
      </c>
      <c r="F17" t="s">
        <v>37</v>
      </c>
      <c r="G17" s="2" t="s">
        <v>50</v>
      </c>
      <c r="H17" t="s">
        <v>22</v>
      </c>
      <c r="I17" t="s">
        <v>39</v>
      </c>
      <c r="J17" t="s">
        <v>24</v>
      </c>
      <c r="K17" s="5" t="s">
        <v>29</v>
      </c>
      <c r="L17" s="6" cm="1">
        <f t="array" ref="L17">_xlfn.SWITCH(Table13_2[[#This Row],[Performance Score]],"A",6,"B",5,"C",4,"D",3,"E",2,"F",1)</f>
        <v>1</v>
      </c>
      <c r="M17" s="5">
        <f t="shared" si="0"/>
        <v>65000</v>
      </c>
    </row>
    <row r="18" spans="1:13" x14ac:dyDescent="0.3">
      <c r="A18" t="s">
        <v>65</v>
      </c>
      <c r="B18">
        <v>40</v>
      </c>
      <c r="C18">
        <v>55000</v>
      </c>
      <c r="D18" t="s">
        <v>19</v>
      </c>
      <c r="E18" t="s">
        <v>26</v>
      </c>
      <c r="F18" t="s">
        <v>40</v>
      </c>
      <c r="G18" s="2" t="s">
        <v>55</v>
      </c>
      <c r="H18" t="s">
        <v>38</v>
      </c>
      <c r="I18" t="s">
        <v>39</v>
      </c>
      <c r="J18" t="s">
        <v>28</v>
      </c>
      <c r="K18" s="5" t="s">
        <v>44</v>
      </c>
      <c r="L18" s="6" cm="1">
        <f t="array" ref="L18">_xlfn.SWITCH(Table13_2[[#This Row],[Performance Score]],"A",6,"B",5,"C",4,"D",3,"E",2,"F",1)</f>
        <v>5</v>
      </c>
      <c r="M18" s="5">
        <f t="shared" si="0"/>
        <v>55000</v>
      </c>
    </row>
    <row r="19" spans="1:13" x14ac:dyDescent="0.3">
      <c r="A19" t="s">
        <v>53</v>
      </c>
      <c r="B19">
        <v>50</v>
      </c>
      <c r="C19">
        <v>55000</v>
      </c>
      <c r="D19" t="s">
        <v>12</v>
      </c>
      <c r="E19" t="s">
        <v>13</v>
      </c>
      <c r="F19" t="s">
        <v>21</v>
      </c>
      <c r="G19" s="2" t="s">
        <v>50</v>
      </c>
      <c r="H19" t="s">
        <v>15</v>
      </c>
      <c r="I19" t="s">
        <v>23</v>
      </c>
      <c r="J19" t="s">
        <v>17</v>
      </c>
      <c r="K19" s="5" t="s">
        <v>25</v>
      </c>
      <c r="L19" s="6" cm="1">
        <f t="array" ref="L19">_xlfn.SWITCH(Table13_2[[#This Row],[Performance Score]],"A",6,"B",5,"C",4,"D",3,"E",2,"F",1)</f>
        <v>3</v>
      </c>
      <c r="M19" s="5">
        <f t="shared" si="0"/>
        <v>55000</v>
      </c>
    </row>
    <row r="20" spans="1:13" x14ac:dyDescent="0.3">
      <c r="A20" t="s">
        <v>64</v>
      </c>
      <c r="B20">
        <v>25</v>
      </c>
      <c r="C20">
        <v>0</v>
      </c>
      <c r="D20" t="s">
        <v>19</v>
      </c>
      <c r="E20" t="s">
        <v>30</v>
      </c>
      <c r="F20" t="s">
        <v>37</v>
      </c>
      <c r="G20" s="2" t="s">
        <v>60</v>
      </c>
      <c r="H20" t="s">
        <v>38</v>
      </c>
      <c r="I20" t="s">
        <v>16</v>
      </c>
      <c r="J20" t="s">
        <v>42</v>
      </c>
      <c r="K20" s="5" t="s">
        <v>43</v>
      </c>
      <c r="L20" s="6" cm="1">
        <f t="array" ref="L20">_xlfn.SWITCH(Table13_2[[#This Row],[Performance Score]],"A",6,"B",5,"C",4,"D",3,"E",2,"F",1)</f>
        <v>5</v>
      </c>
      <c r="M20" s="5">
        <f t="shared" si="0"/>
        <v>50777.202072538857</v>
      </c>
    </row>
    <row r="21" spans="1:13" x14ac:dyDescent="0.3">
      <c r="A21" t="s">
        <v>65</v>
      </c>
      <c r="B21">
        <v>50</v>
      </c>
      <c r="C21">
        <v>50000</v>
      </c>
      <c r="D21" t="s">
        <v>19</v>
      </c>
      <c r="E21" t="s">
        <v>20</v>
      </c>
      <c r="F21" t="s">
        <v>40</v>
      </c>
      <c r="G21" s="2" t="s">
        <v>60</v>
      </c>
      <c r="H21" t="s">
        <v>15</v>
      </c>
      <c r="I21" t="s">
        <v>23</v>
      </c>
      <c r="J21" t="s">
        <v>17</v>
      </c>
      <c r="K21" s="5" t="s">
        <v>44</v>
      </c>
      <c r="L21" s="6" cm="1">
        <f t="array" ref="L21">_xlfn.SWITCH(Table13_2[[#This Row],[Performance Score]],"A",6,"B",5,"C",4,"D",3,"E",2,"F",1)</f>
        <v>3</v>
      </c>
      <c r="M21" s="5">
        <f t="shared" si="0"/>
        <v>50000</v>
      </c>
    </row>
    <row r="22" spans="1:13" x14ac:dyDescent="0.3">
      <c r="A22" t="s">
        <v>56</v>
      </c>
      <c r="B22">
        <v>35</v>
      </c>
      <c r="C22">
        <v>50000</v>
      </c>
      <c r="D22" t="s">
        <v>19</v>
      </c>
      <c r="E22" t="s">
        <v>30</v>
      </c>
      <c r="F22" t="s">
        <v>37</v>
      </c>
      <c r="G22" s="2" t="s">
        <v>55</v>
      </c>
      <c r="H22" t="s">
        <v>15</v>
      </c>
      <c r="I22" t="s">
        <v>16</v>
      </c>
      <c r="J22" t="s">
        <v>28</v>
      </c>
      <c r="K22" s="5" t="s">
        <v>29</v>
      </c>
      <c r="L22" s="6" cm="1">
        <f t="array" ref="L22">_xlfn.SWITCH(Table13_2[[#This Row],[Performance Score]],"A",6,"B",5,"C",4,"D",3,"E",2,"F",1)</f>
        <v>3</v>
      </c>
      <c r="M22" s="5">
        <f t="shared" si="0"/>
        <v>50000</v>
      </c>
    </row>
    <row r="23" spans="1:13" x14ac:dyDescent="0.3">
      <c r="A23" t="s">
        <v>66</v>
      </c>
      <c r="B23">
        <v>25</v>
      </c>
      <c r="C23">
        <v>50000</v>
      </c>
      <c r="D23" t="s">
        <v>34</v>
      </c>
      <c r="E23" t="s">
        <v>30</v>
      </c>
      <c r="F23" t="s">
        <v>21</v>
      </c>
      <c r="G23" s="2" t="s">
        <v>50</v>
      </c>
      <c r="H23" t="s">
        <v>22</v>
      </c>
      <c r="I23" t="s">
        <v>23</v>
      </c>
      <c r="J23" t="s">
        <v>42</v>
      </c>
      <c r="K23" s="5" t="s">
        <v>45</v>
      </c>
      <c r="L23" s="6" cm="1">
        <f t="array" ref="L23">_xlfn.SWITCH(Table13_2[[#This Row],[Performance Score]],"A",6,"B",5,"C",4,"D",3,"E",2,"F",1)</f>
        <v>1</v>
      </c>
      <c r="M23" s="5">
        <f t="shared" si="0"/>
        <v>50000</v>
      </c>
    </row>
    <row r="24" spans="1:13" x14ac:dyDescent="0.3">
      <c r="A24" t="s">
        <v>59</v>
      </c>
      <c r="B24">
        <v>50</v>
      </c>
      <c r="C24">
        <v>50000</v>
      </c>
      <c r="D24" t="s">
        <v>34</v>
      </c>
      <c r="E24" t="s">
        <v>35</v>
      </c>
      <c r="F24" t="s">
        <v>41</v>
      </c>
      <c r="G24" s="2" t="s">
        <v>50</v>
      </c>
      <c r="H24" t="s">
        <v>38</v>
      </c>
      <c r="I24" t="s">
        <v>16</v>
      </c>
      <c r="J24" t="s">
        <v>17</v>
      </c>
      <c r="K24" s="5" t="s">
        <v>33</v>
      </c>
      <c r="L24" s="6" cm="1">
        <f t="array" ref="L24">_xlfn.SWITCH(Table13_2[[#This Row],[Performance Score]],"A",6,"B",5,"C",4,"D",3,"E",2,"F",1)</f>
        <v>5</v>
      </c>
      <c r="M24" s="5">
        <f t="shared" si="0"/>
        <v>50000</v>
      </c>
    </row>
    <row r="25" spans="1:13" x14ac:dyDescent="0.3">
      <c r="A25" t="s">
        <v>64</v>
      </c>
      <c r="B25">
        <v>40</v>
      </c>
      <c r="C25">
        <v>70000</v>
      </c>
      <c r="D25" t="s">
        <v>34</v>
      </c>
      <c r="E25" t="s">
        <v>35</v>
      </c>
      <c r="F25" t="s">
        <v>21</v>
      </c>
      <c r="G25" s="2" t="s">
        <v>55</v>
      </c>
      <c r="H25" t="s">
        <v>38</v>
      </c>
      <c r="I25" t="s">
        <v>16</v>
      </c>
      <c r="J25" t="s">
        <v>42</v>
      </c>
      <c r="K25" s="5" t="s">
        <v>43</v>
      </c>
      <c r="L25" s="6" cm="1">
        <f t="array" ref="L25">_xlfn.SWITCH(Table13_2[[#This Row],[Performance Score]],"A",6,"B",5,"C",4,"D",3,"E",2,"F",1)</f>
        <v>5</v>
      </c>
      <c r="M25" s="5">
        <f t="shared" si="0"/>
        <v>70000</v>
      </c>
    </row>
    <row r="26" spans="1:13" x14ac:dyDescent="0.3">
      <c r="A26" t="s">
        <v>67</v>
      </c>
      <c r="B26">
        <v>40</v>
      </c>
      <c r="C26">
        <v>50000</v>
      </c>
      <c r="D26" t="s">
        <v>34</v>
      </c>
      <c r="E26" t="s">
        <v>20</v>
      </c>
      <c r="F26" t="s">
        <v>14</v>
      </c>
      <c r="G26" s="2" t="s">
        <v>50</v>
      </c>
      <c r="H26" t="s">
        <v>31</v>
      </c>
      <c r="I26" t="s">
        <v>32</v>
      </c>
      <c r="J26" t="s">
        <v>24</v>
      </c>
      <c r="K26" s="5" t="s">
        <v>46</v>
      </c>
      <c r="L26" s="6" cm="1">
        <f t="array" ref="L26">_xlfn.SWITCH(Table13_2[[#This Row],[Performance Score]],"A",6,"B",5,"C",4,"D",3,"E",2,"F",1)</f>
        <v>6</v>
      </c>
      <c r="M26" s="5">
        <f t="shared" si="0"/>
        <v>50000</v>
      </c>
    </row>
    <row r="27" spans="1:13" x14ac:dyDescent="0.3">
      <c r="A27" t="s">
        <v>66</v>
      </c>
      <c r="B27" t="s">
        <v>63</v>
      </c>
      <c r="C27">
        <v>70000</v>
      </c>
      <c r="D27" t="s">
        <v>12</v>
      </c>
      <c r="E27" t="s">
        <v>26</v>
      </c>
      <c r="F27" t="s">
        <v>37</v>
      </c>
      <c r="G27" s="2" t="s">
        <v>55</v>
      </c>
      <c r="H27" t="s">
        <v>38</v>
      </c>
      <c r="I27" t="s">
        <v>16</v>
      </c>
      <c r="J27" t="s">
        <v>24</v>
      </c>
      <c r="K27" s="5" t="s">
        <v>45</v>
      </c>
      <c r="L27" s="6" cm="1">
        <f t="array" ref="L27">_xlfn.SWITCH(Table13_2[[#This Row],[Performance Score]],"A",6,"B",5,"C",4,"D",3,"E",2,"F",1)</f>
        <v>5</v>
      </c>
      <c r="M27" s="5">
        <f t="shared" si="0"/>
        <v>70000</v>
      </c>
    </row>
    <row r="28" spans="1:13" x14ac:dyDescent="0.3">
      <c r="A28" t="s">
        <v>59</v>
      </c>
      <c r="B28">
        <v>50</v>
      </c>
      <c r="C28">
        <v>70000</v>
      </c>
      <c r="D28" t="s">
        <v>12</v>
      </c>
      <c r="E28" t="s">
        <v>20</v>
      </c>
      <c r="F28" t="s">
        <v>41</v>
      </c>
      <c r="G28" s="2">
        <v>43881</v>
      </c>
      <c r="H28" t="s">
        <v>31</v>
      </c>
      <c r="I28" t="s">
        <v>16</v>
      </c>
      <c r="J28" t="s">
        <v>28</v>
      </c>
      <c r="K28" s="5" t="s">
        <v>33</v>
      </c>
      <c r="L28" s="6" cm="1">
        <f t="array" ref="L28">_xlfn.SWITCH(Table13_2[[#This Row],[Performance Score]],"A",6,"B",5,"C",4,"D",3,"E",2,"F",1)</f>
        <v>6</v>
      </c>
      <c r="M28" s="5">
        <f t="shared" si="0"/>
        <v>70000</v>
      </c>
    </row>
    <row r="29" spans="1:13" x14ac:dyDescent="0.3">
      <c r="A29" t="s">
        <v>61</v>
      </c>
      <c r="B29" t="s">
        <v>51</v>
      </c>
      <c r="C29">
        <v>50000</v>
      </c>
      <c r="D29" t="s">
        <v>34</v>
      </c>
      <c r="E29" t="s">
        <v>26</v>
      </c>
      <c r="F29" t="s">
        <v>37</v>
      </c>
      <c r="G29" s="2" t="s">
        <v>60</v>
      </c>
      <c r="H29" t="s">
        <v>27</v>
      </c>
      <c r="I29" t="s">
        <v>32</v>
      </c>
      <c r="J29" t="s">
        <v>17</v>
      </c>
      <c r="K29" s="5" t="s">
        <v>36</v>
      </c>
      <c r="L29" s="6" cm="1">
        <f t="array" ref="L29">_xlfn.SWITCH(Table13_2[[#This Row],[Performance Score]],"A",6,"B",5,"C",4,"D",3,"E",2,"F",1)</f>
        <v>4</v>
      </c>
      <c r="M29" s="5">
        <f t="shared" si="0"/>
        <v>50000</v>
      </c>
    </row>
    <row r="30" spans="1:13" x14ac:dyDescent="0.3">
      <c r="A30" t="s">
        <v>49</v>
      </c>
      <c r="B30">
        <v>50</v>
      </c>
      <c r="C30">
        <v>60000</v>
      </c>
      <c r="D30" t="s">
        <v>12</v>
      </c>
      <c r="E30" t="s">
        <v>30</v>
      </c>
      <c r="F30" t="s">
        <v>37</v>
      </c>
      <c r="G30" s="2">
        <v>43881</v>
      </c>
      <c r="H30" t="s">
        <v>27</v>
      </c>
      <c r="I30" t="s">
        <v>39</v>
      </c>
      <c r="J30" t="s">
        <v>17</v>
      </c>
      <c r="K30" s="5" t="s">
        <v>11</v>
      </c>
      <c r="L30" s="6" cm="1">
        <f t="array" ref="L30">_xlfn.SWITCH(Table13_2[[#This Row],[Performance Score]],"A",6,"B",5,"C",4,"D",3,"E",2,"F",1)</f>
        <v>4</v>
      </c>
      <c r="M30" s="5">
        <f t="shared" si="0"/>
        <v>60000</v>
      </c>
    </row>
    <row r="31" spans="1:13" x14ac:dyDescent="0.3">
      <c r="A31" t="s">
        <v>52</v>
      </c>
      <c r="B31">
        <v>25</v>
      </c>
      <c r="C31">
        <v>65000</v>
      </c>
      <c r="D31" t="s">
        <v>12</v>
      </c>
      <c r="E31" t="s">
        <v>13</v>
      </c>
      <c r="F31" t="s">
        <v>40</v>
      </c>
      <c r="G31" s="2" t="s">
        <v>62</v>
      </c>
      <c r="H31" t="s">
        <v>27</v>
      </c>
      <c r="I31" t="s">
        <v>39</v>
      </c>
      <c r="J31" t="s">
        <v>42</v>
      </c>
      <c r="K31" s="5" t="s">
        <v>18</v>
      </c>
      <c r="L31" s="6" cm="1">
        <f t="array" ref="L31">_xlfn.SWITCH(Table13_2[[#This Row],[Performance Score]],"A",6,"B",5,"C",4,"D",3,"E",2,"F",1)</f>
        <v>4</v>
      </c>
      <c r="M31" s="5">
        <f t="shared" si="0"/>
        <v>65000</v>
      </c>
    </row>
    <row r="32" spans="1:13" x14ac:dyDescent="0.3">
      <c r="A32" t="s">
        <v>67</v>
      </c>
      <c r="B32">
        <v>25</v>
      </c>
      <c r="C32">
        <v>55000</v>
      </c>
      <c r="D32" t="s">
        <v>19</v>
      </c>
      <c r="E32" t="s">
        <v>20</v>
      </c>
      <c r="F32" t="s">
        <v>14</v>
      </c>
      <c r="G32" s="2" t="s">
        <v>62</v>
      </c>
      <c r="H32" t="s">
        <v>38</v>
      </c>
      <c r="I32" t="s">
        <v>32</v>
      </c>
      <c r="J32" t="s">
        <v>28</v>
      </c>
      <c r="K32" s="5" t="s">
        <v>46</v>
      </c>
      <c r="L32" s="6" cm="1">
        <f t="array" ref="L32">_xlfn.SWITCH(Table13_2[[#This Row],[Performance Score]],"A",6,"B",5,"C",4,"D",3,"E",2,"F",1)</f>
        <v>5</v>
      </c>
      <c r="M32" s="5">
        <f t="shared" si="0"/>
        <v>55000</v>
      </c>
    </row>
    <row r="33" spans="1:13" x14ac:dyDescent="0.3">
      <c r="A33" t="s">
        <v>61</v>
      </c>
      <c r="B33">
        <v>50</v>
      </c>
      <c r="C33">
        <v>70000</v>
      </c>
      <c r="D33" t="s">
        <v>19</v>
      </c>
      <c r="E33" t="s">
        <v>20</v>
      </c>
      <c r="F33" t="s">
        <v>37</v>
      </c>
      <c r="G33" s="2" t="s">
        <v>62</v>
      </c>
      <c r="H33" t="s">
        <v>38</v>
      </c>
      <c r="I33" t="s">
        <v>39</v>
      </c>
      <c r="J33" t="s">
        <v>17</v>
      </c>
      <c r="K33" s="5" t="s">
        <v>36</v>
      </c>
      <c r="L33" s="6" cm="1">
        <f t="array" ref="L33">_xlfn.SWITCH(Table13_2[[#This Row],[Performance Score]],"A",6,"B",5,"C",4,"D",3,"E",2,"F",1)</f>
        <v>5</v>
      </c>
      <c r="M33" s="5">
        <f t="shared" si="0"/>
        <v>70000</v>
      </c>
    </row>
    <row r="34" spans="1:13" x14ac:dyDescent="0.3">
      <c r="A34" t="s">
        <v>56</v>
      </c>
      <c r="B34">
        <v>35</v>
      </c>
      <c r="C34">
        <v>0</v>
      </c>
      <c r="D34" t="s">
        <v>19</v>
      </c>
      <c r="E34" t="s">
        <v>26</v>
      </c>
      <c r="F34" t="s">
        <v>21</v>
      </c>
      <c r="G34" s="2" t="s">
        <v>55</v>
      </c>
      <c r="H34" t="s">
        <v>31</v>
      </c>
      <c r="I34" t="s">
        <v>16</v>
      </c>
      <c r="J34" t="s">
        <v>24</v>
      </c>
      <c r="K34" s="5" t="s">
        <v>29</v>
      </c>
      <c r="L34" s="6" cm="1">
        <f t="array" ref="L34">_xlfn.SWITCH(Table13_2[[#This Row],[Performance Score]],"A",6,"B",5,"C",4,"D",3,"E",2,"F",1)</f>
        <v>6</v>
      </c>
      <c r="M34" s="5">
        <f t="shared" si="0"/>
        <v>50742.574257425746</v>
      </c>
    </row>
    <row r="35" spans="1:13" x14ac:dyDescent="0.3">
      <c r="A35" t="s">
        <v>61</v>
      </c>
      <c r="B35">
        <v>40</v>
      </c>
      <c r="C35">
        <v>0</v>
      </c>
      <c r="D35" t="s">
        <v>19</v>
      </c>
      <c r="E35" t="s">
        <v>30</v>
      </c>
      <c r="F35" t="s">
        <v>21</v>
      </c>
      <c r="G35" s="2" t="s">
        <v>50</v>
      </c>
      <c r="H35" t="s">
        <v>15</v>
      </c>
      <c r="I35" t="s">
        <v>16</v>
      </c>
      <c r="J35" t="s">
        <v>42</v>
      </c>
      <c r="K35" s="5" t="s">
        <v>36</v>
      </c>
      <c r="L35" s="6" cm="1">
        <f t="array" ref="L35">_xlfn.SWITCH(Table13_2[[#This Row],[Performance Score]],"A",6,"B",5,"C",4,"D",3,"E",2,"F",1)</f>
        <v>3</v>
      </c>
      <c r="M35" s="5">
        <f t="shared" si="0"/>
        <v>50777.202072538857</v>
      </c>
    </row>
    <row r="36" spans="1:13" x14ac:dyDescent="0.3">
      <c r="A36" t="s">
        <v>49</v>
      </c>
      <c r="B36">
        <v>25</v>
      </c>
      <c r="C36">
        <v>65000</v>
      </c>
      <c r="D36" t="s">
        <v>12</v>
      </c>
      <c r="E36" t="s">
        <v>30</v>
      </c>
      <c r="F36" t="s">
        <v>40</v>
      </c>
      <c r="G36" s="2">
        <v>43881</v>
      </c>
      <c r="H36" t="s">
        <v>31</v>
      </c>
      <c r="I36" t="s">
        <v>32</v>
      </c>
      <c r="J36" t="s">
        <v>17</v>
      </c>
      <c r="K36" s="5" t="s">
        <v>11</v>
      </c>
      <c r="L36" s="6" cm="1">
        <f t="array" ref="L36">_xlfn.SWITCH(Table13_2[[#This Row],[Performance Score]],"A",6,"B",5,"C",4,"D",3,"E",2,"F",1)</f>
        <v>6</v>
      </c>
      <c r="M36" s="5">
        <f t="shared" si="0"/>
        <v>65000</v>
      </c>
    </row>
    <row r="37" spans="1:13" x14ac:dyDescent="0.3">
      <c r="A37" t="s">
        <v>56</v>
      </c>
      <c r="B37">
        <v>40</v>
      </c>
      <c r="C37">
        <v>0</v>
      </c>
      <c r="D37" t="s">
        <v>34</v>
      </c>
      <c r="E37" t="s">
        <v>26</v>
      </c>
      <c r="F37" t="s">
        <v>14</v>
      </c>
      <c r="G37" s="2">
        <v>43881</v>
      </c>
      <c r="H37" t="s">
        <v>27</v>
      </c>
      <c r="I37" t="s">
        <v>32</v>
      </c>
      <c r="J37" t="s">
        <v>24</v>
      </c>
      <c r="K37" s="5" t="s">
        <v>29</v>
      </c>
      <c r="L37" s="6" cm="1">
        <f t="array" ref="L37">_xlfn.SWITCH(Table13_2[[#This Row],[Performance Score]],"A",6,"B",5,"C",4,"D",3,"E",2,"F",1)</f>
        <v>4</v>
      </c>
      <c r="M37" s="5">
        <f t="shared" si="0"/>
        <v>50742.574257425746</v>
      </c>
    </row>
    <row r="38" spans="1:13" x14ac:dyDescent="0.3">
      <c r="A38" t="s">
        <v>67</v>
      </c>
      <c r="B38">
        <v>25</v>
      </c>
      <c r="C38">
        <v>60000</v>
      </c>
      <c r="D38" t="s">
        <v>12</v>
      </c>
      <c r="E38" t="s">
        <v>30</v>
      </c>
      <c r="F38" t="s">
        <v>14</v>
      </c>
      <c r="G38" s="2">
        <v>43881</v>
      </c>
      <c r="H38" t="s">
        <v>31</v>
      </c>
      <c r="I38" t="s">
        <v>39</v>
      </c>
      <c r="J38" t="s">
        <v>28</v>
      </c>
      <c r="K38" s="5" t="s">
        <v>46</v>
      </c>
      <c r="L38" s="6" cm="1">
        <f t="array" ref="L38">_xlfn.SWITCH(Table13_2[[#This Row],[Performance Score]],"A",6,"B",5,"C",4,"D",3,"E",2,"F",1)</f>
        <v>6</v>
      </c>
      <c r="M38" s="5">
        <f t="shared" si="0"/>
        <v>60000</v>
      </c>
    </row>
    <row r="39" spans="1:13" x14ac:dyDescent="0.3">
      <c r="A39" t="s">
        <v>49</v>
      </c>
      <c r="B39" t="s">
        <v>63</v>
      </c>
      <c r="C39">
        <v>0</v>
      </c>
      <c r="D39" t="s">
        <v>12</v>
      </c>
      <c r="E39" t="s">
        <v>35</v>
      </c>
      <c r="F39" t="s">
        <v>21</v>
      </c>
      <c r="G39" s="2">
        <v>43881</v>
      </c>
      <c r="H39" t="s">
        <v>15</v>
      </c>
      <c r="I39" t="s">
        <v>39</v>
      </c>
      <c r="J39" t="s">
        <v>17</v>
      </c>
      <c r="K39" s="5" t="s">
        <v>11</v>
      </c>
      <c r="L39" s="6" cm="1">
        <f t="array" ref="L39">_xlfn.SWITCH(Table13_2[[#This Row],[Performance Score]],"A",6,"B",5,"C",4,"D",3,"E",2,"F",1)</f>
        <v>3</v>
      </c>
      <c r="M39" s="5">
        <f t="shared" si="0"/>
        <v>49144.385026737968</v>
      </c>
    </row>
    <row r="40" spans="1:13" x14ac:dyDescent="0.3">
      <c r="A40" t="s">
        <v>65</v>
      </c>
      <c r="B40" t="s">
        <v>51</v>
      </c>
      <c r="C40">
        <v>55000</v>
      </c>
      <c r="D40" t="s">
        <v>12</v>
      </c>
      <c r="E40" t="s">
        <v>13</v>
      </c>
      <c r="F40" t="s">
        <v>41</v>
      </c>
      <c r="G40" s="2" t="s">
        <v>62</v>
      </c>
      <c r="H40" t="s">
        <v>38</v>
      </c>
      <c r="I40" t="s">
        <v>23</v>
      </c>
      <c r="J40" t="s">
        <v>24</v>
      </c>
      <c r="K40" s="5" t="s">
        <v>44</v>
      </c>
      <c r="L40" s="6" cm="1">
        <f t="array" ref="L40">_xlfn.SWITCH(Table13_2[[#This Row],[Performance Score]],"A",6,"B",5,"C",4,"D",3,"E",2,"F",1)</f>
        <v>5</v>
      </c>
      <c r="M40" s="5">
        <f t="shared" si="0"/>
        <v>55000</v>
      </c>
    </row>
    <row r="41" spans="1:13" x14ac:dyDescent="0.3">
      <c r="A41" t="s">
        <v>52</v>
      </c>
      <c r="B41">
        <v>25</v>
      </c>
      <c r="C41">
        <v>55000</v>
      </c>
      <c r="D41" t="s">
        <v>19</v>
      </c>
      <c r="E41" t="s">
        <v>20</v>
      </c>
      <c r="F41" t="s">
        <v>40</v>
      </c>
      <c r="G41" s="2">
        <v>43881</v>
      </c>
      <c r="H41" t="s">
        <v>31</v>
      </c>
      <c r="I41" t="s">
        <v>39</v>
      </c>
      <c r="J41" t="s">
        <v>17</v>
      </c>
      <c r="K41" s="5" t="s">
        <v>18</v>
      </c>
      <c r="L41" s="6" cm="1">
        <f t="array" ref="L41">_xlfn.SWITCH(Table13_2[[#This Row],[Performance Score]],"A",6,"B",5,"C",4,"D",3,"E",2,"F",1)</f>
        <v>6</v>
      </c>
      <c r="M41" s="5">
        <f t="shared" si="0"/>
        <v>55000</v>
      </c>
    </row>
    <row r="42" spans="1:13" x14ac:dyDescent="0.3">
      <c r="A42" t="s">
        <v>67</v>
      </c>
      <c r="B42">
        <v>40</v>
      </c>
      <c r="C42">
        <v>70000</v>
      </c>
      <c r="D42" t="s">
        <v>19</v>
      </c>
      <c r="E42" t="s">
        <v>13</v>
      </c>
      <c r="F42" t="s">
        <v>40</v>
      </c>
      <c r="G42" s="2" t="s">
        <v>50</v>
      </c>
      <c r="H42" t="s">
        <v>27</v>
      </c>
      <c r="I42" t="s">
        <v>16</v>
      </c>
      <c r="J42" t="s">
        <v>17</v>
      </c>
      <c r="K42" s="5" t="s">
        <v>46</v>
      </c>
      <c r="L42" s="6" cm="1">
        <f t="array" ref="L42">_xlfn.SWITCH(Table13_2[[#This Row],[Performance Score]],"A",6,"B",5,"C",4,"D",3,"E",2,"F",1)</f>
        <v>4</v>
      </c>
      <c r="M42" s="5">
        <f t="shared" si="0"/>
        <v>70000</v>
      </c>
    </row>
    <row r="43" spans="1:13" x14ac:dyDescent="0.3">
      <c r="A43" t="s">
        <v>65</v>
      </c>
      <c r="B43" t="s">
        <v>63</v>
      </c>
      <c r="C43">
        <v>50000</v>
      </c>
      <c r="D43" t="s">
        <v>19</v>
      </c>
      <c r="E43" t="s">
        <v>20</v>
      </c>
      <c r="F43" t="s">
        <v>21</v>
      </c>
      <c r="G43" s="2" t="s">
        <v>62</v>
      </c>
      <c r="H43" t="s">
        <v>27</v>
      </c>
      <c r="I43" t="s">
        <v>32</v>
      </c>
      <c r="J43" t="s">
        <v>28</v>
      </c>
      <c r="K43" s="5" t="s">
        <v>44</v>
      </c>
      <c r="L43" s="6" cm="1">
        <f t="array" ref="L43">_xlfn.SWITCH(Table13_2[[#This Row],[Performance Score]],"A",6,"B",5,"C",4,"D",3,"E",2,"F",1)</f>
        <v>4</v>
      </c>
      <c r="M43" s="5">
        <f t="shared" si="0"/>
        <v>50000</v>
      </c>
    </row>
    <row r="44" spans="1:13" x14ac:dyDescent="0.3">
      <c r="A44" t="s">
        <v>59</v>
      </c>
      <c r="B44">
        <v>25</v>
      </c>
      <c r="C44">
        <v>60000</v>
      </c>
      <c r="D44" t="s">
        <v>34</v>
      </c>
      <c r="E44" t="s">
        <v>35</v>
      </c>
      <c r="F44" t="s">
        <v>21</v>
      </c>
      <c r="G44" s="2">
        <v>43881</v>
      </c>
      <c r="H44" t="s">
        <v>38</v>
      </c>
      <c r="I44" t="s">
        <v>39</v>
      </c>
      <c r="J44" t="s">
        <v>24</v>
      </c>
      <c r="K44" s="5" t="s">
        <v>33</v>
      </c>
      <c r="L44" s="6" cm="1">
        <f t="array" ref="L44">_xlfn.SWITCH(Table13_2[[#This Row],[Performance Score]],"A",6,"B",5,"C",4,"D",3,"E",2,"F",1)</f>
        <v>5</v>
      </c>
      <c r="M44" s="5">
        <f t="shared" si="0"/>
        <v>60000</v>
      </c>
    </row>
    <row r="45" spans="1:13" x14ac:dyDescent="0.3">
      <c r="A45" t="s">
        <v>67</v>
      </c>
      <c r="B45">
        <v>35</v>
      </c>
      <c r="C45">
        <v>70000</v>
      </c>
      <c r="D45" t="s">
        <v>12</v>
      </c>
      <c r="E45" t="s">
        <v>30</v>
      </c>
      <c r="F45" t="s">
        <v>41</v>
      </c>
      <c r="G45" s="2" t="s">
        <v>55</v>
      </c>
      <c r="H45" t="s">
        <v>31</v>
      </c>
      <c r="I45" t="s">
        <v>39</v>
      </c>
      <c r="J45" t="s">
        <v>42</v>
      </c>
      <c r="K45" s="5" t="s">
        <v>46</v>
      </c>
      <c r="L45" s="6" cm="1">
        <f t="array" ref="L45">_xlfn.SWITCH(Table13_2[[#This Row],[Performance Score]],"A",6,"B",5,"C",4,"D",3,"E",2,"F",1)</f>
        <v>6</v>
      </c>
      <c r="M45" s="5">
        <f t="shared" si="0"/>
        <v>70000</v>
      </c>
    </row>
    <row r="46" spans="1:13" x14ac:dyDescent="0.3">
      <c r="A46" t="s">
        <v>59</v>
      </c>
      <c r="B46" t="s">
        <v>51</v>
      </c>
      <c r="C46">
        <v>60000</v>
      </c>
      <c r="D46" t="s">
        <v>34</v>
      </c>
      <c r="E46" t="s">
        <v>26</v>
      </c>
      <c r="F46" t="s">
        <v>41</v>
      </c>
      <c r="G46" s="2" t="s">
        <v>60</v>
      </c>
      <c r="H46" t="s">
        <v>15</v>
      </c>
      <c r="I46" t="s">
        <v>39</v>
      </c>
      <c r="J46" t="s">
        <v>24</v>
      </c>
      <c r="K46" s="5" t="s">
        <v>33</v>
      </c>
      <c r="L46" s="6" cm="1">
        <f t="array" ref="L46">_xlfn.SWITCH(Table13_2[[#This Row],[Performance Score]],"A",6,"B",5,"C",4,"D",3,"E",2,"F",1)</f>
        <v>3</v>
      </c>
      <c r="M46" s="5">
        <f t="shared" si="0"/>
        <v>60000</v>
      </c>
    </row>
    <row r="47" spans="1:13" x14ac:dyDescent="0.3">
      <c r="A47" t="s">
        <v>56</v>
      </c>
      <c r="B47">
        <v>25</v>
      </c>
      <c r="C47">
        <v>50000</v>
      </c>
      <c r="D47" t="s">
        <v>19</v>
      </c>
      <c r="E47" t="s">
        <v>35</v>
      </c>
      <c r="F47" t="s">
        <v>14</v>
      </c>
      <c r="G47" s="2" t="s">
        <v>60</v>
      </c>
      <c r="H47" t="s">
        <v>38</v>
      </c>
      <c r="I47" t="s">
        <v>39</v>
      </c>
      <c r="J47" t="s">
        <v>17</v>
      </c>
      <c r="K47" s="5" t="s">
        <v>29</v>
      </c>
      <c r="L47" s="6" cm="1">
        <f t="array" ref="L47">_xlfn.SWITCH(Table13_2[[#This Row],[Performance Score]],"A",6,"B",5,"C",4,"D",3,"E",2,"F",1)</f>
        <v>5</v>
      </c>
      <c r="M47" s="5">
        <f t="shared" si="0"/>
        <v>50000</v>
      </c>
    </row>
    <row r="48" spans="1:13" x14ac:dyDescent="0.3">
      <c r="A48" t="s">
        <v>65</v>
      </c>
      <c r="B48" t="s">
        <v>63</v>
      </c>
      <c r="C48">
        <v>0</v>
      </c>
      <c r="D48" t="s">
        <v>34</v>
      </c>
      <c r="E48" t="s">
        <v>13</v>
      </c>
      <c r="F48" t="s">
        <v>40</v>
      </c>
      <c r="G48" s="2" t="s">
        <v>60</v>
      </c>
      <c r="H48" t="s">
        <v>31</v>
      </c>
      <c r="I48" t="s">
        <v>16</v>
      </c>
      <c r="J48" t="s">
        <v>28</v>
      </c>
      <c r="K48" s="5" t="s">
        <v>44</v>
      </c>
      <c r="L48" s="6" cm="1">
        <f t="array" ref="L48">_xlfn.SWITCH(Table13_2[[#This Row],[Performance Score]],"A",6,"B",5,"C",4,"D",3,"E",2,"F",1)</f>
        <v>6</v>
      </c>
      <c r="M48" s="5">
        <f t="shared" si="0"/>
        <v>51825</v>
      </c>
    </row>
    <row r="49" spans="1:13" x14ac:dyDescent="0.3">
      <c r="A49" t="s">
        <v>52</v>
      </c>
      <c r="B49">
        <v>35</v>
      </c>
      <c r="C49">
        <v>0</v>
      </c>
      <c r="D49" t="s">
        <v>12</v>
      </c>
      <c r="E49" t="s">
        <v>26</v>
      </c>
      <c r="F49" t="s">
        <v>40</v>
      </c>
      <c r="G49" s="2" t="s">
        <v>62</v>
      </c>
      <c r="H49" t="s">
        <v>22</v>
      </c>
      <c r="I49" t="s">
        <v>23</v>
      </c>
      <c r="J49" t="s">
        <v>28</v>
      </c>
      <c r="K49" s="5" t="s">
        <v>18</v>
      </c>
      <c r="L49" s="6" cm="1">
        <f t="array" ref="L49">_xlfn.SWITCH(Table13_2[[#This Row],[Performance Score]],"A",6,"B",5,"C",4,"D",3,"E",2,"F",1)</f>
        <v>1</v>
      </c>
      <c r="M49" s="5">
        <f t="shared" si="0"/>
        <v>50742.574257425746</v>
      </c>
    </row>
    <row r="50" spans="1:13" x14ac:dyDescent="0.3">
      <c r="A50" t="s">
        <v>49</v>
      </c>
      <c r="B50">
        <v>50</v>
      </c>
      <c r="C50">
        <v>50000</v>
      </c>
      <c r="D50" t="s">
        <v>12</v>
      </c>
      <c r="E50" t="s">
        <v>30</v>
      </c>
      <c r="F50" t="s">
        <v>21</v>
      </c>
      <c r="G50" s="2">
        <v>43881</v>
      </c>
      <c r="H50" t="s">
        <v>27</v>
      </c>
      <c r="I50" t="s">
        <v>39</v>
      </c>
      <c r="J50" t="s">
        <v>42</v>
      </c>
      <c r="K50" s="5" t="s">
        <v>11</v>
      </c>
      <c r="L50" s="6" cm="1">
        <f t="array" ref="L50">_xlfn.SWITCH(Table13_2[[#This Row],[Performance Score]],"A",6,"B",5,"C",4,"D",3,"E",2,"F",1)</f>
        <v>4</v>
      </c>
      <c r="M50" s="5">
        <f t="shared" si="0"/>
        <v>50000</v>
      </c>
    </row>
    <row r="51" spans="1:13" x14ac:dyDescent="0.3">
      <c r="A51" t="s">
        <v>53</v>
      </c>
      <c r="B51" t="s">
        <v>63</v>
      </c>
      <c r="C51">
        <v>70000</v>
      </c>
      <c r="D51" t="s">
        <v>19</v>
      </c>
      <c r="E51" t="s">
        <v>35</v>
      </c>
      <c r="F51" t="s">
        <v>14</v>
      </c>
      <c r="G51" s="2" t="s">
        <v>62</v>
      </c>
      <c r="H51" t="s">
        <v>15</v>
      </c>
      <c r="I51" t="s">
        <v>39</v>
      </c>
      <c r="J51" t="s">
        <v>28</v>
      </c>
      <c r="K51" s="5" t="s">
        <v>25</v>
      </c>
      <c r="L51" s="6" cm="1">
        <f t="array" ref="L51">_xlfn.SWITCH(Table13_2[[#This Row],[Performance Score]],"A",6,"B",5,"C",4,"D",3,"E",2,"F",1)</f>
        <v>3</v>
      </c>
      <c r="M51" s="5">
        <f t="shared" si="0"/>
        <v>70000</v>
      </c>
    </row>
    <row r="52" spans="1:13" x14ac:dyDescent="0.3">
      <c r="A52" t="s">
        <v>61</v>
      </c>
      <c r="B52" t="s">
        <v>63</v>
      </c>
      <c r="C52">
        <v>50000</v>
      </c>
      <c r="D52" t="s">
        <v>19</v>
      </c>
      <c r="E52" t="s">
        <v>26</v>
      </c>
      <c r="F52" t="s">
        <v>40</v>
      </c>
      <c r="G52" s="2" t="s">
        <v>50</v>
      </c>
      <c r="H52" t="s">
        <v>15</v>
      </c>
      <c r="I52" t="s">
        <v>23</v>
      </c>
      <c r="J52" t="s">
        <v>28</v>
      </c>
      <c r="K52" s="5" t="s">
        <v>36</v>
      </c>
      <c r="L52" s="6" cm="1">
        <f t="array" ref="L52">_xlfn.SWITCH(Table13_2[[#This Row],[Performance Score]],"A",6,"B",5,"C",4,"D",3,"E",2,"F",1)</f>
        <v>3</v>
      </c>
      <c r="M52" s="5">
        <f t="shared" si="0"/>
        <v>50000</v>
      </c>
    </row>
    <row r="53" spans="1:13" x14ac:dyDescent="0.3">
      <c r="A53" t="s">
        <v>66</v>
      </c>
      <c r="B53">
        <v>35</v>
      </c>
      <c r="C53">
        <v>65000</v>
      </c>
      <c r="D53" t="s">
        <v>34</v>
      </c>
      <c r="E53" t="s">
        <v>35</v>
      </c>
      <c r="F53" t="s">
        <v>14</v>
      </c>
      <c r="G53" s="2" t="s">
        <v>55</v>
      </c>
      <c r="H53" t="s">
        <v>15</v>
      </c>
      <c r="I53" t="s">
        <v>39</v>
      </c>
      <c r="J53" t="s">
        <v>28</v>
      </c>
      <c r="K53" s="5" t="s">
        <v>45</v>
      </c>
      <c r="L53" s="6" cm="1">
        <f t="array" ref="L53">_xlfn.SWITCH(Table13_2[[#This Row],[Performance Score]],"A",6,"B",5,"C",4,"D",3,"E",2,"F",1)</f>
        <v>3</v>
      </c>
      <c r="M53" s="5">
        <f t="shared" si="0"/>
        <v>65000</v>
      </c>
    </row>
    <row r="54" spans="1:13" x14ac:dyDescent="0.3">
      <c r="A54" t="s">
        <v>52</v>
      </c>
      <c r="B54" t="s">
        <v>63</v>
      </c>
      <c r="C54">
        <v>55000</v>
      </c>
      <c r="D54" t="s">
        <v>19</v>
      </c>
      <c r="E54" t="s">
        <v>35</v>
      </c>
      <c r="F54" t="s">
        <v>14</v>
      </c>
      <c r="G54" s="2" t="s">
        <v>55</v>
      </c>
      <c r="H54" t="s">
        <v>27</v>
      </c>
      <c r="I54" t="s">
        <v>39</v>
      </c>
      <c r="J54" t="s">
        <v>28</v>
      </c>
      <c r="K54" s="5" t="s">
        <v>18</v>
      </c>
      <c r="L54" s="6" cm="1">
        <f t="array" ref="L54">_xlfn.SWITCH(Table13_2[[#This Row],[Performance Score]],"A",6,"B",5,"C",4,"D",3,"E",2,"F",1)</f>
        <v>4</v>
      </c>
      <c r="M54" s="5">
        <f t="shared" si="0"/>
        <v>55000</v>
      </c>
    </row>
    <row r="55" spans="1:13" x14ac:dyDescent="0.3">
      <c r="A55" t="s">
        <v>65</v>
      </c>
      <c r="B55">
        <v>35</v>
      </c>
      <c r="C55">
        <v>70000</v>
      </c>
      <c r="D55" t="s">
        <v>19</v>
      </c>
      <c r="E55" t="s">
        <v>30</v>
      </c>
      <c r="F55" t="s">
        <v>21</v>
      </c>
      <c r="G55" s="2" t="s">
        <v>60</v>
      </c>
      <c r="H55" t="s">
        <v>31</v>
      </c>
      <c r="I55" t="s">
        <v>39</v>
      </c>
      <c r="J55" t="s">
        <v>28</v>
      </c>
      <c r="K55" s="5" t="s">
        <v>44</v>
      </c>
      <c r="L55" s="6" cm="1">
        <f t="array" ref="L55">_xlfn.SWITCH(Table13_2[[#This Row],[Performance Score]],"A",6,"B",5,"C",4,"D",3,"E",2,"F",1)</f>
        <v>6</v>
      </c>
      <c r="M55" s="5">
        <f t="shared" si="0"/>
        <v>70000</v>
      </c>
    </row>
    <row r="56" spans="1:13" x14ac:dyDescent="0.3">
      <c r="A56" t="s">
        <v>53</v>
      </c>
      <c r="B56">
        <v>25</v>
      </c>
      <c r="C56">
        <v>60000</v>
      </c>
      <c r="D56" t="s">
        <v>12</v>
      </c>
      <c r="E56" t="s">
        <v>20</v>
      </c>
      <c r="F56" t="s">
        <v>14</v>
      </c>
      <c r="G56" s="2" t="s">
        <v>60</v>
      </c>
      <c r="H56" t="s">
        <v>38</v>
      </c>
      <c r="I56" t="s">
        <v>39</v>
      </c>
      <c r="J56" t="s">
        <v>17</v>
      </c>
      <c r="K56" s="5" t="s">
        <v>25</v>
      </c>
      <c r="L56" s="6" cm="1">
        <f t="array" ref="L56">_xlfn.SWITCH(Table13_2[[#This Row],[Performance Score]],"A",6,"B",5,"C",4,"D",3,"E",2,"F",1)</f>
        <v>5</v>
      </c>
      <c r="M56" s="5">
        <f t="shared" si="0"/>
        <v>60000</v>
      </c>
    </row>
    <row r="57" spans="1:13" x14ac:dyDescent="0.3">
      <c r="A57" t="s">
        <v>52</v>
      </c>
      <c r="B57">
        <v>35</v>
      </c>
      <c r="C57">
        <v>65000</v>
      </c>
      <c r="D57" t="s">
        <v>19</v>
      </c>
      <c r="E57" t="s">
        <v>26</v>
      </c>
      <c r="F57" t="s">
        <v>41</v>
      </c>
      <c r="G57" s="2" t="s">
        <v>60</v>
      </c>
      <c r="H57" t="s">
        <v>31</v>
      </c>
      <c r="I57" t="s">
        <v>23</v>
      </c>
      <c r="J57" t="s">
        <v>24</v>
      </c>
      <c r="K57" s="5" t="s">
        <v>18</v>
      </c>
      <c r="L57" s="6" cm="1">
        <f t="array" ref="L57">_xlfn.SWITCH(Table13_2[[#This Row],[Performance Score]],"A",6,"B",5,"C",4,"D",3,"E",2,"F",1)</f>
        <v>6</v>
      </c>
      <c r="M57" s="5">
        <f t="shared" si="0"/>
        <v>65000</v>
      </c>
    </row>
    <row r="58" spans="1:13" x14ac:dyDescent="0.3">
      <c r="A58" t="s">
        <v>65</v>
      </c>
      <c r="B58">
        <v>35</v>
      </c>
      <c r="C58">
        <v>70000</v>
      </c>
      <c r="D58" t="s">
        <v>19</v>
      </c>
      <c r="E58" t="s">
        <v>30</v>
      </c>
      <c r="F58" t="s">
        <v>41</v>
      </c>
      <c r="G58" s="2">
        <v>43881</v>
      </c>
      <c r="H58" t="s">
        <v>38</v>
      </c>
      <c r="I58" t="s">
        <v>16</v>
      </c>
      <c r="J58" t="s">
        <v>17</v>
      </c>
      <c r="K58" s="5" t="s">
        <v>44</v>
      </c>
      <c r="L58" s="6" cm="1">
        <f t="array" ref="L58">_xlfn.SWITCH(Table13_2[[#This Row],[Performance Score]],"A",6,"B",5,"C",4,"D",3,"E",2,"F",1)</f>
        <v>5</v>
      </c>
      <c r="M58" s="5">
        <f t="shared" si="0"/>
        <v>70000</v>
      </c>
    </row>
    <row r="59" spans="1:13" x14ac:dyDescent="0.3">
      <c r="A59" t="s">
        <v>64</v>
      </c>
      <c r="B59" t="s">
        <v>51</v>
      </c>
      <c r="C59">
        <v>50000</v>
      </c>
      <c r="D59" t="s">
        <v>12</v>
      </c>
      <c r="E59" t="s">
        <v>35</v>
      </c>
      <c r="F59" t="s">
        <v>37</v>
      </c>
      <c r="G59" s="2" t="s">
        <v>50</v>
      </c>
      <c r="H59" t="s">
        <v>15</v>
      </c>
      <c r="I59" t="s">
        <v>39</v>
      </c>
      <c r="J59" t="s">
        <v>28</v>
      </c>
      <c r="K59" s="5" t="s">
        <v>43</v>
      </c>
      <c r="L59" s="6" cm="1">
        <f t="array" ref="L59">_xlfn.SWITCH(Table13_2[[#This Row],[Performance Score]],"A",6,"B",5,"C",4,"D",3,"E",2,"F",1)</f>
        <v>3</v>
      </c>
      <c r="M59" s="5">
        <f t="shared" si="0"/>
        <v>50000</v>
      </c>
    </row>
    <row r="60" spans="1:13" x14ac:dyDescent="0.3">
      <c r="A60" t="s">
        <v>64</v>
      </c>
      <c r="B60">
        <v>35</v>
      </c>
      <c r="C60">
        <v>50000</v>
      </c>
      <c r="D60" t="s">
        <v>12</v>
      </c>
      <c r="E60" t="s">
        <v>30</v>
      </c>
      <c r="F60" t="s">
        <v>21</v>
      </c>
      <c r="G60" s="2" t="s">
        <v>50</v>
      </c>
      <c r="H60" t="s">
        <v>31</v>
      </c>
      <c r="I60" t="s">
        <v>16</v>
      </c>
      <c r="J60" t="s">
        <v>17</v>
      </c>
      <c r="K60" s="5" t="s">
        <v>43</v>
      </c>
      <c r="L60" s="6" cm="1">
        <f t="array" ref="L60">_xlfn.SWITCH(Table13_2[[#This Row],[Performance Score]],"A",6,"B",5,"C",4,"D",3,"E",2,"F",1)</f>
        <v>6</v>
      </c>
      <c r="M60" s="5">
        <f t="shared" si="0"/>
        <v>50000</v>
      </c>
    </row>
    <row r="61" spans="1:13" x14ac:dyDescent="0.3">
      <c r="A61" t="s">
        <v>59</v>
      </c>
      <c r="B61">
        <v>35</v>
      </c>
      <c r="C61">
        <v>50000</v>
      </c>
      <c r="D61" t="s">
        <v>34</v>
      </c>
      <c r="E61" t="s">
        <v>20</v>
      </c>
      <c r="F61" t="s">
        <v>37</v>
      </c>
      <c r="G61" s="2" t="s">
        <v>50</v>
      </c>
      <c r="H61" t="s">
        <v>15</v>
      </c>
      <c r="I61" t="s">
        <v>23</v>
      </c>
      <c r="J61" t="s">
        <v>17</v>
      </c>
      <c r="K61" s="5" t="s">
        <v>33</v>
      </c>
      <c r="L61" s="6" cm="1">
        <f t="array" ref="L61">_xlfn.SWITCH(Table13_2[[#This Row],[Performance Score]],"A",6,"B",5,"C",4,"D",3,"E",2,"F",1)</f>
        <v>3</v>
      </c>
      <c r="M61" s="5">
        <f t="shared" si="0"/>
        <v>50000</v>
      </c>
    </row>
    <row r="62" spans="1:13" x14ac:dyDescent="0.3">
      <c r="A62" t="s">
        <v>52</v>
      </c>
      <c r="B62">
        <v>50</v>
      </c>
      <c r="C62">
        <v>50000</v>
      </c>
      <c r="D62" t="s">
        <v>19</v>
      </c>
      <c r="E62" t="s">
        <v>26</v>
      </c>
      <c r="F62" t="s">
        <v>41</v>
      </c>
      <c r="G62" s="2" t="s">
        <v>50</v>
      </c>
      <c r="H62" t="s">
        <v>22</v>
      </c>
      <c r="I62" t="s">
        <v>23</v>
      </c>
      <c r="J62" t="s">
        <v>17</v>
      </c>
      <c r="K62" s="5" t="s">
        <v>18</v>
      </c>
      <c r="L62" s="6" cm="1">
        <f t="array" ref="L62">_xlfn.SWITCH(Table13_2[[#This Row],[Performance Score]],"A",6,"B",5,"C",4,"D",3,"E",2,"F",1)</f>
        <v>1</v>
      </c>
      <c r="M62" s="5">
        <f t="shared" si="0"/>
        <v>50000</v>
      </c>
    </row>
    <row r="63" spans="1:13" x14ac:dyDescent="0.3">
      <c r="A63" t="s">
        <v>64</v>
      </c>
      <c r="B63">
        <v>25</v>
      </c>
      <c r="C63">
        <v>60000</v>
      </c>
      <c r="D63" t="s">
        <v>12</v>
      </c>
      <c r="E63" t="s">
        <v>20</v>
      </c>
      <c r="F63" t="s">
        <v>37</v>
      </c>
      <c r="G63" s="2" t="s">
        <v>60</v>
      </c>
      <c r="H63" t="s">
        <v>15</v>
      </c>
      <c r="I63" t="s">
        <v>39</v>
      </c>
      <c r="J63" t="s">
        <v>28</v>
      </c>
      <c r="K63" s="5" t="s">
        <v>43</v>
      </c>
      <c r="L63" s="6" cm="1">
        <f t="array" ref="L63">_xlfn.SWITCH(Table13_2[[#This Row],[Performance Score]],"A",6,"B",5,"C",4,"D",3,"E",2,"F",1)</f>
        <v>3</v>
      </c>
      <c r="M63" s="5">
        <f t="shared" si="0"/>
        <v>60000</v>
      </c>
    </row>
    <row r="64" spans="1:13" x14ac:dyDescent="0.3">
      <c r="A64" t="s">
        <v>65</v>
      </c>
      <c r="B64" t="s">
        <v>51</v>
      </c>
      <c r="C64">
        <v>65000</v>
      </c>
      <c r="D64" t="s">
        <v>34</v>
      </c>
      <c r="E64" t="s">
        <v>13</v>
      </c>
      <c r="F64" t="s">
        <v>21</v>
      </c>
      <c r="G64" s="2" t="s">
        <v>55</v>
      </c>
      <c r="H64" t="s">
        <v>15</v>
      </c>
      <c r="I64" t="s">
        <v>39</v>
      </c>
      <c r="J64" t="s">
        <v>17</v>
      </c>
      <c r="K64" s="5" t="s">
        <v>44</v>
      </c>
      <c r="L64" s="6" cm="1">
        <f t="array" ref="L64">_xlfn.SWITCH(Table13_2[[#This Row],[Performance Score]],"A",6,"B",5,"C",4,"D",3,"E",2,"F",1)</f>
        <v>3</v>
      </c>
      <c r="M64" s="5">
        <f t="shared" si="0"/>
        <v>65000</v>
      </c>
    </row>
    <row r="65" spans="1:13" x14ac:dyDescent="0.3">
      <c r="A65" t="s">
        <v>59</v>
      </c>
      <c r="B65">
        <v>50</v>
      </c>
      <c r="C65">
        <v>0</v>
      </c>
      <c r="D65" t="s">
        <v>34</v>
      </c>
      <c r="E65" t="s">
        <v>26</v>
      </c>
      <c r="F65" t="s">
        <v>21</v>
      </c>
      <c r="G65" s="2" t="s">
        <v>60</v>
      </c>
      <c r="H65" t="s">
        <v>38</v>
      </c>
      <c r="I65" t="s">
        <v>32</v>
      </c>
      <c r="J65" t="s">
        <v>28</v>
      </c>
      <c r="K65" s="5" t="s">
        <v>33</v>
      </c>
      <c r="L65" s="6" cm="1">
        <f t="array" ref="L65">_xlfn.SWITCH(Table13_2[[#This Row],[Performance Score]],"A",6,"B",5,"C",4,"D",3,"E",2,"F",1)</f>
        <v>5</v>
      </c>
      <c r="M65" s="5">
        <f t="shared" si="0"/>
        <v>50742.574257425746</v>
      </c>
    </row>
    <row r="66" spans="1:13" x14ac:dyDescent="0.3">
      <c r="A66" t="s">
        <v>65</v>
      </c>
      <c r="B66">
        <v>40</v>
      </c>
      <c r="C66">
        <v>55000</v>
      </c>
      <c r="D66" t="s">
        <v>19</v>
      </c>
      <c r="E66" t="s">
        <v>20</v>
      </c>
      <c r="F66" t="s">
        <v>14</v>
      </c>
      <c r="G66" s="2" t="s">
        <v>50</v>
      </c>
      <c r="H66" t="s">
        <v>22</v>
      </c>
      <c r="I66" t="s">
        <v>23</v>
      </c>
      <c r="J66" t="s">
        <v>42</v>
      </c>
      <c r="K66" s="5" t="s">
        <v>44</v>
      </c>
      <c r="L66" s="6" cm="1">
        <f t="array" ref="L66">_xlfn.SWITCH(Table13_2[[#This Row],[Performance Score]],"A",6,"B",5,"C",4,"D",3,"E",2,"F",1)</f>
        <v>1</v>
      </c>
      <c r="M66" s="5">
        <f t="shared" si="0"/>
        <v>55000</v>
      </c>
    </row>
    <row r="67" spans="1:13" x14ac:dyDescent="0.3">
      <c r="A67" t="s">
        <v>59</v>
      </c>
      <c r="B67">
        <v>25</v>
      </c>
      <c r="C67">
        <v>60000</v>
      </c>
      <c r="D67" t="s">
        <v>19</v>
      </c>
      <c r="E67" t="s">
        <v>35</v>
      </c>
      <c r="F67" t="s">
        <v>40</v>
      </c>
      <c r="G67" s="2" t="s">
        <v>60</v>
      </c>
      <c r="H67" t="s">
        <v>15</v>
      </c>
      <c r="I67" t="s">
        <v>39</v>
      </c>
      <c r="J67" t="s">
        <v>42</v>
      </c>
      <c r="K67" s="5" t="s">
        <v>33</v>
      </c>
      <c r="L67" s="6" cm="1">
        <f t="array" ref="L67">_xlfn.SWITCH(Table13_2[[#This Row],[Performance Score]],"A",6,"B",5,"C",4,"D",3,"E",2,"F",1)</f>
        <v>3</v>
      </c>
      <c r="M67" s="5">
        <f t="shared" ref="M67:M130" si="1">IF(C67=0,AVERAGEIF($E$2:$E$1001,E67,$C$2:$C$1001),C67)</f>
        <v>60000</v>
      </c>
    </row>
    <row r="68" spans="1:13" x14ac:dyDescent="0.3">
      <c r="A68" t="s">
        <v>52</v>
      </c>
      <c r="B68">
        <v>25</v>
      </c>
      <c r="C68">
        <v>60000</v>
      </c>
      <c r="D68" t="s">
        <v>34</v>
      </c>
      <c r="E68" t="s">
        <v>26</v>
      </c>
      <c r="F68" t="s">
        <v>14</v>
      </c>
      <c r="G68" s="2" t="s">
        <v>50</v>
      </c>
      <c r="H68" t="s">
        <v>15</v>
      </c>
      <c r="I68" t="s">
        <v>16</v>
      </c>
      <c r="J68" t="s">
        <v>42</v>
      </c>
      <c r="K68" s="5" t="s">
        <v>18</v>
      </c>
      <c r="L68" s="6" cm="1">
        <f t="array" ref="L68">_xlfn.SWITCH(Table13_2[[#This Row],[Performance Score]],"A",6,"B",5,"C",4,"D",3,"E",2,"F",1)</f>
        <v>3</v>
      </c>
      <c r="M68" s="5">
        <f t="shared" si="1"/>
        <v>60000</v>
      </c>
    </row>
    <row r="69" spans="1:13" x14ac:dyDescent="0.3">
      <c r="A69" t="s">
        <v>53</v>
      </c>
      <c r="B69">
        <v>40</v>
      </c>
      <c r="C69">
        <v>0</v>
      </c>
      <c r="D69" t="s">
        <v>12</v>
      </c>
      <c r="E69" t="s">
        <v>26</v>
      </c>
      <c r="F69" t="s">
        <v>21</v>
      </c>
      <c r="G69" s="2" t="s">
        <v>62</v>
      </c>
      <c r="H69" t="s">
        <v>22</v>
      </c>
      <c r="I69" t="s">
        <v>39</v>
      </c>
      <c r="J69" t="s">
        <v>17</v>
      </c>
      <c r="K69" s="5" t="s">
        <v>25</v>
      </c>
      <c r="L69" s="6" cm="1">
        <f t="array" ref="L69">_xlfn.SWITCH(Table13_2[[#This Row],[Performance Score]],"A",6,"B",5,"C",4,"D",3,"E",2,"F",1)</f>
        <v>1</v>
      </c>
      <c r="M69" s="5">
        <f t="shared" si="1"/>
        <v>50742.574257425746</v>
      </c>
    </row>
    <row r="70" spans="1:13" x14ac:dyDescent="0.3">
      <c r="A70" t="s">
        <v>49</v>
      </c>
      <c r="B70">
        <v>35</v>
      </c>
      <c r="C70">
        <v>0</v>
      </c>
      <c r="D70" t="s">
        <v>34</v>
      </c>
      <c r="E70" t="s">
        <v>30</v>
      </c>
      <c r="F70" t="s">
        <v>41</v>
      </c>
      <c r="G70" s="2" t="s">
        <v>55</v>
      </c>
      <c r="H70" t="s">
        <v>22</v>
      </c>
      <c r="I70" t="s">
        <v>16</v>
      </c>
      <c r="J70" t="s">
        <v>42</v>
      </c>
      <c r="K70" s="5" t="s">
        <v>11</v>
      </c>
      <c r="L70" s="6" cm="1">
        <f t="array" ref="L70">_xlfn.SWITCH(Table13_2[[#This Row],[Performance Score]],"A",6,"B",5,"C",4,"D",3,"E",2,"F",1)</f>
        <v>1</v>
      </c>
      <c r="M70" s="5">
        <f t="shared" si="1"/>
        <v>50777.202072538857</v>
      </c>
    </row>
    <row r="71" spans="1:13" x14ac:dyDescent="0.3">
      <c r="A71" t="s">
        <v>67</v>
      </c>
      <c r="B71">
        <v>50</v>
      </c>
      <c r="C71">
        <v>55000</v>
      </c>
      <c r="D71" t="s">
        <v>19</v>
      </c>
      <c r="E71" t="s">
        <v>35</v>
      </c>
      <c r="F71" t="s">
        <v>41</v>
      </c>
      <c r="G71" s="2" t="s">
        <v>62</v>
      </c>
      <c r="H71" t="s">
        <v>31</v>
      </c>
      <c r="I71" t="s">
        <v>23</v>
      </c>
      <c r="J71" t="s">
        <v>17</v>
      </c>
      <c r="K71" s="5" t="s">
        <v>46</v>
      </c>
      <c r="L71" s="6" cm="1">
        <f t="array" ref="L71">_xlfn.SWITCH(Table13_2[[#This Row],[Performance Score]],"A",6,"B",5,"C",4,"D",3,"E",2,"F",1)</f>
        <v>6</v>
      </c>
      <c r="M71" s="5">
        <f t="shared" si="1"/>
        <v>55000</v>
      </c>
    </row>
    <row r="72" spans="1:13" x14ac:dyDescent="0.3">
      <c r="A72" t="s">
        <v>53</v>
      </c>
      <c r="B72" t="s">
        <v>63</v>
      </c>
      <c r="C72">
        <v>55000</v>
      </c>
      <c r="D72" t="s">
        <v>12</v>
      </c>
      <c r="E72" t="s">
        <v>13</v>
      </c>
      <c r="F72" t="s">
        <v>14</v>
      </c>
      <c r="G72" s="2">
        <v>43881</v>
      </c>
      <c r="H72" t="s">
        <v>38</v>
      </c>
      <c r="I72" t="s">
        <v>23</v>
      </c>
      <c r="J72" t="s">
        <v>17</v>
      </c>
      <c r="K72" s="5" t="s">
        <v>25</v>
      </c>
      <c r="L72" s="6" cm="1">
        <f t="array" ref="L72">_xlfn.SWITCH(Table13_2[[#This Row],[Performance Score]],"A",6,"B",5,"C",4,"D",3,"E",2,"F",1)</f>
        <v>5</v>
      </c>
      <c r="M72" s="5">
        <f t="shared" si="1"/>
        <v>55000</v>
      </c>
    </row>
    <row r="73" spans="1:13" x14ac:dyDescent="0.3">
      <c r="A73" t="s">
        <v>56</v>
      </c>
      <c r="B73" t="s">
        <v>51</v>
      </c>
      <c r="C73">
        <v>0</v>
      </c>
      <c r="D73" t="s">
        <v>12</v>
      </c>
      <c r="E73" t="s">
        <v>20</v>
      </c>
      <c r="F73" t="s">
        <v>21</v>
      </c>
      <c r="G73" s="2" t="s">
        <v>60</v>
      </c>
      <c r="H73" t="s">
        <v>22</v>
      </c>
      <c r="I73" t="s">
        <v>16</v>
      </c>
      <c r="J73" t="s">
        <v>17</v>
      </c>
      <c r="K73" s="5" t="s">
        <v>29</v>
      </c>
      <c r="L73" s="6" cm="1">
        <f t="array" ref="L73">_xlfn.SWITCH(Table13_2[[#This Row],[Performance Score]],"A",6,"B",5,"C",4,"D",3,"E",2,"F",1)</f>
        <v>1</v>
      </c>
      <c r="M73" s="5">
        <f t="shared" si="1"/>
        <v>48417.431192660551</v>
      </c>
    </row>
    <row r="74" spans="1:13" x14ac:dyDescent="0.3">
      <c r="A74" t="s">
        <v>65</v>
      </c>
      <c r="B74" t="s">
        <v>63</v>
      </c>
      <c r="C74">
        <v>50000</v>
      </c>
      <c r="D74" t="s">
        <v>34</v>
      </c>
      <c r="E74" t="s">
        <v>30</v>
      </c>
      <c r="F74" t="s">
        <v>41</v>
      </c>
      <c r="G74" s="2">
        <v>43881</v>
      </c>
      <c r="H74" t="s">
        <v>22</v>
      </c>
      <c r="I74" t="s">
        <v>23</v>
      </c>
      <c r="J74" t="s">
        <v>28</v>
      </c>
      <c r="K74" s="5" t="s">
        <v>44</v>
      </c>
      <c r="L74" s="6" cm="1">
        <f t="array" ref="L74">_xlfn.SWITCH(Table13_2[[#This Row],[Performance Score]],"A",6,"B",5,"C",4,"D",3,"E",2,"F",1)</f>
        <v>1</v>
      </c>
      <c r="M74" s="5">
        <f t="shared" si="1"/>
        <v>50000</v>
      </c>
    </row>
    <row r="75" spans="1:13" x14ac:dyDescent="0.3">
      <c r="A75" t="s">
        <v>56</v>
      </c>
      <c r="B75">
        <v>40</v>
      </c>
      <c r="C75">
        <v>60000</v>
      </c>
      <c r="D75" t="s">
        <v>19</v>
      </c>
      <c r="E75" t="s">
        <v>20</v>
      </c>
      <c r="F75" t="s">
        <v>21</v>
      </c>
      <c r="G75" s="2" t="s">
        <v>60</v>
      </c>
      <c r="H75" t="s">
        <v>27</v>
      </c>
      <c r="I75" t="s">
        <v>39</v>
      </c>
      <c r="J75" t="s">
        <v>24</v>
      </c>
      <c r="K75" s="5" t="s">
        <v>29</v>
      </c>
      <c r="L75" s="6" cm="1">
        <f t="array" ref="L75">_xlfn.SWITCH(Table13_2[[#This Row],[Performance Score]],"A",6,"B",5,"C",4,"D",3,"E",2,"F",1)</f>
        <v>4</v>
      </c>
      <c r="M75" s="5">
        <f t="shared" si="1"/>
        <v>60000</v>
      </c>
    </row>
    <row r="76" spans="1:13" x14ac:dyDescent="0.3">
      <c r="A76" t="s">
        <v>53</v>
      </c>
      <c r="B76">
        <v>25</v>
      </c>
      <c r="C76">
        <v>70000</v>
      </c>
      <c r="D76" t="s">
        <v>34</v>
      </c>
      <c r="E76" t="s">
        <v>13</v>
      </c>
      <c r="F76" t="s">
        <v>41</v>
      </c>
      <c r="G76" s="2" t="s">
        <v>62</v>
      </c>
      <c r="H76" t="s">
        <v>22</v>
      </c>
      <c r="I76" t="s">
        <v>23</v>
      </c>
      <c r="J76" t="s">
        <v>28</v>
      </c>
      <c r="K76" s="5" t="s">
        <v>25</v>
      </c>
      <c r="L76" s="6" cm="1">
        <f t="array" ref="L76">_xlfn.SWITCH(Table13_2[[#This Row],[Performance Score]],"A",6,"B",5,"C",4,"D",3,"E",2,"F",1)</f>
        <v>1</v>
      </c>
      <c r="M76" s="5">
        <f t="shared" si="1"/>
        <v>70000</v>
      </c>
    </row>
    <row r="77" spans="1:13" x14ac:dyDescent="0.3">
      <c r="A77" t="s">
        <v>59</v>
      </c>
      <c r="B77">
        <v>25</v>
      </c>
      <c r="C77">
        <v>55000</v>
      </c>
      <c r="D77" t="s">
        <v>34</v>
      </c>
      <c r="E77" t="s">
        <v>13</v>
      </c>
      <c r="F77" t="s">
        <v>21</v>
      </c>
      <c r="G77" s="2" t="s">
        <v>50</v>
      </c>
      <c r="H77" t="s">
        <v>38</v>
      </c>
      <c r="I77" t="s">
        <v>39</v>
      </c>
      <c r="J77" t="s">
        <v>28</v>
      </c>
      <c r="K77" s="5" t="s">
        <v>33</v>
      </c>
      <c r="L77" s="6" cm="1">
        <f t="array" ref="L77">_xlfn.SWITCH(Table13_2[[#This Row],[Performance Score]],"A",6,"B",5,"C",4,"D",3,"E",2,"F",1)</f>
        <v>5</v>
      </c>
      <c r="M77" s="5">
        <f t="shared" si="1"/>
        <v>55000</v>
      </c>
    </row>
    <row r="78" spans="1:13" x14ac:dyDescent="0.3">
      <c r="A78" t="s">
        <v>67</v>
      </c>
      <c r="B78" t="s">
        <v>51</v>
      </c>
      <c r="C78">
        <v>55000</v>
      </c>
      <c r="D78" t="s">
        <v>34</v>
      </c>
      <c r="E78" t="s">
        <v>26</v>
      </c>
      <c r="F78" t="s">
        <v>37</v>
      </c>
      <c r="G78" s="2" t="s">
        <v>50</v>
      </c>
      <c r="H78" t="s">
        <v>15</v>
      </c>
      <c r="I78" t="s">
        <v>39</v>
      </c>
      <c r="J78" t="s">
        <v>28</v>
      </c>
      <c r="K78" s="5" t="s">
        <v>46</v>
      </c>
      <c r="L78" s="6" cm="1">
        <f t="array" ref="L78">_xlfn.SWITCH(Table13_2[[#This Row],[Performance Score]],"A",6,"B",5,"C",4,"D",3,"E",2,"F",1)</f>
        <v>3</v>
      </c>
      <c r="M78" s="5">
        <f t="shared" si="1"/>
        <v>55000</v>
      </c>
    </row>
    <row r="79" spans="1:13" x14ac:dyDescent="0.3">
      <c r="A79" t="s">
        <v>67</v>
      </c>
      <c r="B79">
        <v>25</v>
      </c>
      <c r="C79">
        <v>0</v>
      </c>
      <c r="D79" t="s">
        <v>12</v>
      </c>
      <c r="E79" t="s">
        <v>13</v>
      </c>
      <c r="F79" t="s">
        <v>21</v>
      </c>
      <c r="G79" s="2" t="s">
        <v>60</v>
      </c>
      <c r="H79" t="s">
        <v>15</v>
      </c>
      <c r="I79" t="s">
        <v>32</v>
      </c>
      <c r="J79" t="s">
        <v>28</v>
      </c>
      <c r="K79" s="5" t="s">
        <v>46</v>
      </c>
      <c r="L79" s="6" cm="1">
        <f t="array" ref="L79">_xlfn.SWITCH(Table13_2[[#This Row],[Performance Score]],"A",6,"B",5,"C",4,"D",3,"E",2,"F",1)</f>
        <v>3</v>
      </c>
      <c r="M79" s="5">
        <f t="shared" si="1"/>
        <v>51825</v>
      </c>
    </row>
    <row r="80" spans="1:13" x14ac:dyDescent="0.3">
      <c r="A80" t="s">
        <v>66</v>
      </c>
      <c r="B80">
        <v>25</v>
      </c>
      <c r="C80">
        <v>65000</v>
      </c>
      <c r="D80" t="s">
        <v>12</v>
      </c>
      <c r="E80" t="s">
        <v>20</v>
      </c>
      <c r="F80" t="s">
        <v>21</v>
      </c>
      <c r="G80" s="2" t="s">
        <v>50</v>
      </c>
      <c r="H80" t="s">
        <v>15</v>
      </c>
      <c r="I80" t="s">
        <v>23</v>
      </c>
      <c r="J80" t="s">
        <v>24</v>
      </c>
      <c r="K80" s="5" t="s">
        <v>45</v>
      </c>
      <c r="L80" s="6" cm="1">
        <f t="array" ref="L80">_xlfn.SWITCH(Table13_2[[#This Row],[Performance Score]],"A",6,"B",5,"C",4,"D",3,"E",2,"F",1)</f>
        <v>3</v>
      </c>
      <c r="M80" s="5">
        <f t="shared" si="1"/>
        <v>65000</v>
      </c>
    </row>
    <row r="81" spans="1:13" x14ac:dyDescent="0.3">
      <c r="A81" t="s">
        <v>67</v>
      </c>
      <c r="B81" t="s">
        <v>51</v>
      </c>
      <c r="C81">
        <v>70000</v>
      </c>
      <c r="D81" t="s">
        <v>19</v>
      </c>
      <c r="E81" t="s">
        <v>35</v>
      </c>
      <c r="F81" t="s">
        <v>14</v>
      </c>
      <c r="G81" s="2" t="s">
        <v>62</v>
      </c>
      <c r="H81" t="s">
        <v>15</v>
      </c>
      <c r="I81" t="s">
        <v>23</v>
      </c>
      <c r="J81" t="s">
        <v>42</v>
      </c>
      <c r="K81" s="5" t="s">
        <v>46</v>
      </c>
      <c r="L81" s="6" cm="1">
        <f t="array" ref="L81">_xlfn.SWITCH(Table13_2[[#This Row],[Performance Score]],"A",6,"B",5,"C",4,"D",3,"E",2,"F",1)</f>
        <v>3</v>
      </c>
      <c r="M81" s="5">
        <f t="shared" si="1"/>
        <v>70000</v>
      </c>
    </row>
    <row r="82" spans="1:13" x14ac:dyDescent="0.3">
      <c r="A82" t="s">
        <v>49</v>
      </c>
      <c r="B82">
        <v>50</v>
      </c>
      <c r="C82">
        <v>70000</v>
      </c>
      <c r="D82" t="s">
        <v>19</v>
      </c>
      <c r="E82" t="s">
        <v>35</v>
      </c>
      <c r="F82" t="s">
        <v>37</v>
      </c>
      <c r="G82" s="2" t="s">
        <v>50</v>
      </c>
      <c r="H82" t="s">
        <v>27</v>
      </c>
      <c r="I82" t="s">
        <v>39</v>
      </c>
      <c r="J82" t="s">
        <v>28</v>
      </c>
      <c r="K82" s="5" t="s">
        <v>11</v>
      </c>
      <c r="L82" s="6" cm="1">
        <f t="array" ref="L82">_xlfn.SWITCH(Table13_2[[#This Row],[Performance Score]],"A",6,"B",5,"C",4,"D",3,"E",2,"F",1)</f>
        <v>4</v>
      </c>
      <c r="M82" s="5">
        <f t="shared" si="1"/>
        <v>70000</v>
      </c>
    </row>
    <row r="83" spans="1:13" x14ac:dyDescent="0.3">
      <c r="A83" t="s">
        <v>67</v>
      </c>
      <c r="B83">
        <v>50</v>
      </c>
      <c r="C83">
        <v>55000</v>
      </c>
      <c r="D83" t="s">
        <v>34</v>
      </c>
      <c r="E83" t="s">
        <v>26</v>
      </c>
      <c r="F83" t="s">
        <v>40</v>
      </c>
      <c r="G83" s="2" t="s">
        <v>62</v>
      </c>
      <c r="H83" t="s">
        <v>22</v>
      </c>
      <c r="I83" t="s">
        <v>39</v>
      </c>
      <c r="J83" t="s">
        <v>17</v>
      </c>
      <c r="K83" s="5" t="s">
        <v>46</v>
      </c>
      <c r="L83" s="6" cm="1">
        <f t="array" ref="L83">_xlfn.SWITCH(Table13_2[[#This Row],[Performance Score]],"A",6,"B",5,"C",4,"D",3,"E",2,"F",1)</f>
        <v>1</v>
      </c>
      <c r="M83" s="5">
        <f t="shared" si="1"/>
        <v>55000</v>
      </c>
    </row>
    <row r="84" spans="1:13" x14ac:dyDescent="0.3">
      <c r="A84" t="s">
        <v>53</v>
      </c>
      <c r="B84" t="s">
        <v>51</v>
      </c>
      <c r="C84">
        <v>50000</v>
      </c>
      <c r="D84" t="s">
        <v>34</v>
      </c>
      <c r="E84" t="s">
        <v>20</v>
      </c>
      <c r="F84" t="s">
        <v>14</v>
      </c>
      <c r="G84" s="2">
        <v>43881</v>
      </c>
      <c r="H84" t="s">
        <v>15</v>
      </c>
      <c r="I84" t="s">
        <v>16</v>
      </c>
      <c r="J84" t="s">
        <v>17</v>
      </c>
      <c r="K84" s="5" t="s">
        <v>25</v>
      </c>
      <c r="L84" s="6" cm="1">
        <f t="array" ref="L84">_xlfn.SWITCH(Table13_2[[#This Row],[Performance Score]],"A",6,"B",5,"C",4,"D",3,"E",2,"F",1)</f>
        <v>3</v>
      </c>
      <c r="M84" s="5">
        <f t="shared" si="1"/>
        <v>50000</v>
      </c>
    </row>
    <row r="85" spans="1:13" x14ac:dyDescent="0.3">
      <c r="A85" t="s">
        <v>66</v>
      </c>
      <c r="B85">
        <v>40</v>
      </c>
      <c r="C85">
        <v>65000</v>
      </c>
      <c r="D85" t="s">
        <v>34</v>
      </c>
      <c r="E85" t="s">
        <v>20</v>
      </c>
      <c r="F85" t="s">
        <v>40</v>
      </c>
      <c r="G85" s="2" t="s">
        <v>62</v>
      </c>
      <c r="H85" t="s">
        <v>31</v>
      </c>
      <c r="I85" t="s">
        <v>16</v>
      </c>
      <c r="J85" t="s">
        <v>17</v>
      </c>
      <c r="K85" s="5" t="s">
        <v>45</v>
      </c>
      <c r="L85" s="6" cm="1">
        <f t="array" ref="L85">_xlfn.SWITCH(Table13_2[[#This Row],[Performance Score]],"A",6,"B",5,"C",4,"D",3,"E",2,"F",1)</f>
        <v>6</v>
      </c>
      <c r="M85" s="5">
        <f t="shared" si="1"/>
        <v>65000</v>
      </c>
    </row>
    <row r="86" spans="1:13" x14ac:dyDescent="0.3">
      <c r="A86" t="s">
        <v>53</v>
      </c>
      <c r="B86">
        <v>25</v>
      </c>
      <c r="C86">
        <v>70000</v>
      </c>
      <c r="D86" t="s">
        <v>19</v>
      </c>
      <c r="E86" t="s">
        <v>13</v>
      </c>
      <c r="F86" t="s">
        <v>41</v>
      </c>
      <c r="G86" s="2" t="s">
        <v>55</v>
      </c>
      <c r="H86" t="s">
        <v>15</v>
      </c>
      <c r="I86" t="s">
        <v>16</v>
      </c>
      <c r="J86" t="s">
        <v>17</v>
      </c>
      <c r="K86" s="5" t="s">
        <v>25</v>
      </c>
      <c r="L86" s="6" cm="1">
        <f t="array" ref="L86">_xlfn.SWITCH(Table13_2[[#This Row],[Performance Score]],"A",6,"B",5,"C",4,"D",3,"E",2,"F",1)</f>
        <v>3</v>
      </c>
      <c r="M86" s="5">
        <f t="shared" si="1"/>
        <v>70000</v>
      </c>
    </row>
    <row r="87" spans="1:13" x14ac:dyDescent="0.3">
      <c r="A87" t="s">
        <v>53</v>
      </c>
      <c r="B87">
        <v>25</v>
      </c>
      <c r="C87">
        <v>55000</v>
      </c>
      <c r="D87" t="s">
        <v>12</v>
      </c>
      <c r="E87" t="s">
        <v>20</v>
      </c>
      <c r="F87" t="s">
        <v>40</v>
      </c>
      <c r="G87" s="2" t="s">
        <v>55</v>
      </c>
      <c r="H87" t="s">
        <v>22</v>
      </c>
      <c r="I87" t="s">
        <v>39</v>
      </c>
      <c r="J87" t="s">
        <v>28</v>
      </c>
      <c r="K87" s="5" t="s">
        <v>25</v>
      </c>
      <c r="L87" s="6" cm="1">
        <f t="array" ref="L87">_xlfn.SWITCH(Table13_2[[#This Row],[Performance Score]],"A",6,"B",5,"C",4,"D",3,"E",2,"F",1)</f>
        <v>1</v>
      </c>
      <c r="M87" s="5">
        <f t="shared" si="1"/>
        <v>55000</v>
      </c>
    </row>
    <row r="88" spans="1:13" x14ac:dyDescent="0.3">
      <c r="A88" t="s">
        <v>61</v>
      </c>
      <c r="B88">
        <v>40</v>
      </c>
      <c r="C88">
        <v>70000</v>
      </c>
      <c r="D88" t="s">
        <v>12</v>
      </c>
      <c r="E88" t="s">
        <v>30</v>
      </c>
      <c r="F88" t="s">
        <v>21</v>
      </c>
      <c r="G88" s="2" t="s">
        <v>55</v>
      </c>
      <c r="H88" t="s">
        <v>15</v>
      </c>
      <c r="I88" t="s">
        <v>16</v>
      </c>
      <c r="J88" t="s">
        <v>24</v>
      </c>
      <c r="K88" s="5" t="s">
        <v>36</v>
      </c>
      <c r="L88" s="6" cm="1">
        <f t="array" ref="L88">_xlfn.SWITCH(Table13_2[[#This Row],[Performance Score]],"A",6,"B",5,"C",4,"D",3,"E",2,"F",1)</f>
        <v>3</v>
      </c>
      <c r="M88" s="5">
        <f t="shared" si="1"/>
        <v>70000</v>
      </c>
    </row>
    <row r="89" spans="1:13" x14ac:dyDescent="0.3">
      <c r="A89" t="s">
        <v>66</v>
      </c>
      <c r="B89">
        <v>50</v>
      </c>
      <c r="C89">
        <v>65000</v>
      </c>
      <c r="D89" t="s">
        <v>34</v>
      </c>
      <c r="E89" t="s">
        <v>13</v>
      </c>
      <c r="F89" t="s">
        <v>40</v>
      </c>
      <c r="G89" s="2" t="s">
        <v>60</v>
      </c>
      <c r="H89" t="s">
        <v>27</v>
      </c>
      <c r="I89" t="s">
        <v>16</v>
      </c>
      <c r="J89" t="s">
        <v>42</v>
      </c>
      <c r="K89" s="5" t="s">
        <v>45</v>
      </c>
      <c r="L89" s="6" cm="1">
        <f t="array" ref="L89">_xlfn.SWITCH(Table13_2[[#This Row],[Performance Score]],"A",6,"B",5,"C",4,"D",3,"E",2,"F",1)</f>
        <v>4</v>
      </c>
      <c r="M89" s="5">
        <f t="shared" si="1"/>
        <v>65000</v>
      </c>
    </row>
    <row r="90" spans="1:13" x14ac:dyDescent="0.3">
      <c r="A90" t="s">
        <v>53</v>
      </c>
      <c r="B90">
        <v>35</v>
      </c>
      <c r="C90">
        <v>65000</v>
      </c>
      <c r="D90" t="s">
        <v>34</v>
      </c>
      <c r="E90" t="s">
        <v>30</v>
      </c>
      <c r="F90" t="s">
        <v>14</v>
      </c>
      <c r="G90" s="2" t="s">
        <v>60</v>
      </c>
      <c r="H90" t="s">
        <v>38</v>
      </c>
      <c r="I90" t="s">
        <v>32</v>
      </c>
      <c r="J90" t="s">
        <v>17</v>
      </c>
      <c r="K90" s="5" t="s">
        <v>25</v>
      </c>
      <c r="L90" s="6" cm="1">
        <f t="array" ref="L90">_xlfn.SWITCH(Table13_2[[#This Row],[Performance Score]],"A",6,"B",5,"C",4,"D",3,"E",2,"F",1)</f>
        <v>5</v>
      </c>
      <c r="M90" s="5">
        <f t="shared" si="1"/>
        <v>65000</v>
      </c>
    </row>
    <row r="91" spans="1:13" x14ac:dyDescent="0.3">
      <c r="A91" t="s">
        <v>61</v>
      </c>
      <c r="B91">
        <v>35</v>
      </c>
      <c r="C91">
        <v>60000</v>
      </c>
      <c r="D91" t="s">
        <v>34</v>
      </c>
      <c r="E91" t="s">
        <v>26</v>
      </c>
      <c r="F91" t="s">
        <v>14</v>
      </c>
      <c r="G91" s="2" t="s">
        <v>60</v>
      </c>
      <c r="H91" t="s">
        <v>38</v>
      </c>
      <c r="I91" t="s">
        <v>16</v>
      </c>
      <c r="J91" t="s">
        <v>42</v>
      </c>
      <c r="K91" s="5" t="s">
        <v>36</v>
      </c>
      <c r="L91" s="6" cm="1">
        <f t="array" ref="L91">_xlfn.SWITCH(Table13_2[[#This Row],[Performance Score]],"A",6,"B",5,"C",4,"D",3,"E",2,"F",1)</f>
        <v>5</v>
      </c>
      <c r="M91" s="5">
        <f t="shared" si="1"/>
        <v>60000</v>
      </c>
    </row>
    <row r="92" spans="1:13" x14ac:dyDescent="0.3">
      <c r="A92" t="s">
        <v>61</v>
      </c>
      <c r="B92">
        <v>35</v>
      </c>
      <c r="C92">
        <v>0</v>
      </c>
      <c r="D92" t="s">
        <v>34</v>
      </c>
      <c r="E92" t="s">
        <v>35</v>
      </c>
      <c r="F92" t="s">
        <v>40</v>
      </c>
      <c r="G92" s="2" t="s">
        <v>62</v>
      </c>
      <c r="H92" t="s">
        <v>22</v>
      </c>
      <c r="I92" t="s">
        <v>23</v>
      </c>
      <c r="J92" t="s">
        <v>24</v>
      </c>
      <c r="K92" s="5" t="s">
        <v>36</v>
      </c>
      <c r="L92" s="6" cm="1">
        <f t="array" ref="L92">_xlfn.SWITCH(Table13_2[[#This Row],[Performance Score]],"A",6,"B",5,"C",4,"D",3,"E",2,"F",1)</f>
        <v>1</v>
      </c>
      <c r="M92" s="5">
        <f t="shared" si="1"/>
        <v>49144.385026737968</v>
      </c>
    </row>
    <row r="93" spans="1:13" x14ac:dyDescent="0.3">
      <c r="A93" t="s">
        <v>66</v>
      </c>
      <c r="B93">
        <v>50</v>
      </c>
      <c r="C93">
        <v>0</v>
      </c>
      <c r="D93" t="s">
        <v>19</v>
      </c>
      <c r="E93" t="s">
        <v>26</v>
      </c>
      <c r="F93" t="s">
        <v>14</v>
      </c>
      <c r="G93" s="2" t="s">
        <v>60</v>
      </c>
      <c r="H93" t="s">
        <v>38</v>
      </c>
      <c r="I93" t="s">
        <v>39</v>
      </c>
      <c r="J93" t="s">
        <v>17</v>
      </c>
      <c r="K93" s="5" t="s">
        <v>45</v>
      </c>
      <c r="L93" s="6" cm="1">
        <f t="array" ref="L93">_xlfn.SWITCH(Table13_2[[#This Row],[Performance Score]],"A",6,"B",5,"C",4,"D",3,"E",2,"F",1)</f>
        <v>5</v>
      </c>
      <c r="M93" s="5">
        <f t="shared" si="1"/>
        <v>50742.574257425746</v>
      </c>
    </row>
    <row r="94" spans="1:13" x14ac:dyDescent="0.3">
      <c r="A94" t="s">
        <v>56</v>
      </c>
      <c r="B94">
        <v>50</v>
      </c>
      <c r="C94">
        <v>55000</v>
      </c>
      <c r="D94" t="s">
        <v>12</v>
      </c>
      <c r="E94" t="s">
        <v>35</v>
      </c>
      <c r="F94" t="s">
        <v>14</v>
      </c>
      <c r="G94" s="2">
        <v>43881</v>
      </c>
      <c r="H94" t="s">
        <v>38</v>
      </c>
      <c r="I94" t="s">
        <v>39</v>
      </c>
      <c r="J94" t="s">
        <v>42</v>
      </c>
      <c r="K94" s="5" t="s">
        <v>29</v>
      </c>
      <c r="L94" s="6" cm="1">
        <f t="array" ref="L94">_xlfn.SWITCH(Table13_2[[#This Row],[Performance Score]],"A",6,"B",5,"C",4,"D",3,"E",2,"F",1)</f>
        <v>5</v>
      </c>
      <c r="M94" s="5">
        <f t="shared" si="1"/>
        <v>55000</v>
      </c>
    </row>
    <row r="95" spans="1:13" x14ac:dyDescent="0.3">
      <c r="A95" t="s">
        <v>59</v>
      </c>
      <c r="B95">
        <v>40</v>
      </c>
      <c r="C95">
        <v>65000</v>
      </c>
      <c r="D95" t="s">
        <v>34</v>
      </c>
      <c r="E95" t="s">
        <v>26</v>
      </c>
      <c r="F95" t="s">
        <v>40</v>
      </c>
      <c r="G95" s="2" t="s">
        <v>55</v>
      </c>
      <c r="H95" t="s">
        <v>31</v>
      </c>
      <c r="I95" t="s">
        <v>32</v>
      </c>
      <c r="J95" t="s">
        <v>24</v>
      </c>
      <c r="K95" s="5" t="s">
        <v>33</v>
      </c>
      <c r="L95" s="6" cm="1">
        <f t="array" ref="L95">_xlfn.SWITCH(Table13_2[[#This Row],[Performance Score]],"A",6,"B",5,"C",4,"D",3,"E",2,"F",1)</f>
        <v>6</v>
      </c>
      <c r="M95" s="5">
        <f t="shared" si="1"/>
        <v>65000</v>
      </c>
    </row>
    <row r="96" spans="1:13" x14ac:dyDescent="0.3">
      <c r="A96" t="s">
        <v>49</v>
      </c>
      <c r="B96">
        <v>25</v>
      </c>
      <c r="C96">
        <v>60000</v>
      </c>
      <c r="D96" t="s">
        <v>19</v>
      </c>
      <c r="E96" t="s">
        <v>20</v>
      </c>
      <c r="F96" t="s">
        <v>37</v>
      </c>
      <c r="G96" s="2" t="s">
        <v>62</v>
      </c>
      <c r="H96" t="s">
        <v>22</v>
      </c>
      <c r="I96" t="s">
        <v>39</v>
      </c>
      <c r="J96" t="s">
        <v>42</v>
      </c>
      <c r="K96" s="5" t="s">
        <v>11</v>
      </c>
      <c r="L96" s="6" cm="1">
        <f t="array" ref="L96">_xlfn.SWITCH(Table13_2[[#This Row],[Performance Score]],"A",6,"B",5,"C",4,"D",3,"E",2,"F",1)</f>
        <v>1</v>
      </c>
      <c r="M96" s="5">
        <f t="shared" si="1"/>
        <v>60000</v>
      </c>
    </row>
    <row r="97" spans="1:13" x14ac:dyDescent="0.3">
      <c r="A97" t="s">
        <v>59</v>
      </c>
      <c r="B97">
        <v>40</v>
      </c>
      <c r="C97">
        <v>60000</v>
      </c>
      <c r="D97" t="s">
        <v>34</v>
      </c>
      <c r="E97" t="s">
        <v>30</v>
      </c>
      <c r="F97" t="s">
        <v>37</v>
      </c>
      <c r="G97" s="2" t="s">
        <v>55</v>
      </c>
      <c r="H97" t="s">
        <v>22</v>
      </c>
      <c r="I97" t="s">
        <v>39</v>
      </c>
      <c r="J97" t="s">
        <v>28</v>
      </c>
      <c r="K97" s="5" t="s">
        <v>33</v>
      </c>
      <c r="L97" s="6" cm="1">
        <f t="array" ref="L97">_xlfn.SWITCH(Table13_2[[#This Row],[Performance Score]],"A",6,"B",5,"C",4,"D",3,"E",2,"F",1)</f>
        <v>1</v>
      </c>
      <c r="M97" s="5">
        <f t="shared" si="1"/>
        <v>60000</v>
      </c>
    </row>
    <row r="98" spans="1:13" x14ac:dyDescent="0.3">
      <c r="A98" t="s">
        <v>67</v>
      </c>
      <c r="B98">
        <v>40</v>
      </c>
      <c r="C98">
        <v>70000</v>
      </c>
      <c r="D98" t="s">
        <v>34</v>
      </c>
      <c r="E98" t="s">
        <v>35</v>
      </c>
      <c r="F98" t="s">
        <v>41</v>
      </c>
      <c r="G98" s="2" t="s">
        <v>60</v>
      </c>
      <c r="H98" t="s">
        <v>38</v>
      </c>
      <c r="I98" t="s">
        <v>23</v>
      </c>
      <c r="J98" t="s">
        <v>24</v>
      </c>
      <c r="K98" s="5" t="s">
        <v>46</v>
      </c>
      <c r="L98" s="6" cm="1">
        <f t="array" ref="L98">_xlfn.SWITCH(Table13_2[[#This Row],[Performance Score]],"A",6,"B",5,"C",4,"D",3,"E",2,"F",1)</f>
        <v>5</v>
      </c>
      <c r="M98" s="5">
        <f t="shared" si="1"/>
        <v>70000</v>
      </c>
    </row>
    <row r="99" spans="1:13" x14ac:dyDescent="0.3">
      <c r="A99" t="s">
        <v>49</v>
      </c>
      <c r="B99">
        <v>50</v>
      </c>
      <c r="C99">
        <v>70000</v>
      </c>
      <c r="D99" t="s">
        <v>12</v>
      </c>
      <c r="E99" t="s">
        <v>13</v>
      </c>
      <c r="F99" t="s">
        <v>14</v>
      </c>
      <c r="G99" s="2" t="s">
        <v>62</v>
      </c>
      <c r="H99" t="s">
        <v>38</v>
      </c>
      <c r="I99" t="s">
        <v>16</v>
      </c>
      <c r="J99" t="s">
        <v>42</v>
      </c>
      <c r="K99" s="5" t="s">
        <v>11</v>
      </c>
      <c r="L99" s="6" cm="1">
        <f t="array" ref="L99">_xlfn.SWITCH(Table13_2[[#This Row],[Performance Score]],"A",6,"B",5,"C",4,"D",3,"E",2,"F",1)</f>
        <v>5</v>
      </c>
      <c r="M99" s="5">
        <f t="shared" si="1"/>
        <v>70000</v>
      </c>
    </row>
    <row r="100" spans="1:13" x14ac:dyDescent="0.3">
      <c r="A100" t="s">
        <v>67</v>
      </c>
      <c r="B100">
        <v>35</v>
      </c>
      <c r="C100">
        <v>60000</v>
      </c>
      <c r="D100" t="s">
        <v>34</v>
      </c>
      <c r="E100" t="s">
        <v>30</v>
      </c>
      <c r="F100" t="s">
        <v>40</v>
      </c>
      <c r="G100" s="2" t="s">
        <v>50</v>
      </c>
      <c r="H100" t="s">
        <v>38</v>
      </c>
      <c r="I100" t="s">
        <v>23</v>
      </c>
      <c r="J100" t="s">
        <v>28</v>
      </c>
      <c r="K100" s="5" t="s">
        <v>46</v>
      </c>
      <c r="L100" s="6" cm="1">
        <f t="array" ref="L100">_xlfn.SWITCH(Table13_2[[#This Row],[Performance Score]],"A",6,"B",5,"C",4,"D",3,"E",2,"F",1)</f>
        <v>5</v>
      </c>
      <c r="M100" s="5">
        <f t="shared" si="1"/>
        <v>60000</v>
      </c>
    </row>
    <row r="101" spans="1:13" x14ac:dyDescent="0.3">
      <c r="A101" t="s">
        <v>53</v>
      </c>
      <c r="B101" t="s">
        <v>63</v>
      </c>
      <c r="C101">
        <v>70000</v>
      </c>
      <c r="D101" t="s">
        <v>12</v>
      </c>
      <c r="E101" t="s">
        <v>13</v>
      </c>
      <c r="F101" t="s">
        <v>14</v>
      </c>
      <c r="G101" s="2">
        <v>43881</v>
      </c>
      <c r="H101" t="s">
        <v>27</v>
      </c>
      <c r="I101" t="s">
        <v>16</v>
      </c>
      <c r="J101" t="s">
        <v>28</v>
      </c>
      <c r="K101" s="5" t="s">
        <v>25</v>
      </c>
      <c r="L101" s="6" cm="1">
        <f t="array" ref="L101">_xlfn.SWITCH(Table13_2[[#This Row],[Performance Score]],"A",6,"B",5,"C",4,"D",3,"E",2,"F",1)</f>
        <v>4</v>
      </c>
      <c r="M101" s="5">
        <f t="shared" si="1"/>
        <v>70000</v>
      </c>
    </row>
    <row r="102" spans="1:13" x14ac:dyDescent="0.3">
      <c r="A102" t="s">
        <v>65</v>
      </c>
      <c r="B102">
        <v>25</v>
      </c>
      <c r="C102">
        <v>65000</v>
      </c>
      <c r="D102" t="s">
        <v>12</v>
      </c>
      <c r="E102" t="s">
        <v>30</v>
      </c>
      <c r="F102" t="s">
        <v>21</v>
      </c>
      <c r="G102" s="2" t="s">
        <v>60</v>
      </c>
      <c r="H102" t="s">
        <v>15</v>
      </c>
      <c r="I102" t="s">
        <v>16</v>
      </c>
      <c r="J102" t="s">
        <v>24</v>
      </c>
      <c r="K102" s="5" t="s">
        <v>44</v>
      </c>
      <c r="L102" s="6" cm="1">
        <f t="array" ref="L102">_xlfn.SWITCH(Table13_2[[#This Row],[Performance Score]],"A",6,"B",5,"C",4,"D",3,"E",2,"F",1)</f>
        <v>3</v>
      </c>
      <c r="M102" s="5">
        <f t="shared" si="1"/>
        <v>65000</v>
      </c>
    </row>
    <row r="103" spans="1:13" x14ac:dyDescent="0.3">
      <c r="A103" t="s">
        <v>66</v>
      </c>
      <c r="B103">
        <v>50</v>
      </c>
      <c r="C103">
        <v>50000</v>
      </c>
      <c r="D103" t="s">
        <v>12</v>
      </c>
      <c r="E103" t="s">
        <v>30</v>
      </c>
      <c r="F103" t="s">
        <v>14</v>
      </c>
      <c r="G103" s="2" t="s">
        <v>60</v>
      </c>
      <c r="H103" t="s">
        <v>27</v>
      </c>
      <c r="I103" t="s">
        <v>39</v>
      </c>
      <c r="J103" t="s">
        <v>17</v>
      </c>
      <c r="K103" s="5" t="s">
        <v>45</v>
      </c>
      <c r="L103" s="6" cm="1">
        <f t="array" ref="L103">_xlfn.SWITCH(Table13_2[[#This Row],[Performance Score]],"A",6,"B",5,"C",4,"D",3,"E",2,"F",1)</f>
        <v>4</v>
      </c>
      <c r="M103" s="5">
        <f t="shared" si="1"/>
        <v>50000</v>
      </c>
    </row>
    <row r="104" spans="1:13" x14ac:dyDescent="0.3">
      <c r="A104" t="s">
        <v>49</v>
      </c>
      <c r="B104">
        <v>35</v>
      </c>
      <c r="C104">
        <v>65000</v>
      </c>
      <c r="D104" t="s">
        <v>19</v>
      </c>
      <c r="E104" t="s">
        <v>26</v>
      </c>
      <c r="F104" t="s">
        <v>14</v>
      </c>
      <c r="G104" s="2">
        <v>43881</v>
      </c>
      <c r="H104" t="s">
        <v>22</v>
      </c>
      <c r="I104" t="s">
        <v>16</v>
      </c>
      <c r="J104" t="s">
        <v>17</v>
      </c>
      <c r="K104" s="5" t="s">
        <v>11</v>
      </c>
      <c r="L104" s="6" cm="1">
        <f t="array" ref="L104">_xlfn.SWITCH(Table13_2[[#This Row],[Performance Score]],"A",6,"B",5,"C",4,"D",3,"E",2,"F",1)</f>
        <v>1</v>
      </c>
      <c r="M104" s="5">
        <f t="shared" si="1"/>
        <v>65000</v>
      </c>
    </row>
    <row r="105" spans="1:13" x14ac:dyDescent="0.3">
      <c r="A105" t="s">
        <v>49</v>
      </c>
      <c r="B105" t="s">
        <v>63</v>
      </c>
      <c r="C105">
        <v>60000</v>
      </c>
      <c r="D105" t="s">
        <v>19</v>
      </c>
      <c r="E105" t="s">
        <v>35</v>
      </c>
      <c r="F105" t="s">
        <v>37</v>
      </c>
      <c r="G105" s="2">
        <v>43881</v>
      </c>
      <c r="H105" t="s">
        <v>31</v>
      </c>
      <c r="I105" t="s">
        <v>32</v>
      </c>
      <c r="J105" t="s">
        <v>24</v>
      </c>
      <c r="K105" s="5" t="s">
        <v>11</v>
      </c>
      <c r="L105" s="6" cm="1">
        <f t="array" ref="L105">_xlfn.SWITCH(Table13_2[[#This Row],[Performance Score]],"A",6,"B",5,"C",4,"D",3,"E",2,"F",1)</f>
        <v>6</v>
      </c>
      <c r="M105" s="5">
        <f t="shared" si="1"/>
        <v>60000</v>
      </c>
    </row>
    <row r="106" spans="1:13" x14ac:dyDescent="0.3">
      <c r="A106" t="s">
        <v>53</v>
      </c>
      <c r="B106" t="s">
        <v>63</v>
      </c>
      <c r="C106">
        <v>60000</v>
      </c>
      <c r="D106" t="s">
        <v>12</v>
      </c>
      <c r="E106" t="s">
        <v>35</v>
      </c>
      <c r="F106" t="s">
        <v>40</v>
      </c>
      <c r="G106" s="2" t="s">
        <v>50</v>
      </c>
      <c r="H106" t="s">
        <v>15</v>
      </c>
      <c r="I106" t="s">
        <v>32</v>
      </c>
      <c r="J106" t="s">
        <v>28</v>
      </c>
      <c r="K106" s="5" t="s">
        <v>25</v>
      </c>
      <c r="L106" s="6" cm="1">
        <f t="array" ref="L106">_xlfn.SWITCH(Table13_2[[#This Row],[Performance Score]],"A",6,"B",5,"C",4,"D",3,"E",2,"F",1)</f>
        <v>3</v>
      </c>
      <c r="M106" s="5">
        <f t="shared" si="1"/>
        <v>60000</v>
      </c>
    </row>
    <row r="107" spans="1:13" x14ac:dyDescent="0.3">
      <c r="A107" t="s">
        <v>56</v>
      </c>
      <c r="B107">
        <v>50</v>
      </c>
      <c r="C107">
        <v>65000</v>
      </c>
      <c r="D107" t="s">
        <v>34</v>
      </c>
      <c r="E107" t="s">
        <v>30</v>
      </c>
      <c r="F107" t="s">
        <v>14</v>
      </c>
      <c r="G107" s="2" t="s">
        <v>60</v>
      </c>
      <c r="H107" t="s">
        <v>31</v>
      </c>
      <c r="I107" t="s">
        <v>32</v>
      </c>
      <c r="J107" t="s">
        <v>28</v>
      </c>
      <c r="K107" s="5" t="s">
        <v>29</v>
      </c>
      <c r="L107" s="6" cm="1">
        <f t="array" ref="L107">_xlfn.SWITCH(Table13_2[[#This Row],[Performance Score]],"A",6,"B",5,"C",4,"D",3,"E",2,"F",1)</f>
        <v>6</v>
      </c>
      <c r="M107" s="5">
        <f t="shared" si="1"/>
        <v>65000</v>
      </c>
    </row>
    <row r="108" spans="1:13" x14ac:dyDescent="0.3">
      <c r="A108" t="s">
        <v>61</v>
      </c>
      <c r="B108" t="s">
        <v>51</v>
      </c>
      <c r="C108">
        <v>70000</v>
      </c>
      <c r="D108" t="s">
        <v>12</v>
      </c>
      <c r="E108" t="s">
        <v>20</v>
      </c>
      <c r="F108" t="s">
        <v>37</v>
      </c>
      <c r="G108" s="2" t="s">
        <v>60</v>
      </c>
      <c r="H108" t="s">
        <v>22</v>
      </c>
      <c r="I108" t="s">
        <v>39</v>
      </c>
      <c r="J108" t="s">
        <v>24</v>
      </c>
      <c r="K108" s="5" t="s">
        <v>36</v>
      </c>
      <c r="L108" s="6" cm="1">
        <f t="array" ref="L108">_xlfn.SWITCH(Table13_2[[#This Row],[Performance Score]],"A",6,"B",5,"C",4,"D",3,"E",2,"F",1)</f>
        <v>1</v>
      </c>
      <c r="M108" s="5">
        <f t="shared" si="1"/>
        <v>70000</v>
      </c>
    </row>
    <row r="109" spans="1:13" x14ac:dyDescent="0.3">
      <c r="A109" t="s">
        <v>53</v>
      </c>
      <c r="B109">
        <v>25</v>
      </c>
      <c r="C109">
        <v>70000</v>
      </c>
      <c r="D109" t="s">
        <v>34</v>
      </c>
      <c r="E109" t="s">
        <v>20</v>
      </c>
      <c r="F109" t="s">
        <v>41</v>
      </c>
      <c r="G109" s="2" t="s">
        <v>55</v>
      </c>
      <c r="H109" t="s">
        <v>22</v>
      </c>
      <c r="I109" t="s">
        <v>23</v>
      </c>
      <c r="J109" t="s">
        <v>17</v>
      </c>
      <c r="K109" s="5" t="s">
        <v>25</v>
      </c>
      <c r="L109" s="6" cm="1">
        <f t="array" ref="L109">_xlfn.SWITCH(Table13_2[[#This Row],[Performance Score]],"A",6,"B",5,"C",4,"D",3,"E",2,"F",1)</f>
        <v>1</v>
      </c>
      <c r="M109" s="5">
        <f t="shared" si="1"/>
        <v>70000</v>
      </c>
    </row>
    <row r="110" spans="1:13" x14ac:dyDescent="0.3">
      <c r="A110" t="s">
        <v>64</v>
      </c>
      <c r="B110" t="s">
        <v>63</v>
      </c>
      <c r="C110">
        <v>0</v>
      </c>
      <c r="D110" t="s">
        <v>12</v>
      </c>
      <c r="E110" t="s">
        <v>13</v>
      </c>
      <c r="F110" t="s">
        <v>37</v>
      </c>
      <c r="G110" s="2" t="s">
        <v>62</v>
      </c>
      <c r="H110" t="s">
        <v>31</v>
      </c>
      <c r="I110" t="s">
        <v>39</v>
      </c>
      <c r="J110" t="s">
        <v>17</v>
      </c>
      <c r="K110" s="5" t="s">
        <v>43</v>
      </c>
      <c r="L110" s="6" cm="1">
        <f t="array" ref="L110">_xlfn.SWITCH(Table13_2[[#This Row],[Performance Score]],"A",6,"B",5,"C",4,"D",3,"E",2,"F",1)</f>
        <v>6</v>
      </c>
      <c r="M110" s="5">
        <f t="shared" si="1"/>
        <v>51825</v>
      </c>
    </row>
    <row r="111" spans="1:13" x14ac:dyDescent="0.3">
      <c r="A111" t="s">
        <v>61</v>
      </c>
      <c r="B111">
        <v>50</v>
      </c>
      <c r="C111">
        <v>60000</v>
      </c>
      <c r="D111" t="s">
        <v>34</v>
      </c>
      <c r="E111" t="s">
        <v>13</v>
      </c>
      <c r="F111" t="s">
        <v>37</v>
      </c>
      <c r="G111" s="2" t="s">
        <v>62</v>
      </c>
      <c r="H111" t="s">
        <v>31</v>
      </c>
      <c r="I111" t="s">
        <v>16</v>
      </c>
      <c r="J111" t="s">
        <v>42</v>
      </c>
      <c r="K111" s="5" t="s">
        <v>36</v>
      </c>
      <c r="L111" s="6" cm="1">
        <f t="array" ref="L111">_xlfn.SWITCH(Table13_2[[#This Row],[Performance Score]],"A",6,"B",5,"C",4,"D",3,"E",2,"F",1)</f>
        <v>6</v>
      </c>
      <c r="M111" s="5">
        <f t="shared" si="1"/>
        <v>60000</v>
      </c>
    </row>
    <row r="112" spans="1:13" x14ac:dyDescent="0.3">
      <c r="A112" t="s">
        <v>66</v>
      </c>
      <c r="B112">
        <v>50</v>
      </c>
      <c r="C112">
        <v>55000</v>
      </c>
      <c r="D112" t="s">
        <v>19</v>
      </c>
      <c r="E112" t="s">
        <v>26</v>
      </c>
      <c r="F112" t="s">
        <v>37</v>
      </c>
      <c r="G112" s="2" t="s">
        <v>55</v>
      </c>
      <c r="H112" t="s">
        <v>31</v>
      </c>
      <c r="I112" t="s">
        <v>39</v>
      </c>
      <c r="J112" t="s">
        <v>24</v>
      </c>
      <c r="K112" s="5" t="s">
        <v>45</v>
      </c>
      <c r="L112" s="6" cm="1">
        <f t="array" ref="L112">_xlfn.SWITCH(Table13_2[[#This Row],[Performance Score]],"A",6,"B",5,"C",4,"D",3,"E",2,"F",1)</f>
        <v>6</v>
      </c>
      <c r="M112" s="5">
        <f t="shared" si="1"/>
        <v>55000</v>
      </c>
    </row>
    <row r="113" spans="1:13" x14ac:dyDescent="0.3">
      <c r="A113" t="s">
        <v>61</v>
      </c>
      <c r="B113">
        <v>35</v>
      </c>
      <c r="C113">
        <v>0</v>
      </c>
      <c r="D113" t="s">
        <v>34</v>
      </c>
      <c r="E113" t="s">
        <v>30</v>
      </c>
      <c r="F113" t="s">
        <v>14</v>
      </c>
      <c r="G113" s="2" t="s">
        <v>62</v>
      </c>
      <c r="H113" t="s">
        <v>22</v>
      </c>
      <c r="I113" t="s">
        <v>23</v>
      </c>
      <c r="J113" t="s">
        <v>17</v>
      </c>
      <c r="K113" s="5" t="s">
        <v>36</v>
      </c>
      <c r="L113" s="6" cm="1">
        <f t="array" ref="L113">_xlfn.SWITCH(Table13_2[[#This Row],[Performance Score]],"A",6,"B",5,"C",4,"D",3,"E",2,"F",1)</f>
        <v>1</v>
      </c>
      <c r="M113" s="5">
        <f t="shared" si="1"/>
        <v>50777.202072538857</v>
      </c>
    </row>
    <row r="114" spans="1:13" x14ac:dyDescent="0.3">
      <c r="A114" t="s">
        <v>56</v>
      </c>
      <c r="B114" t="s">
        <v>51</v>
      </c>
      <c r="C114">
        <v>70000</v>
      </c>
      <c r="D114" t="s">
        <v>12</v>
      </c>
      <c r="E114" t="s">
        <v>13</v>
      </c>
      <c r="F114" t="s">
        <v>14</v>
      </c>
      <c r="G114" s="2">
        <v>43881</v>
      </c>
      <c r="H114" t="s">
        <v>38</v>
      </c>
      <c r="I114" t="s">
        <v>23</v>
      </c>
      <c r="J114" t="s">
        <v>17</v>
      </c>
      <c r="K114" s="5" t="s">
        <v>29</v>
      </c>
      <c r="L114" s="6" cm="1">
        <f t="array" ref="L114">_xlfn.SWITCH(Table13_2[[#This Row],[Performance Score]],"A",6,"B",5,"C",4,"D",3,"E",2,"F",1)</f>
        <v>5</v>
      </c>
      <c r="M114" s="5">
        <f t="shared" si="1"/>
        <v>70000</v>
      </c>
    </row>
    <row r="115" spans="1:13" x14ac:dyDescent="0.3">
      <c r="A115" t="s">
        <v>61</v>
      </c>
      <c r="B115">
        <v>25</v>
      </c>
      <c r="C115">
        <v>65000</v>
      </c>
      <c r="D115" t="s">
        <v>19</v>
      </c>
      <c r="E115" t="s">
        <v>13</v>
      </c>
      <c r="F115" t="s">
        <v>41</v>
      </c>
      <c r="G115" s="2" t="s">
        <v>62</v>
      </c>
      <c r="H115" t="s">
        <v>31</v>
      </c>
      <c r="I115" t="s">
        <v>39</v>
      </c>
      <c r="J115" t="s">
        <v>28</v>
      </c>
      <c r="K115" s="5" t="s">
        <v>36</v>
      </c>
      <c r="L115" s="6" cm="1">
        <f t="array" ref="L115">_xlfn.SWITCH(Table13_2[[#This Row],[Performance Score]],"A",6,"B",5,"C",4,"D",3,"E",2,"F",1)</f>
        <v>6</v>
      </c>
      <c r="M115" s="5">
        <f t="shared" si="1"/>
        <v>65000</v>
      </c>
    </row>
    <row r="116" spans="1:13" x14ac:dyDescent="0.3">
      <c r="A116" t="s">
        <v>66</v>
      </c>
      <c r="B116">
        <v>40</v>
      </c>
      <c r="C116">
        <v>70000</v>
      </c>
      <c r="D116" t="s">
        <v>34</v>
      </c>
      <c r="E116" t="s">
        <v>30</v>
      </c>
      <c r="F116" t="s">
        <v>21</v>
      </c>
      <c r="G116" s="2" t="s">
        <v>62</v>
      </c>
      <c r="H116" t="s">
        <v>15</v>
      </c>
      <c r="I116" t="s">
        <v>32</v>
      </c>
      <c r="J116" t="s">
        <v>42</v>
      </c>
      <c r="K116" s="5" t="s">
        <v>45</v>
      </c>
      <c r="L116" s="6" cm="1">
        <f t="array" ref="L116">_xlfn.SWITCH(Table13_2[[#This Row],[Performance Score]],"A",6,"B",5,"C",4,"D",3,"E",2,"F",1)</f>
        <v>3</v>
      </c>
      <c r="M116" s="5">
        <f t="shared" si="1"/>
        <v>70000</v>
      </c>
    </row>
    <row r="117" spans="1:13" x14ac:dyDescent="0.3">
      <c r="A117" t="s">
        <v>56</v>
      </c>
      <c r="B117">
        <v>35</v>
      </c>
      <c r="C117">
        <v>65000</v>
      </c>
      <c r="D117" t="s">
        <v>34</v>
      </c>
      <c r="E117" t="s">
        <v>26</v>
      </c>
      <c r="F117" t="s">
        <v>21</v>
      </c>
      <c r="G117" s="2" t="s">
        <v>55</v>
      </c>
      <c r="H117" t="s">
        <v>22</v>
      </c>
      <c r="I117" t="s">
        <v>32</v>
      </c>
      <c r="J117" t="s">
        <v>24</v>
      </c>
      <c r="K117" s="5" t="s">
        <v>29</v>
      </c>
      <c r="L117" s="6" cm="1">
        <f t="array" ref="L117">_xlfn.SWITCH(Table13_2[[#This Row],[Performance Score]],"A",6,"B",5,"C",4,"D",3,"E",2,"F",1)</f>
        <v>1</v>
      </c>
      <c r="M117" s="5">
        <f t="shared" si="1"/>
        <v>65000</v>
      </c>
    </row>
    <row r="118" spans="1:13" x14ac:dyDescent="0.3">
      <c r="A118" t="s">
        <v>59</v>
      </c>
      <c r="B118" t="s">
        <v>63</v>
      </c>
      <c r="C118">
        <v>0</v>
      </c>
      <c r="D118" t="s">
        <v>34</v>
      </c>
      <c r="E118" t="s">
        <v>13</v>
      </c>
      <c r="F118" t="s">
        <v>21</v>
      </c>
      <c r="G118" s="2" t="s">
        <v>50</v>
      </c>
      <c r="H118" t="s">
        <v>27</v>
      </c>
      <c r="I118" t="s">
        <v>23</v>
      </c>
      <c r="J118" t="s">
        <v>28</v>
      </c>
      <c r="K118" s="5" t="s">
        <v>33</v>
      </c>
      <c r="L118" s="6" cm="1">
        <f t="array" ref="L118">_xlfn.SWITCH(Table13_2[[#This Row],[Performance Score]],"A",6,"B",5,"C",4,"D",3,"E",2,"F",1)</f>
        <v>4</v>
      </c>
      <c r="M118" s="5">
        <f t="shared" si="1"/>
        <v>51825</v>
      </c>
    </row>
    <row r="119" spans="1:13" x14ac:dyDescent="0.3">
      <c r="A119" t="s">
        <v>49</v>
      </c>
      <c r="B119" t="s">
        <v>63</v>
      </c>
      <c r="C119">
        <v>60000</v>
      </c>
      <c r="D119" t="s">
        <v>34</v>
      </c>
      <c r="E119" t="s">
        <v>26</v>
      </c>
      <c r="F119" t="s">
        <v>41</v>
      </c>
      <c r="G119" s="2" t="s">
        <v>62</v>
      </c>
      <c r="H119" t="s">
        <v>27</v>
      </c>
      <c r="I119" t="s">
        <v>39</v>
      </c>
      <c r="J119" t="s">
        <v>28</v>
      </c>
      <c r="K119" s="5" t="s">
        <v>11</v>
      </c>
      <c r="L119" s="6" cm="1">
        <f t="array" ref="L119">_xlfn.SWITCH(Table13_2[[#This Row],[Performance Score]],"A",6,"B",5,"C",4,"D",3,"E",2,"F",1)</f>
        <v>4</v>
      </c>
      <c r="M119" s="5">
        <f t="shared" si="1"/>
        <v>60000</v>
      </c>
    </row>
    <row r="120" spans="1:13" x14ac:dyDescent="0.3">
      <c r="A120" t="s">
        <v>49</v>
      </c>
      <c r="B120">
        <v>35</v>
      </c>
      <c r="C120">
        <v>70000</v>
      </c>
      <c r="D120" t="s">
        <v>34</v>
      </c>
      <c r="E120" t="s">
        <v>35</v>
      </c>
      <c r="F120" t="s">
        <v>21</v>
      </c>
      <c r="G120" s="2" t="s">
        <v>62</v>
      </c>
      <c r="H120" t="s">
        <v>15</v>
      </c>
      <c r="I120" t="s">
        <v>39</v>
      </c>
      <c r="J120" t="s">
        <v>17</v>
      </c>
      <c r="K120" s="5" t="s">
        <v>11</v>
      </c>
      <c r="L120" s="6" cm="1">
        <f t="array" ref="L120">_xlfn.SWITCH(Table13_2[[#This Row],[Performance Score]],"A",6,"B",5,"C",4,"D",3,"E",2,"F",1)</f>
        <v>3</v>
      </c>
      <c r="M120" s="5">
        <f t="shared" si="1"/>
        <v>70000</v>
      </c>
    </row>
    <row r="121" spans="1:13" x14ac:dyDescent="0.3">
      <c r="A121" t="s">
        <v>67</v>
      </c>
      <c r="B121">
        <v>50</v>
      </c>
      <c r="C121">
        <v>65000</v>
      </c>
      <c r="D121" t="s">
        <v>19</v>
      </c>
      <c r="E121" t="s">
        <v>26</v>
      </c>
      <c r="F121" t="s">
        <v>21</v>
      </c>
      <c r="G121" s="2" t="s">
        <v>50</v>
      </c>
      <c r="H121" t="s">
        <v>38</v>
      </c>
      <c r="I121" t="s">
        <v>16</v>
      </c>
      <c r="J121" t="s">
        <v>17</v>
      </c>
      <c r="K121" s="5" t="s">
        <v>46</v>
      </c>
      <c r="L121" s="6" cm="1">
        <f t="array" ref="L121">_xlfn.SWITCH(Table13_2[[#This Row],[Performance Score]],"A",6,"B",5,"C",4,"D",3,"E",2,"F",1)</f>
        <v>5</v>
      </c>
      <c r="M121" s="5">
        <f t="shared" si="1"/>
        <v>65000</v>
      </c>
    </row>
    <row r="122" spans="1:13" x14ac:dyDescent="0.3">
      <c r="A122" t="s">
        <v>59</v>
      </c>
      <c r="B122" t="s">
        <v>63</v>
      </c>
      <c r="C122">
        <v>60000</v>
      </c>
      <c r="D122" t="s">
        <v>19</v>
      </c>
      <c r="E122" t="s">
        <v>20</v>
      </c>
      <c r="F122" t="s">
        <v>37</v>
      </c>
      <c r="G122" s="2" t="s">
        <v>55</v>
      </c>
      <c r="H122" t="s">
        <v>31</v>
      </c>
      <c r="I122" t="s">
        <v>32</v>
      </c>
      <c r="J122" t="s">
        <v>24</v>
      </c>
      <c r="K122" s="5" t="s">
        <v>33</v>
      </c>
      <c r="L122" s="6" cm="1">
        <f t="array" ref="L122">_xlfn.SWITCH(Table13_2[[#This Row],[Performance Score]],"A",6,"B",5,"C",4,"D",3,"E",2,"F",1)</f>
        <v>6</v>
      </c>
      <c r="M122" s="5">
        <f t="shared" si="1"/>
        <v>60000</v>
      </c>
    </row>
    <row r="123" spans="1:13" x14ac:dyDescent="0.3">
      <c r="A123" t="s">
        <v>59</v>
      </c>
      <c r="B123" t="s">
        <v>51</v>
      </c>
      <c r="C123">
        <v>55000</v>
      </c>
      <c r="D123" t="s">
        <v>19</v>
      </c>
      <c r="E123" t="s">
        <v>20</v>
      </c>
      <c r="F123" t="s">
        <v>14</v>
      </c>
      <c r="G123" s="2" t="s">
        <v>50</v>
      </c>
      <c r="H123" t="s">
        <v>22</v>
      </c>
      <c r="I123" t="s">
        <v>23</v>
      </c>
      <c r="J123" t="s">
        <v>24</v>
      </c>
      <c r="K123" s="5" t="s">
        <v>33</v>
      </c>
      <c r="L123" s="6" cm="1">
        <f t="array" ref="L123">_xlfn.SWITCH(Table13_2[[#This Row],[Performance Score]],"A",6,"B",5,"C",4,"D",3,"E",2,"F",1)</f>
        <v>1</v>
      </c>
      <c r="M123" s="5">
        <f t="shared" si="1"/>
        <v>55000</v>
      </c>
    </row>
    <row r="124" spans="1:13" x14ac:dyDescent="0.3">
      <c r="A124" t="s">
        <v>61</v>
      </c>
      <c r="B124">
        <v>25</v>
      </c>
      <c r="C124">
        <v>65000</v>
      </c>
      <c r="D124" t="s">
        <v>19</v>
      </c>
      <c r="E124" t="s">
        <v>26</v>
      </c>
      <c r="F124" t="s">
        <v>14</v>
      </c>
      <c r="G124" s="2" t="s">
        <v>55</v>
      </c>
      <c r="H124" t="s">
        <v>31</v>
      </c>
      <c r="I124" t="s">
        <v>39</v>
      </c>
      <c r="J124" t="s">
        <v>24</v>
      </c>
      <c r="K124" s="5" t="s">
        <v>36</v>
      </c>
      <c r="L124" s="6" cm="1">
        <f t="array" ref="L124">_xlfn.SWITCH(Table13_2[[#This Row],[Performance Score]],"A",6,"B",5,"C",4,"D",3,"E",2,"F",1)</f>
        <v>6</v>
      </c>
      <c r="M124" s="5">
        <f t="shared" si="1"/>
        <v>65000</v>
      </c>
    </row>
    <row r="125" spans="1:13" x14ac:dyDescent="0.3">
      <c r="A125" t="s">
        <v>49</v>
      </c>
      <c r="B125" t="s">
        <v>51</v>
      </c>
      <c r="C125">
        <v>0</v>
      </c>
      <c r="D125" t="s">
        <v>12</v>
      </c>
      <c r="E125" t="s">
        <v>20</v>
      </c>
      <c r="F125" t="s">
        <v>37</v>
      </c>
      <c r="G125" s="2">
        <v>43881</v>
      </c>
      <c r="H125" t="s">
        <v>22</v>
      </c>
      <c r="I125" t="s">
        <v>32</v>
      </c>
      <c r="J125" t="s">
        <v>28</v>
      </c>
      <c r="K125" s="5" t="s">
        <v>11</v>
      </c>
      <c r="L125" s="6" cm="1">
        <f t="array" ref="L125">_xlfn.SWITCH(Table13_2[[#This Row],[Performance Score]],"A",6,"B",5,"C",4,"D",3,"E",2,"F",1)</f>
        <v>1</v>
      </c>
      <c r="M125" s="5">
        <f t="shared" si="1"/>
        <v>48417.431192660551</v>
      </c>
    </row>
    <row r="126" spans="1:13" x14ac:dyDescent="0.3">
      <c r="A126" t="s">
        <v>66</v>
      </c>
      <c r="B126" t="s">
        <v>63</v>
      </c>
      <c r="C126">
        <v>55000</v>
      </c>
      <c r="D126" t="s">
        <v>19</v>
      </c>
      <c r="E126" t="s">
        <v>35</v>
      </c>
      <c r="F126" t="s">
        <v>37</v>
      </c>
      <c r="G126" s="2" t="s">
        <v>55</v>
      </c>
      <c r="H126" t="s">
        <v>27</v>
      </c>
      <c r="I126" t="s">
        <v>16</v>
      </c>
      <c r="J126" t="s">
        <v>17</v>
      </c>
      <c r="K126" s="5" t="s">
        <v>45</v>
      </c>
      <c r="L126" s="6" cm="1">
        <f t="array" ref="L126">_xlfn.SWITCH(Table13_2[[#This Row],[Performance Score]],"A",6,"B",5,"C",4,"D",3,"E",2,"F",1)</f>
        <v>4</v>
      </c>
      <c r="M126" s="5">
        <f t="shared" si="1"/>
        <v>55000</v>
      </c>
    </row>
    <row r="127" spans="1:13" x14ac:dyDescent="0.3">
      <c r="A127" t="s">
        <v>52</v>
      </c>
      <c r="B127">
        <v>40</v>
      </c>
      <c r="C127">
        <v>55000</v>
      </c>
      <c r="D127" t="s">
        <v>34</v>
      </c>
      <c r="E127" t="s">
        <v>30</v>
      </c>
      <c r="F127" t="s">
        <v>37</v>
      </c>
      <c r="G127" s="2">
        <v>43881</v>
      </c>
      <c r="H127" t="s">
        <v>31</v>
      </c>
      <c r="I127" t="s">
        <v>39</v>
      </c>
      <c r="J127" t="s">
        <v>42</v>
      </c>
      <c r="K127" s="5" t="s">
        <v>18</v>
      </c>
      <c r="L127" s="6" cm="1">
        <f t="array" ref="L127">_xlfn.SWITCH(Table13_2[[#This Row],[Performance Score]],"A",6,"B",5,"C",4,"D",3,"E",2,"F",1)</f>
        <v>6</v>
      </c>
      <c r="M127" s="5">
        <f t="shared" si="1"/>
        <v>55000</v>
      </c>
    </row>
    <row r="128" spans="1:13" x14ac:dyDescent="0.3">
      <c r="A128" t="s">
        <v>52</v>
      </c>
      <c r="B128">
        <v>25</v>
      </c>
      <c r="C128">
        <v>50000</v>
      </c>
      <c r="D128" t="s">
        <v>34</v>
      </c>
      <c r="E128" t="s">
        <v>20</v>
      </c>
      <c r="F128" t="s">
        <v>14</v>
      </c>
      <c r="G128" s="2">
        <v>43881</v>
      </c>
      <c r="H128" t="s">
        <v>15</v>
      </c>
      <c r="I128" t="s">
        <v>23</v>
      </c>
      <c r="J128" t="s">
        <v>28</v>
      </c>
      <c r="K128" s="5" t="s">
        <v>18</v>
      </c>
      <c r="L128" s="6" cm="1">
        <f t="array" ref="L128">_xlfn.SWITCH(Table13_2[[#This Row],[Performance Score]],"A",6,"B",5,"C",4,"D",3,"E",2,"F",1)</f>
        <v>3</v>
      </c>
      <c r="M128" s="5">
        <f t="shared" si="1"/>
        <v>50000</v>
      </c>
    </row>
    <row r="129" spans="1:13" x14ac:dyDescent="0.3">
      <c r="A129" t="s">
        <v>56</v>
      </c>
      <c r="B129">
        <v>25</v>
      </c>
      <c r="C129">
        <v>70000</v>
      </c>
      <c r="D129" t="s">
        <v>19</v>
      </c>
      <c r="E129" t="s">
        <v>20</v>
      </c>
      <c r="F129" t="s">
        <v>21</v>
      </c>
      <c r="G129" s="2" t="s">
        <v>55</v>
      </c>
      <c r="H129" t="s">
        <v>38</v>
      </c>
      <c r="I129" t="s">
        <v>32</v>
      </c>
      <c r="J129" t="s">
        <v>42</v>
      </c>
      <c r="K129" s="5" t="s">
        <v>29</v>
      </c>
      <c r="L129" s="6" cm="1">
        <f t="array" ref="L129">_xlfn.SWITCH(Table13_2[[#This Row],[Performance Score]],"A",6,"B",5,"C",4,"D",3,"E",2,"F",1)</f>
        <v>5</v>
      </c>
      <c r="M129" s="5">
        <f t="shared" si="1"/>
        <v>70000</v>
      </c>
    </row>
    <row r="130" spans="1:13" x14ac:dyDescent="0.3">
      <c r="A130" t="s">
        <v>49</v>
      </c>
      <c r="B130">
        <v>35</v>
      </c>
      <c r="C130">
        <v>65000</v>
      </c>
      <c r="D130" t="s">
        <v>34</v>
      </c>
      <c r="E130" t="s">
        <v>26</v>
      </c>
      <c r="F130" t="s">
        <v>37</v>
      </c>
      <c r="G130" s="2" t="s">
        <v>60</v>
      </c>
      <c r="H130" t="s">
        <v>15</v>
      </c>
      <c r="I130" t="s">
        <v>39</v>
      </c>
      <c r="J130" t="s">
        <v>17</v>
      </c>
      <c r="K130" s="5" t="s">
        <v>11</v>
      </c>
      <c r="L130" s="6" cm="1">
        <f t="array" ref="L130">_xlfn.SWITCH(Table13_2[[#This Row],[Performance Score]],"A",6,"B",5,"C",4,"D",3,"E",2,"F",1)</f>
        <v>3</v>
      </c>
      <c r="M130" s="5">
        <f t="shared" si="1"/>
        <v>65000</v>
      </c>
    </row>
    <row r="131" spans="1:13" x14ac:dyDescent="0.3">
      <c r="A131" t="s">
        <v>49</v>
      </c>
      <c r="B131">
        <v>35</v>
      </c>
      <c r="C131">
        <v>55000</v>
      </c>
      <c r="D131" t="s">
        <v>19</v>
      </c>
      <c r="E131" t="s">
        <v>35</v>
      </c>
      <c r="F131" t="s">
        <v>41</v>
      </c>
      <c r="G131" s="2" t="s">
        <v>55</v>
      </c>
      <c r="H131" t="s">
        <v>38</v>
      </c>
      <c r="I131" t="s">
        <v>16</v>
      </c>
      <c r="J131" t="s">
        <v>17</v>
      </c>
      <c r="K131" s="5" t="s">
        <v>11</v>
      </c>
      <c r="L131" s="6" cm="1">
        <f t="array" ref="L131">_xlfn.SWITCH(Table13_2[[#This Row],[Performance Score]],"A",6,"B",5,"C",4,"D",3,"E",2,"F",1)</f>
        <v>5</v>
      </c>
      <c r="M131" s="5">
        <f t="shared" ref="M131:M194" si="2">IF(C131=0,AVERAGEIF($E$2:$E$1001,E131,$C$2:$C$1001),C131)</f>
        <v>55000</v>
      </c>
    </row>
    <row r="132" spans="1:13" x14ac:dyDescent="0.3">
      <c r="A132" t="s">
        <v>52</v>
      </c>
      <c r="B132">
        <v>40</v>
      </c>
      <c r="C132">
        <v>50000</v>
      </c>
      <c r="D132" t="s">
        <v>34</v>
      </c>
      <c r="E132" t="s">
        <v>30</v>
      </c>
      <c r="F132" t="s">
        <v>37</v>
      </c>
      <c r="G132" s="2" t="s">
        <v>62</v>
      </c>
      <c r="H132" t="s">
        <v>31</v>
      </c>
      <c r="I132" t="s">
        <v>16</v>
      </c>
      <c r="J132" t="s">
        <v>24</v>
      </c>
      <c r="K132" s="5" t="s">
        <v>18</v>
      </c>
      <c r="L132" s="6" cm="1">
        <f t="array" ref="L132">_xlfn.SWITCH(Table13_2[[#This Row],[Performance Score]],"A",6,"B",5,"C",4,"D",3,"E",2,"F",1)</f>
        <v>6</v>
      </c>
      <c r="M132" s="5">
        <f t="shared" si="2"/>
        <v>50000</v>
      </c>
    </row>
    <row r="133" spans="1:13" x14ac:dyDescent="0.3">
      <c r="A133" t="s">
        <v>49</v>
      </c>
      <c r="B133">
        <v>50</v>
      </c>
      <c r="C133">
        <v>0</v>
      </c>
      <c r="D133" t="s">
        <v>12</v>
      </c>
      <c r="E133" t="s">
        <v>26</v>
      </c>
      <c r="F133" t="s">
        <v>40</v>
      </c>
      <c r="G133" s="2" t="s">
        <v>62</v>
      </c>
      <c r="H133" t="s">
        <v>31</v>
      </c>
      <c r="I133" t="s">
        <v>32</v>
      </c>
      <c r="J133" t="s">
        <v>42</v>
      </c>
      <c r="K133" s="5" t="s">
        <v>11</v>
      </c>
      <c r="L133" s="6" cm="1">
        <f t="array" ref="L133">_xlfn.SWITCH(Table13_2[[#This Row],[Performance Score]],"A",6,"B",5,"C",4,"D",3,"E",2,"F",1)</f>
        <v>6</v>
      </c>
      <c r="M133" s="5">
        <f t="shared" si="2"/>
        <v>50742.574257425746</v>
      </c>
    </row>
    <row r="134" spans="1:13" x14ac:dyDescent="0.3">
      <c r="A134" t="s">
        <v>61</v>
      </c>
      <c r="B134">
        <v>25</v>
      </c>
      <c r="C134">
        <v>60000</v>
      </c>
      <c r="D134" t="s">
        <v>12</v>
      </c>
      <c r="E134" t="s">
        <v>26</v>
      </c>
      <c r="F134" t="s">
        <v>37</v>
      </c>
      <c r="G134" s="2" t="s">
        <v>60</v>
      </c>
      <c r="H134" t="s">
        <v>38</v>
      </c>
      <c r="I134" t="s">
        <v>39</v>
      </c>
      <c r="J134" t="s">
        <v>28</v>
      </c>
      <c r="K134" s="5" t="s">
        <v>36</v>
      </c>
      <c r="L134" s="6" cm="1">
        <f t="array" ref="L134">_xlfn.SWITCH(Table13_2[[#This Row],[Performance Score]],"A",6,"B",5,"C",4,"D",3,"E",2,"F",1)</f>
        <v>5</v>
      </c>
      <c r="M134" s="5">
        <f t="shared" si="2"/>
        <v>60000</v>
      </c>
    </row>
    <row r="135" spans="1:13" x14ac:dyDescent="0.3">
      <c r="A135" t="s">
        <v>64</v>
      </c>
      <c r="B135">
        <v>40</v>
      </c>
      <c r="C135">
        <v>65000</v>
      </c>
      <c r="D135" t="s">
        <v>19</v>
      </c>
      <c r="E135" t="s">
        <v>35</v>
      </c>
      <c r="F135" t="s">
        <v>14</v>
      </c>
      <c r="G135" s="2">
        <v>43881</v>
      </c>
      <c r="H135" t="s">
        <v>27</v>
      </c>
      <c r="I135" t="s">
        <v>16</v>
      </c>
      <c r="J135" t="s">
        <v>42</v>
      </c>
      <c r="K135" s="5" t="s">
        <v>43</v>
      </c>
      <c r="L135" s="6" cm="1">
        <f t="array" ref="L135">_xlfn.SWITCH(Table13_2[[#This Row],[Performance Score]],"A",6,"B",5,"C",4,"D",3,"E",2,"F",1)</f>
        <v>4</v>
      </c>
      <c r="M135" s="5">
        <f t="shared" si="2"/>
        <v>65000</v>
      </c>
    </row>
    <row r="136" spans="1:13" x14ac:dyDescent="0.3">
      <c r="A136" t="s">
        <v>65</v>
      </c>
      <c r="B136">
        <v>35</v>
      </c>
      <c r="C136">
        <v>55000</v>
      </c>
      <c r="D136" t="s">
        <v>19</v>
      </c>
      <c r="E136" t="s">
        <v>30</v>
      </c>
      <c r="F136" t="s">
        <v>37</v>
      </c>
      <c r="G136" s="2" t="s">
        <v>60</v>
      </c>
      <c r="H136" t="s">
        <v>22</v>
      </c>
      <c r="I136" t="s">
        <v>23</v>
      </c>
      <c r="J136" t="s">
        <v>17</v>
      </c>
      <c r="K136" s="5" t="s">
        <v>44</v>
      </c>
      <c r="L136" s="6" cm="1">
        <f t="array" ref="L136">_xlfn.SWITCH(Table13_2[[#This Row],[Performance Score]],"A",6,"B",5,"C",4,"D",3,"E",2,"F",1)</f>
        <v>1</v>
      </c>
      <c r="M136" s="5">
        <f t="shared" si="2"/>
        <v>55000</v>
      </c>
    </row>
    <row r="137" spans="1:13" x14ac:dyDescent="0.3">
      <c r="A137" t="s">
        <v>59</v>
      </c>
      <c r="B137">
        <v>35</v>
      </c>
      <c r="C137">
        <v>70000</v>
      </c>
      <c r="D137" t="s">
        <v>19</v>
      </c>
      <c r="E137" t="s">
        <v>35</v>
      </c>
      <c r="F137" t="s">
        <v>40</v>
      </c>
      <c r="G137" s="2" t="s">
        <v>62</v>
      </c>
      <c r="H137" t="s">
        <v>15</v>
      </c>
      <c r="I137" t="s">
        <v>16</v>
      </c>
      <c r="J137" t="s">
        <v>24</v>
      </c>
      <c r="K137" s="5" t="s">
        <v>33</v>
      </c>
      <c r="L137" s="6" cm="1">
        <f t="array" ref="L137">_xlfn.SWITCH(Table13_2[[#This Row],[Performance Score]],"A",6,"B",5,"C",4,"D",3,"E",2,"F",1)</f>
        <v>3</v>
      </c>
      <c r="M137" s="5">
        <f t="shared" si="2"/>
        <v>70000</v>
      </c>
    </row>
    <row r="138" spans="1:13" x14ac:dyDescent="0.3">
      <c r="A138" t="s">
        <v>67</v>
      </c>
      <c r="B138">
        <v>25</v>
      </c>
      <c r="C138">
        <v>50000</v>
      </c>
      <c r="D138" t="s">
        <v>34</v>
      </c>
      <c r="E138" t="s">
        <v>30</v>
      </c>
      <c r="F138" t="s">
        <v>41</v>
      </c>
      <c r="G138" s="2" t="s">
        <v>60</v>
      </c>
      <c r="H138" t="s">
        <v>15</v>
      </c>
      <c r="I138" t="s">
        <v>39</v>
      </c>
      <c r="J138" t="s">
        <v>42</v>
      </c>
      <c r="K138" s="5" t="s">
        <v>46</v>
      </c>
      <c r="L138" s="6" cm="1">
        <f t="array" ref="L138">_xlfn.SWITCH(Table13_2[[#This Row],[Performance Score]],"A",6,"B",5,"C",4,"D",3,"E",2,"F",1)</f>
        <v>3</v>
      </c>
      <c r="M138" s="5">
        <f t="shared" si="2"/>
        <v>50000</v>
      </c>
    </row>
    <row r="139" spans="1:13" x14ac:dyDescent="0.3">
      <c r="A139" t="s">
        <v>56</v>
      </c>
      <c r="B139" t="s">
        <v>51</v>
      </c>
      <c r="C139">
        <v>55000</v>
      </c>
      <c r="D139" t="s">
        <v>19</v>
      </c>
      <c r="E139" t="s">
        <v>35</v>
      </c>
      <c r="F139" t="s">
        <v>21</v>
      </c>
      <c r="G139" s="2" t="s">
        <v>55</v>
      </c>
      <c r="H139" t="s">
        <v>15</v>
      </c>
      <c r="I139" t="s">
        <v>39</v>
      </c>
      <c r="J139" t="s">
        <v>17</v>
      </c>
      <c r="K139" s="5" t="s">
        <v>29</v>
      </c>
      <c r="L139" s="6" cm="1">
        <f t="array" ref="L139">_xlfn.SWITCH(Table13_2[[#This Row],[Performance Score]],"A",6,"B",5,"C",4,"D",3,"E",2,"F",1)</f>
        <v>3</v>
      </c>
      <c r="M139" s="5">
        <f t="shared" si="2"/>
        <v>55000</v>
      </c>
    </row>
    <row r="140" spans="1:13" x14ac:dyDescent="0.3">
      <c r="A140" t="s">
        <v>64</v>
      </c>
      <c r="B140" t="s">
        <v>63</v>
      </c>
      <c r="C140">
        <v>70000</v>
      </c>
      <c r="D140" t="s">
        <v>12</v>
      </c>
      <c r="E140" t="s">
        <v>26</v>
      </c>
      <c r="F140" t="s">
        <v>37</v>
      </c>
      <c r="G140" s="2" t="s">
        <v>60</v>
      </c>
      <c r="H140" t="s">
        <v>31</v>
      </c>
      <c r="I140" t="s">
        <v>39</v>
      </c>
      <c r="J140" t="s">
        <v>28</v>
      </c>
      <c r="K140" s="5" t="s">
        <v>43</v>
      </c>
      <c r="L140" s="6" cm="1">
        <f t="array" ref="L140">_xlfn.SWITCH(Table13_2[[#This Row],[Performance Score]],"A",6,"B",5,"C",4,"D",3,"E",2,"F",1)</f>
        <v>6</v>
      </c>
      <c r="M140" s="5">
        <f t="shared" si="2"/>
        <v>70000</v>
      </c>
    </row>
    <row r="141" spans="1:13" x14ac:dyDescent="0.3">
      <c r="A141" t="s">
        <v>52</v>
      </c>
      <c r="B141">
        <v>35</v>
      </c>
      <c r="C141">
        <v>55000</v>
      </c>
      <c r="D141" t="s">
        <v>34</v>
      </c>
      <c r="E141" t="s">
        <v>26</v>
      </c>
      <c r="F141" t="s">
        <v>40</v>
      </c>
      <c r="G141" s="2">
        <v>43881</v>
      </c>
      <c r="H141" t="s">
        <v>15</v>
      </c>
      <c r="I141" t="s">
        <v>32</v>
      </c>
      <c r="J141" t="s">
        <v>17</v>
      </c>
      <c r="K141" s="5" t="s">
        <v>18</v>
      </c>
      <c r="L141" s="6" cm="1">
        <f t="array" ref="L141">_xlfn.SWITCH(Table13_2[[#This Row],[Performance Score]],"A",6,"B",5,"C",4,"D",3,"E",2,"F",1)</f>
        <v>3</v>
      </c>
      <c r="M141" s="5">
        <f t="shared" si="2"/>
        <v>55000</v>
      </c>
    </row>
    <row r="142" spans="1:13" x14ac:dyDescent="0.3">
      <c r="A142" t="s">
        <v>59</v>
      </c>
      <c r="B142">
        <v>50</v>
      </c>
      <c r="C142">
        <v>65000</v>
      </c>
      <c r="D142" t="s">
        <v>19</v>
      </c>
      <c r="E142" t="s">
        <v>13</v>
      </c>
      <c r="F142" t="s">
        <v>40</v>
      </c>
      <c r="G142" s="2" t="s">
        <v>55</v>
      </c>
      <c r="H142" t="s">
        <v>22</v>
      </c>
      <c r="I142" t="s">
        <v>39</v>
      </c>
      <c r="J142" t="s">
        <v>28</v>
      </c>
      <c r="K142" s="5" t="s">
        <v>33</v>
      </c>
      <c r="L142" s="6" cm="1">
        <f t="array" ref="L142">_xlfn.SWITCH(Table13_2[[#This Row],[Performance Score]],"A",6,"B",5,"C",4,"D",3,"E",2,"F",1)</f>
        <v>1</v>
      </c>
      <c r="M142" s="5">
        <f t="shared" si="2"/>
        <v>65000</v>
      </c>
    </row>
    <row r="143" spans="1:13" x14ac:dyDescent="0.3">
      <c r="A143" t="s">
        <v>49</v>
      </c>
      <c r="B143">
        <v>50</v>
      </c>
      <c r="C143">
        <v>65000</v>
      </c>
      <c r="D143" t="s">
        <v>34</v>
      </c>
      <c r="E143" t="s">
        <v>20</v>
      </c>
      <c r="F143" t="s">
        <v>41</v>
      </c>
      <c r="G143" s="2" t="s">
        <v>50</v>
      </c>
      <c r="H143" t="s">
        <v>22</v>
      </c>
      <c r="I143" t="s">
        <v>16</v>
      </c>
      <c r="J143" t="s">
        <v>24</v>
      </c>
      <c r="K143" s="5" t="s">
        <v>11</v>
      </c>
      <c r="L143" s="6" cm="1">
        <f t="array" ref="L143">_xlfn.SWITCH(Table13_2[[#This Row],[Performance Score]],"A",6,"B",5,"C",4,"D",3,"E",2,"F",1)</f>
        <v>1</v>
      </c>
      <c r="M143" s="5">
        <f t="shared" si="2"/>
        <v>65000</v>
      </c>
    </row>
    <row r="144" spans="1:13" x14ac:dyDescent="0.3">
      <c r="A144" t="s">
        <v>67</v>
      </c>
      <c r="B144">
        <v>35</v>
      </c>
      <c r="C144">
        <v>65000</v>
      </c>
      <c r="D144" t="s">
        <v>34</v>
      </c>
      <c r="E144" t="s">
        <v>35</v>
      </c>
      <c r="F144" t="s">
        <v>14</v>
      </c>
      <c r="G144" s="2" t="s">
        <v>62</v>
      </c>
      <c r="H144" t="s">
        <v>38</v>
      </c>
      <c r="I144" t="s">
        <v>16</v>
      </c>
      <c r="J144" t="s">
        <v>28</v>
      </c>
      <c r="K144" s="5" t="s">
        <v>46</v>
      </c>
      <c r="L144" s="6" cm="1">
        <f t="array" ref="L144">_xlfn.SWITCH(Table13_2[[#This Row],[Performance Score]],"A",6,"B",5,"C",4,"D",3,"E",2,"F",1)</f>
        <v>5</v>
      </c>
      <c r="M144" s="5">
        <f t="shared" si="2"/>
        <v>65000</v>
      </c>
    </row>
    <row r="145" spans="1:13" x14ac:dyDescent="0.3">
      <c r="A145" t="s">
        <v>49</v>
      </c>
      <c r="B145" t="s">
        <v>51</v>
      </c>
      <c r="C145">
        <v>0</v>
      </c>
      <c r="D145" t="s">
        <v>19</v>
      </c>
      <c r="E145" t="s">
        <v>13</v>
      </c>
      <c r="F145" t="s">
        <v>37</v>
      </c>
      <c r="G145" s="2" t="s">
        <v>62</v>
      </c>
      <c r="H145" t="s">
        <v>31</v>
      </c>
      <c r="I145" t="s">
        <v>39</v>
      </c>
      <c r="J145" t="s">
        <v>28</v>
      </c>
      <c r="K145" s="5" t="s">
        <v>11</v>
      </c>
      <c r="L145" s="6" cm="1">
        <f t="array" ref="L145">_xlfn.SWITCH(Table13_2[[#This Row],[Performance Score]],"A",6,"B",5,"C",4,"D",3,"E",2,"F",1)</f>
        <v>6</v>
      </c>
      <c r="M145" s="5">
        <f t="shared" si="2"/>
        <v>51825</v>
      </c>
    </row>
    <row r="146" spans="1:13" x14ac:dyDescent="0.3">
      <c r="A146" t="s">
        <v>66</v>
      </c>
      <c r="B146" t="s">
        <v>51</v>
      </c>
      <c r="C146">
        <v>0</v>
      </c>
      <c r="D146" t="s">
        <v>34</v>
      </c>
      <c r="E146" t="s">
        <v>20</v>
      </c>
      <c r="F146" t="s">
        <v>40</v>
      </c>
      <c r="G146" s="2" t="s">
        <v>60</v>
      </c>
      <c r="H146" t="s">
        <v>22</v>
      </c>
      <c r="I146" t="s">
        <v>39</v>
      </c>
      <c r="J146" t="s">
        <v>28</v>
      </c>
      <c r="K146" s="5" t="s">
        <v>45</v>
      </c>
      <c r="L146" s="6" cm="1">
        <f t="array" ref="L146">_xlfn.SWITCH(Table13_2[[#This Row],[Performance Score]],"A",6,"B",5,"C",4,"D",3,"E",2,"F",1)</f>
        <v>1</v>
      </c>
      <c r="M146" s="5">
        <f t="shared" si="2"/>
        <v>48417.431192660551</v>
      </c>
    </row>
    <row r="147" spans="1:13" x14ac:dyDescent="0.3">
      <c r="A147" t="s">
        <v>66</v>
      </c>
      <c r="B147">
        <v>40</v>
      </c>
      <c r="C147">
        <v>50000</v>
      </c>
      <c r="D147" t="s">
        <v>12</v>
      </c>
      <c r="E147" t="s">
        <v>35</v>
      </c>
      <c r="F147" t="s">
        <v>41</v>
      </c>
      <c r="G147" s="2" t="s">
        <v>55</v>
      </c>
      <c r="H147" t="s">
        <v>27</v>
      </c>
      <c r="I147" t="s">
        <v>23</v>
      </c>
      <c r="J147" t="s">
        <v>28</v>
      </c>
      <c r="K147" s="5" t="s">
        <v>45</v>
      </c>
      <c r="L147" s="6" cm="1">
        <f t="array" ref="L147">_xlfn.SWITCH(Table13_2[[#This Row],[Performance Score]],"A",6,"B",5,"C",4,"D",3,"E",2,"F",1)</f>
        <v>4</v>
      </c>
      <c r="M147" s="5">
        <f t="shared" si="2"/>
        <v>50000</v>
      </c>
    </row>
    <row r="148" spans="1:13" x14ac:dyDescent="0.3">
      <c r="A148" t="s">
        <v>67</v>
      </c>
      <c r="B148">
        <v>50</v>
      </c>
      <c r="C148">
        <v>65000</v>
      </c>
      <c r="D148" t="s">
        <v>12</v>
      </c>
      <c r="E148" t="s">
        <v>30</v>
      </c>
      <c r="F148" t="s">
        <v>21</v>
      </c>
      <c r="G148" s="2" t="s">
        <v>50</v>
      </c>
      <c r="H148" t="s">
        <v>31</v>
      </c>
      <c r="I148" t="s">
        <v>39</v>
      </c>
      <c r="J148" t="s">
        <v>24</v>
      </c>
      <c r="K148" s="5" t="s">
        <v>46</v>
      </c>
      <c r="L148" s="6" cm="1">
        <f t="array" ref="L148">_xlfn.SWITCH(Table13_2[[#This Row],[Performance Score]],"A",6,"B",5,"C",4,"D",3,"E",2,"F",1)</f>
        <v>6</v>
      </c>
      <c r="M148" s="5">
        <f t="shared" si="2"/>
        <v>65000</v>
      </c>
    </row>
    <row r="149" spans="1:13" x14ac:dyDescent="0.3">
      <c r="A149" t="s">
        <v>67</v>
      </c>
      <c r="B149">
        <v>40</v>
      </c>
      <c r="C149">
        <v>70000</v>
      </c>
      <c r="D149" t="s">
        <v>34</v>
      </c>
      <c r="E149" t="s">
        <v>20</v>
      </c>
      <c r="F149" t="s">
        <v>40</v>
      </c>
      <c r="G149" s="2" t="s">
        <v>55</v>
      </c>
      <c r="H149" t="s">
        <v>31</v>
      </c>
      <c r="I149" t="s">
        <v>23</v>
      </c>
      <c r="J149" t="s">
        <v>17</v>
      </c>
      <c r="K149" s="5" t="s">
        <v>46</v>
      </c>
      <c r="L149" s="6" cm="1">
        <f t="array" ref="L149">_xlfn.SWITCH(Table13_2[[#This Row],[Performance Score]],"A",6,"B",5,"C",4,"D",3,"E",2,"F",1)</f>
        <v>6</v>
      </c>
      <c r="M149" s="5">
        <f t="shared" si="2"/>
        <v>70000</v>
      </c>
    </row>
    <row r="150" spans="1:13" x14ac:dyDescent="0.3">
      <c r="A150" t="s">
        <v>52</v>
      </c>
      <c r="B150">
        <v>50</v>
      </c>
      <c r="C150">
        <v>55000</v>
      </c>
      <c r="D150" t="s">
        <v>19</v>
      </c>
      <c r="E150" t="s">
        <v>26</v>
      </c>
      <c r="F150" t="s">
        <v>41</v>
      </c>
      <c r="G150" s="2" t="s">
        <v>62</v>
      </c>
      <c r="H150" t="s">
        <v>22</v>
      </c>
      <c r="I150" t="s">
        <v>16</v>
      </c>
      <c r="J150" t="s">
        <v>42</v>
      </c>
      <c r="K150" s="5" t="s">
        <v>18</v>
      </c>
      <c r="L150" s="6" cm="1">
        <f t="array" ref="L150">_xlfn.SWITCH(Table13_2[[#This Row],[Performance Score]],"A",6,"B",5,"C",4,"D",3,"E",2,"F",1)</f>
        <v>1</v>
      </c>
      <c r="M150" s="5">
        <f t="shared" si="2"/>
        <v>55000</v>
      </c>
    </row>
    <row r="151" spans="1:13" x14ac:dyDescent="0.3">
      <c r="A151" t="s">
        <v>67</v>
      </c>
      <c r="B151" t="s">
        <v>63</v>
      </c>
      <c r="C151">
        <v>60000</v>
      </c>
      <c r="D151" t="s">
        <v>34</v>
      </c>
      <c r="E151" t="s">
        <v>13</v>
      </c>
      <c r="F151" t="s">
        <v>14</v>
      </c>
      <c r="G151" s="2" t="s">
        <v>55</v>
      </c>
      <c r="H151" t="s">
        <v>27</v>
      </c>
      <c r="I151" t="s">
        <v>23</v>
      </c>
      <c r="J151" t="s">
        <v>17</v>
      </c>
      <c r="K151" s="5" t="s">
        <v>46</v>
      </c>
      <c r="L151" s="6" cm="1">
        <f t="array" ref="L151">_xlfn.SWITCH(Table13_2[[#This Row],[Performance Score]],"A",6,"B",5,"C",4,"D",3,"E",2,"F",1)</f>
        <v>4</v>
      </c>
      <c r="M151" s="5">
        <f t="shared" si="2"/>
        <v>60000</v>
      </c>
    </row>
    <row r="152" spans="1:13" x14ac:dyDescent="0.3">
      <c r="A152" t="s">
        <v>61</v>
      </c>
      <c r="B152" t="s">
        <v>63</v>
      </c>
      <c r="C152">
        <v>70000</v>
      </c>
      <c r="D152" t="s">
        <v>12</v>
      </c>
      <c r="E152" t="s">
        <v>20</v>
      </c>
      <c r="F152" t="s">
        <v>14</v>
      </c>
      <c r="G152" s="2" t="s">
        <v>50</v>
      </c>
      <c r="H152" t="s">
        <v>38</v>
      </c>
      <c r="I152" t="s">
        <v>23</v>
      </c>
      <c r="J152" t="s">
        <v>42</v>
      </c>
      <c r="K152" s="5" t="s">
        <v>36</v>
      </c>
      <c r="L152" s="6" cm="1">
        <f t="array" ref="L152">_xlfn.SWITCH(Table13_2[[#This Row],[Performance Score]],"A",6,"B",5,"C",4,"D",3,"E",2,"F",1)</f>
        <v>5</v>
      </c>
      <c r="M152" s="5">
        <f t="shared" si="2"/>
        <v>70000</v>
      </c>
    </row>
    <row r="153" spans="1:13" x14ac:dyDescent="0.3">
      <c r="A153" t="s">
        <v>49</v>
      </c>
      <c r="B153">
        <v>25</v>
      </c>
      <c r="C153">
        <v>0</v>
      </c>
      <c r="D153" t="s">
        <v>34</v>
      </c>
      <c r="E153" t="s">
        <v>20</v>
      </c>
      <c r="F153" t="s">
        <v>40</v>
      </c>
      <c r="G153" s="2" t="s">
        <v>60</v>
      </c>
      <c r="H153" t="s">
        <v>22</v>
      </c>
      <c r="I153" t="s">
        <v>32</v>
      </c>
      <c r="J153" t="s">
        <v>42</v>
      </c>
      <c r="K153" s="5" t="s">
        <v>11</v>
      </c>
      <c r="L153" s="6" cm="1">
        <f t="array" ref="L153">_xlfn.SWITCH(Table13_2[[#This Row],[Performance Score]],"A",6,"B",5,"C",4,"D",3,"E",2,"F",1)</f>
        <v>1</v>
      </c>
      <c r="M153" s="5">
        <f t="shared" si="2"/>
        <v>48417.431192660551</v>
      </c>
    </row>
    <row r="154" spans="1:13" x14ac:dyDescent="0.3">
      <c r="A154" t="s">
        <v>64</v>
      </c>
      <c r="B154">
        <v>40</v>
      </c>
      <c r="C154">
        <v>0</v>
      </c>
      <c r="D154" t="s">
        <v>34</v>
      </c>
      <c r="E154" t="s">
        <v>26</v>
      </c>
      <c r="F154" t="s">
        <v>40</v>
      </c>
      <c r="G154" s="2">
        <v>43881</v>
      </c>
      <c r="H154" t="s">
        <v>27</v>
      </c>
      <c r="I154" t="s">
        <v>39</v>
      </c>
      <c r="J154" t="s">
        <v>17</v>
      </c>
      <c r="K154" s="5" t="s">
        <v>43</v>
      </c>
      <c r="L154" s="6" cm="1">
        <f t="array" ref="L154">_xlfn.SWITCH(Table13_2[[#This Row],[Performance Score]],"A",6,"B",5,"C",4,"D",3,"E",2,"F",1)</f>
        <v>4</v>
      </c>
      <c r="M154" s="5">
        <f t="shared" si="2"/>
        <v>50742.574257425746</v>
      </c>
    </row>
    <row r="155" spans="1:13" x14ac:dyDescent="0.3">
      <c r="A155" t="s">
        <v>53</v>
      </c>
      <c r="B155">
        <v>35</v>
      </c>
      <c r="C155">
        <v>70000</v>
      </c>
      <c r="D155" t="s">
        <v>12</v>
      </c>
      <c r="E155" t="s">
        <v>35</v>
      </c>
      <c r="F155" t="s">
        <v>37</v>
      </c>
      <c r="G155" s="2" t="s">
        <v>55</v>
      </c>
      <c r="H155" t="s">
        <v>31</v>
      </c>
      <c r="I155" t="s">
        <v>23</v>
      </c>
      <c r="J155" t="s">
        <v>24</v>
      </c>
      <c r="K155" s="5" t="s">
        <v>25</v>
      </c>
      <c r="L155" s="6" cm="1">
        <f t="array" ref="L155">_xlfn.SWITCH(Table13_2[[#This Row],[Performance Score]],"A",6,"B",5,"C",4,"D",3,"E",2,"F",1)</f>
        <v>6</v>
      </c>
      <c r="M155" s="5">
        <f t="shared" si="2"/>
        <v>70000</v>
      </c>
    </row>
    <row r="156" spans="1:13" x14ac:dyDescent="0.3">
      <c r="A156" t="s">
        <v>67</v>
      </c>
      <c r="B156">
        <v>40</v>
      </c>
      <c r="C156">
        <v>0</v>
      </c>
      <c r="D156" t="s">
        <v>34</v>
      </c>
      <c r="E156" t="s">
        <v>30</v>
      </c>
      <c r="F156" t="s">
        <v>41</v>
      </c>
      <c r="G156" s="2">
        <v>43881</v>
      </c>
      <c r="H156" t="s">
        <v>27</v>
      </c>
      <c r="I156" t="s">
        <v>16</v>
      </c>
      <c r="J156" t="s">
        <v>17</v>
      </c>
      <c r="K156" s="5" t="s">
        <v>46</v>
      </c>
      <c r="L156" s="6" cm="1">
        <f t="array" ref="L156">_xlfn.SWITCH(Table13_2[[#This Row],[Performance Score]],"A",6,"B",5,"C",4,"D",3,"E",2,"F",1)</f>
        <v>4</v>
      </c>
      <c r="M156" s="5">
        <f t="shared" si="2"/>
        <v>50777.202072538857</v>
      </c>
    </row>
    <row r="157" spans="1:13" x14ac:dyDescent="0.3">
      <c r="A157" t="s">
        <v>56</v>
      </c>
      <c r="B157">
        <v>35</v>
      </c>
      <c r="C157">
        <v>65000</v>
      </c>
      <c r="D157" t="s">
        <v>34</v>
      </c>
      <c r="E157" t="s">
        <v>26</v>
      </c>
      <c r="F157" t="s">
        <v>40</v>
      </c>
      <c r="G157" s="2" t="s">
        <v>62</v>
      </c>
      <c r="H157" t="s">
        <v>31</v>
      </c>
      <c r="I157" t="s">
        <v>39</v>
      </c>
      <c r="J157" t="s">
        <v>24</v>
      </c>
      <c r="K157" s="5" t="s">
        <v>29</v>
      </c>
      <c r="L157" s="6" cm="1">
        <f t="array" ref="L157">_xlfn.SWITCH(Table13_2[[#This Row],[Performance Score]],"A",6,"B",5,"C",4,"D",3,"E",2,"F",1)</f>
        <v>6</v>
      </c>
      <c r="M157" s="5">
        <f t="shared" si="2"/>
        <v>65000</v>
      </c>
    </row>
    <row r="158" spans="1:13" x14ac:dyDescent="0.3">
      <c r="A158" t="s">
        <v>66</v>
      </c>
      <c r="B158" t="s">
        <v>51</v>
      </c>
      <c r="C158">
        <v>50000</v>
      </c>
      <c r="D158" t="s">
        <v>19</v>
      </c>
      <c r="E158" t="s">
        <v>30</v>
      </c>
      <c r="F158" t="s">
        <v>37</v>
      </c>
      <c r="G158" s="2" t="s">
        <v>60</v>
      </c>
      <c r="H158" t="s">
        <v>22</v>
      </c>
      <c r="I158" t="s">
        <v>23</v>
      </c>
      <c r="J158" t="s">
        <v>42</v>
      </c>
      <c r="K158" s="5" t="s">
        <v>45</v>
      </c>
      <c r="L158" s="6" cm="1">
        <f t="array" ref="L158">_xlfn.SWITCH(Table13_2[[#This Row],[Performance Score]],"A",6,"B",5,"C",4,"D",3,"E",2,"F",1)</f>
        <v>1</v>
      </c>
      <c r="M158" s="5">
        <f t="shared" si="2"/>
        <v>50000</v>
      </c>
    </row>
    <row r="159" spans="1:13" x14ac:dyDescent="0.3">
      <c r="A159" t="s">
        <v>61</v>
      </c>
      <c r="B159">
        <v>40</v>
      </c>
      <c r="C159">
        <v>55000</v>
      </c>
      <c r="D159" t="s">
        <v>19</v>
      </c>
      <c r="E159" t="s">
        <v>35</v>
      </c>
      <c r="F159" t="s">
        <v>37</v>
      </c>
      <c r="G159" s="2" t="s">
        <v>60</v>
      </c>
      <c r="H159" t="s">
        <v>22</v>
      </c>
      <c r="I159" t="s">
        <v>39</v>
      </c>
      <c r="J159" t="s">
        <v>24</v>
      </c>
      <c r="K159" s="5" t="s">
        <v>36</v>
      </c>
      <c r="L159" s="6" cm="1">
        <f t="array" ref="L159">_xlfn.SWITCH(Table13_2[[#This Row],[Performance Score]],"A",6,"B",5,"C",4,"D",3,"E",2,"F",1)</f>
        <v>1</v>
      </c>
      <c r="M159" s="5">
        <f t="shared" si="2"/>
        <v>55000</v>
      </c>
    </row>
    <row r="160" spans="1:13" x14ac:dyDescent="0.3">
      <c r="A160" t="s">
        <v>59</v>
      </c>
      <c r="B160" t="s">
        <v>51</v>
      </c>
      <c r="C160">
        <v>50000</v>
      </c>
      <c r="D160" t="s">
        <v>12</v>
      </c>
      <c r="E160" t="s">
        <v>20</v>
      </c>
      <c r="F160" t="s">
        <v>40</v>
      </c>
      <c r="G160" s="2" t="s">
        <v>55</v>
      </c>
      <c r="H160" t="s">
        <v>15</v>
      </c>
      <c r="I160" t="s">
        <v>32</v>
      </c>
      <c r="J160" t="s">
        <v>17</v>
      </c>
      <c r="K160" s="5" t="s">
        <v>33</v>
      </c>
      <c r="L160" s="6" cm="1">
        <f t="array" ref="L160">_xlfn.SWITCH(Table13_2[[#This Row],[Performance Score]],"A",6,"B",5,"C",4,"D",3,"E",2,"F",1)</f>
        <v>3</v>
      </c>
      <c r="M160" s="5">
        <f t="shared" si="2"/>
        <v>50000</v>
      </c>
    </row>
    <row r="161" spans="1:13" x14ac:dyDescent="0.3">
      <c r="A161" t="s">
        <v>53</v>
      </c>
      <c r="B161" t="s">
        <v>63</v>
      </c>
      <c r="C161">
        <v>55000</v>
      </c>
      <c r="D161" t="s">
        <v>12</v>
      </c>
      <c r="E161" t="s">
        <v>30</v>
      </c>
      <c r="F161" t="s">
        <v>14</v>
      </c>
      <c r="G161" s="2" t="s">
        <v>60</v>
      </c>
      <c r="H161" t="s">
        <v>15</v>
      </c>
      <c r="I161" t="s">
        <v>16</v>
      </c>
      <c r="J161" t="s">
        <v>17</v>
      </c>
      <c r="K161" s="5" t="s">
        <v>25</v>
      </c>
      <c r="L161" s="6" cm="1">
        <f t="array" ref="L161">_xlfn.SWITCH(Table13_2[[#This Row],[Performance Score]],"A",6,"B",5,"C",4,"D",3,"E",2,"F",1)</f>
        <v>3</v>
      </c>
      <c r="M161" s="5">
        <f t="shared" si="2"/>
        <v>55000</v>
      </c>
    </row>
    <row r="162" spans="1:13" x14ac:dyDescent="0.3">
      <c r="A162" t="s">
        <v>64</v>
      </c>
      <c r="B162" t="s">
        <v>63</v>
      </c>
      <c r="C162">
        <v>55000</v>
      </c>
      <c r="D162" t="s">
        <v>12</v>
      </c>
      <c r="E162" t="s">
        <v>13</v>
      </c>
      <c r="F162" t="s">
        <v>41</v>
      </c>
      <c r="G162" s="2" t="s">
        <v>55</v>
      </c>
      <c r="H162" t="s">
        <v>15</v>
      </c>
      <c r="I162" t="s">
        <v>32</v>
      </c>
      <c r="J162" t="s">
        <v>17</v>
      </c>
      <c r="K162" s="5" t="s">
        <v>43</v>
      </c>
      <c r="L162" s="6" cm="1">
        <f t="array" ref="L162">_xlfn.SWITCH(Table13_2[[#This Row],[Performance Score]],"A",6,"B",5,"C",4,"D",3,"E",2,"F",1)</f>
        <v>3</v>
      </c>
      <c r="M162" s="5">
        <f t="shared" si="2"/>
        <v>55000</v>
      </c>
    </row>
    <row r="163" spans="1:13" x14ac:dyDescent="0.3">
      <c r="A163" t="s">
        <v>53</v>
      </c>
      <c r="B163">
        <v>25</v>
      </c>
      <c r="C163">
        <v>50000</v>
      </c>
      <c r="D163" t="s">
        <v>19</v>
      </c>
      <c r="E163" t="s">
        <v>13</v>
      </c>
      <c r="F163" t="s">
        <v>41</v>
      </c>
      <c r="G163" s="2" t="s">
        <v>55</v>
      </c>
      <c r="H163" t="s">
        <v>22</v>
      </c>
      <c r="I163" t="s">
        <v>39</v>
      </c>
      <c r="J163" t="s">
        <v>42</v>
      </c>
      <c r="K163" s="5" t="s">
        <v>25</v>
      </c>
      <c r="L163" s="6" cm="1">
        <f t="array" ref="L163">_xlfn.SWITCH(Table13_2[[#This Row],[Performance Score]],"A",6,"B",5,"C",4,"D",3,"E",2,"F",1)</f>
        <v>1</v>
      </c>
      <c r="M163" s="5">
        <f t="shared" si="2"/>
        <v>50000</v>
      </c>
    </row>
    <row r="164" spans="1:13" x14ac:dyDescent="0.3">
      <c r="A164" t="s">
        <v>67</v>
      </c>
      <c r="B164">
        <v>40</v>
      </c>
      <c r="C164">
        <v>70000</v>
      </c>
      <c r="D164" t="s">
        <v>12</v>
      </c>
      <c r="E164" t="s">
        <v>26</v>
      </c>
      <c r="F164" t="s">
        <v>14</v>
      </c>
      <c r="G164" s="2">
        <v>43881</v>
      </c>
      <c r="H164" t="s">
        <v>38</v>
      </c>
      <c r="I164" t="s">
        <v>23</v>
      </c>
      <c r="J164" t="s">
        <v>17</v>
      </c>
      <c r="K164" s="5" t="s">
        <v>46</v>
      </c>
      <c r="L164" s="6" cm="1">
        <f t="array" ref="L164">_xlfn.SWITCH(Table13_2[[#This Row],[Performance Score]],"A",6,"B",5,"C",4,"D",3,"E",2,"F",1)</f>
        <v>5</v>
      </c>
      <c r="M164" s="5">
        <f t="shared" si="2"/>
        <v>70000</v>
      </c>
    </row>
    <row r="165" spans="1:13" x14ac:dyDescent="0.3">
      <c r="A165" t="s">
        <v>52</v>
      </c>
      <c r="B165" t="s">
        <v>51</v>
      </c>
      <c r="C165">
        <v>55000</v>
      </c>
      <c r="D165" t="s">
        <v>12</v>
      </c>
      <c r="E165" t="s">
        <v>35</v>
      </c>
      <c r="F165" t="s">
        <v>40</v>
      </c>
      <c r="G165" s="2" t="s">
        <v>60</v>
      </c>
      <c r="H165" t="s">
        <v>22</v>
      </c>
      <c r="I165" t="s">
        <v>23</v>
      </c>
      <c r="J165" t="s">
        <v>42</v>
      </c>
      <c r="K165" s="5" t="s">
        <v>18</v>
      </c>
      <c r="L165" s="6" cm="1">
        <f t="array" ref="L165">_xlfn.SWITCH(Table13_2[[#This Row],[Performance Score]],"A",6,"B",5,"C",4,"D",3,"E",2,"F",1)</f>
        <v>1</v>
      </c>
      <c r="M165" s="5">
        <f t="shared" si="2"/>
        <v>55000</v>
      </c>
    </row>
    <row r="166" spans="1:13" x14ac:dyDescent="0.3">
      <c r="A166" t="s">
        <v>66</v>
      </c>
      <c r="B166">
        <v>35</v>
      </c>
      <c r="C166">
        <v>50000</v>
      </c>
      <c r="D166" t="s">
        <v>12</v>
      </c>
      <c r="E166" t="s">
        <v>26</v>
      </c>
      <c r="F166" t="s">
        <v>41</v>
      </c>
      <c r="G166" s="2" t="s">
        <v>55</v>
      </c>
      <c r="H166" t="s">
        <v>27</v>
      </c>
      <c r="I166" t="s">
        <v>39</v>
      </c>
      <c r="J166" t="s">
        <v>17</v>
      </c>
      <c r="K166" s="5" t="s">
        <v>45</v>
      </c>
      <c r="L166" s="6" cm="1">
        <f t="array" ref="L166">_xlfn.SWITCH(Table13_2[[#This Row],[Performance Score]],"A",6,"B",5,"C",4,"D",3,"E",2,"F",1)</f>
        <v>4</v>
      </c>
      <c r="M166" s="5">
        <f t="shared" si="2"/>
        <v>50000</v>
      </c>
    </row>
    <row r="167" spans="1:13" x14ac:dyDescent="0.3">
      <c r="A167" t="s">
        <v>66</v>
      </c>
      <c r="B167" t="s">
        <v>63</v>
      </c>
      <c r="C167">
        <v>55000</v>
      </c>
      <c r="D167" t="s">
        <v>19</v>
      </c>
      <c r="E167" t="s">
        <v>26</v>
      </c>
      <c r="F167" t="s">
        <v>40</v>
      </c>
      <c r="G167" s="2">
        <v>43881</v>
      </c>
      <c r="H167" t="s">
        <v>22</v>
      </c>
      <c r="I167" t="s">
        <v>23</v>
      </c>
      <c r="J167" t="s">
        <v>42</v>
      </c>
      <c r="K167" s="5" t="s">
        <v>45</v>
      </c>
      <c r="L167" s="6" cm="1">
        <f t="array" ref="L167">_xlfn.SWITCH(Table13_2[[#This Row],[Performance Score]],"A",6,"B",5,"C",4,"D",3,"E",2,"F",1)</f>
        <v>1</v>
      </c>
      <c r="M167" s="5">
        <f t="shared" si="2"/>
        <v>55000</v>
      </c>
    </row>
    <row r="168" spans="1:13" x14ac:dyDescent="0.3">
      <c r="A168" t="s">
        <v>59</v>
      </c>
      <c r="B168" t="s">
        <v>63</v>
      </c>
      <c r="C168">
        <v>60000</v>
      </c>
      <c r="D168" t="s">
        <v>34</v>
      </c>
      <c r="E168" t="s">
        <v>26</v>
      </c>
      <c r="F168" t="s">
        <v>40</v>
      </c>
      <c r="G168" s="2" t="s">
        <v>50</v>
      </c>
      <c r="H168" t="s">
        <v>22</v>
      </c>
      <c r="I168" t="s">
        <v>16</v>
      </c>
      <c r="J168" t="s">
        <v>17</v>
      </c>
      <c r="K168" s="5" t="s">
        <v>33</v>
      </c>
      <c r="L168" s="6" cm="1">
        <f t="array" ref="L168">_xlfn.SWITCH(Table13_2[[#This Row],[Performance Score]],"A",6,"B",5,"C",4,"D",3,"E",2,"F",1)</f>
        <v>1</v>
      </c>
      <c r="M168" s="5">
        <f t="shared" si="2"/>
        <v>60000</v>
      </c>
    </row>
    <row r="169" spans="1:13" x14ac:dyDescent="0.3">
      <c r="A169" t="s">
        <v>52</v>
      </c>
      <c r="B169">
        <v>35</v>
      </c>
      <c r="C169">
        <v>70000</v>
      </c>
      <c r="D169" t="s">
        <v>12</v>
      </c>
      <c r="E169" t="s">
        <v>13</v>
      </c>
      <c r="F169" t="s">
        <v>37</v>
      </c>
      <c r="G169" s="2">
        <v>43881</v>
      </c>
      <c r="H169" t="s">
        <v>31</v>
      </c>
      <c r="I169" t="s">
        <v>39</v>
      </c>
      <c r="J169" t="s">
        <v>17</v>
      </c>
      <c r="K169" s="5" t="s">
        <v>18</v>
      </c>
      <c r="L169" s="6" cm="1">
        <f t="array" ref="L169">_xlfn.SWITCH(Table13_2[[#This Row],[Performance Score]],"A",6,"B",5,"C",4,"D",3,"E",2,"F",1)</f>
        <v>6</v>
      </c>
      <c r="M169" s="5">
        <f t="shared" si="2"/>
        <v>70000</v>
      </c>
    </row>
    <row r="170" spans="1:13" x14ac:dyDescent="0.3">
      <c r="A170" t="s">
        <v>49</v>
      </c>
      <c r="B170" t="s">
        <v>51</v>
      </c>
      <c r="C170">
        <v>65000</v>
      </c>
      <c r="D170" t="s">
        <v>34</v>
      </c>
      <c r="E170" t="s">
        <v>13</v>
      </c>
      <c r="F170" t="s">
        <v>14</v>
      </c>
      <c r="G170" s="2">
        <v>43881</v>
      </c>
      <c r="H170" t="s">
        <v>31</v>
      </c>
      <c r="I170" t="s">
        <v>32</v>
      </c>
      <c r="J170" t="s">
        <v>42</v>
      </c>
      <c r="K170" s="5" t="s">
        <v>11</v>
      </c>
      <c r="L170" s="6" cm="1">
        <f t="array" ref="L170">_xlfn.SWITCH(Table13_2[[#This Row],[Performance Score]],"A",6,"B",5,"C",4,"D",3,"E",2,"F",1)</f>
        <v>6</v>
      </c>
      <c r="M170" s="5">
        <f t="shared" si="2"/>
        <v>65000</v>
      </c>
    </row>
    <row r="171" spans="1:13" x14ac:dyDescent="0.3">
      <c r="A171" t="s">
        <v>65</v>
      </c>
      <c r="B171" t="s">
        <v>51</v>
      </c>
      <c r="C171">
        <v>55000</v>
      </c>
      <c r="D171" t="s">
        <v>12</v>
      </c>
      <c r="E171" t="s">
        <v>26</v>
      </c>
      <c r="F171" t="s">
        <v>40</v>
      </c>
      <c r="G171" s="2" t="s">
        <v>55</v>
      </c>
      <c r="H171" t="s">
        <v>31</v>
      </c>
      <c r="I171" t="s">
        <v>39</v>
      </c>
      <c r="J171" t="s">
        <v>17</v>
      </c>
      <c r="K171" s="5" t="s">
        <v>44</v>
      </c>
      <c r="L171" s="6" cm="1">
        <f t="array" ref="L171">_xlfn.SWITCH(Table13_2[[#This Row],[Performance Score]],"A",6,"B",5,"C",4,"D",3,"E",2,"F",1)</f>
        <v>6</v>
      </c>
      <c r="M171" s="5">
        <f t="shared" si="2"/>
        <v>55000</v>
      </c>
    </row>
    <row r="172" spans="1:13" x14ac:dyDescent="0.3">
      <c r="A172" t="s">
        <v>61</v>
      </c>
      <c r="B172">
        <v>40</v>
      </c>
      <c r="C172">
        <v>60000</v>
      </c>
      <c r="D172" t="s">
        <v>34</v>
      </c>
      <c r="E172" t="s">
        <v>13</v>
      </c>
      <c r="F172" t="s">
        <v>21</v>
      </c>
      <c r="G172" s="2" t="s">
        <v>62</v>
      </c>
      <c r="H172" t="s">
        <v>22</v>
      </c>
      <c r="I172" t="s">
        <v>23</v>
      </c>
      <c r="J172" t="s">
        <v>17</v>
      </c>
      <c r="K172" s="5" t="s">
        <v>36</v>
      </c>
      <c r="L172" s="6" cm="1">
        <f t="array" ref="L172">_xlfn.SWITCH(Table13_2[[#This Row],[Performance Score]],"A",6,"B",5,"C",4,"D",3,"E",2,"F",1)</f>
        <v>1</v>
      </c>
      <c r="M172" s="5">
        <f t="shared" si="2"/>
        <v>60000</v>
      </c>
    </row>
    <row r="173" spans="1:13" x14ac:dyDescent="0.3">
      <c r="A173" t="s">
        <v>66</v>
      </c>
      <c r="B173">
        <v>40</v>
      </c>
      <c r="C173">
        <v>65000</v>
      </c>
      <c r="D173" t="s">
        <v>19</v>
      </c>
      <c r="E173" t="s">
        <v>35</v>
      </c>
      <c r="F173" t="s">
        <v>14</v>
      </c>
      <c r="G173" s="2" t="s">
        <v>62</v>
      </c>
      <c r="H173" t="s">
        <v>38</v>
      </c>
      <c r="I173" t="s">
        <v>32</v>
      </c>
      <c r="J173" t="s">
        <v>42</v>
      </c>
      <c r="K173" s="5" t="s">
        <v>45</v>
      </c>
      <c r="L173" s="6" cm="1">
        <f t="array" ref="L173">_xlfn.SWITCH(Table13_2[[#This Row],[Performance Score]],"A",6,"B",5,"C",4,"D",3,"E",2,"F",1)</f>
        <v>5</v>
      </c>
      <c r="M173" s="5">
        <f t="shared" si="2"/>
        <v>65000</v>
      </c>
    </row>
    <row r="174" spans="1:13" x14ac:dyDescent="0.3">
      <c r="A174" t="s">
        <v>56</v>
      </c>
      <c r="B174">
        <v>50</v>
      </c>
      <c r="C174">
        <v>65000</v>
      </c>
      <c r="D174" t="s">
        <v>19</v>
      </c>
      <c r="E174" t="s">
        <v>26</v>
      </c>
      <c r="F174" t="s">
        <v>41</v>
      </c>
      <c r="G174" s="2" t="s">
        <v>62</v>
      </c>
      <c r="H174" t="s">
        <v>27</v>
      </c>
      <c r="I174" t="s">
        <v>39</v>
      </c>
      <c r="J174" t="s">
        <v>17</v>
      </c>
      <c r="K174" s="5" t="s">
        <v>29</v>
      </c>
      <c r="L174" s="6" cm="1">
        <f t="array" ref="L174">_xlfn.SWITCH(Table13_2[[#This Row],[Performance Score]],"A",6,"B",5,"C",4,"D",3,"E",2,"F",1)</f>
        <v>4</v>
      </c>
      <c r="M174" s="5">
        <f t="shared" si="2"/>
        <v>65000</v>
      </c>
    </row>
    <row r="175" spans="1:13" x14ac:dyDescent="0.3">
      <c r="A175" t="s">
        <v>66</v>
      </c>
      <c r="B175">
        <v>50</v>
      </c>
      <c r="C175">
        <v>55000</v>
      </c>
      <c r="D175" t="s">
        <v>12</v>
      </c>
      <c r="E175" t="s">
        <v>13</v>
      </c>
      <c r="F175" t="s">
        <v>37</v>
      </c>
      <c r="G175" s="2">
        <v>43881</v>
      </c>
      <c r="H175" t="s">
        <v>27</v>
      </c>
      <c r="I175" t="s">
        <v>39</v>
      </c>
      <c r="J175" t="s">
        <v>17</v>
      </c>
      <c r="K175" s="5" t="s">
        <v>45</v>
      </c>
      <c r="L175" s="6" cm="1">
        <f t="array" ref="L175">_xlfn.SWITCH(Table13_2[[#This Row],[Performance Score]],"A",6,"B",5,"C",4,"D",3,"E",2,"F",1)</f>
        <v>4</v>
      </c>
      <c r="M175" s="5">
        <f t="shared" si="2"/>
        <v>55000</v>
      </c>
    </row>
    <row r="176" spans="1:13" x14ac:dyDescent="0.3">
      <c r="A176" t="s">
        <v>53</v>
      </c>
      <c r="B176">
        <v>25</v>
      </c>
      <c r="C176">
        <v>50000</v>
      </c>
      <c r="D176" t="s">
        <v>34</v>
      </c>
      <c r="E176" t="s">
        <v>30</v>
      </c>
      <c r="F176" t="s">
        <v>41</v>
      </c>
      <c r="G176" s="2" t="s">
        <v>55</v>
      </c>
      <c r="H176" t="s">
        <v>38</v>
      </c>
      <c r="I176" t="s">
        <v>32</v>
      </c>
      <c r="J176" t="s">
        <v>17</v>
      </c>
      <c r="K176" s="5" t="s">
        <v>25</v>
      </c>
      <c r="L176" s="6" cm="1">
        <f t="array" ref="L176">_xlfn.SWITCH(Table13_2[[#This Row],[Performance Score]],"A",6,"B",5,"C",4,"D",3,"E",2,"F",1)</f>
        <v>5</v>
      </c>
      <c r="M176" s="5">
        <f t="shared" si="2"/>
        <v>50000</v>
      </c>
    </row>
    <row r="177" spans="1:13" x14ac:dyDescent="0.3">
      <c r="A177" t="s">
        <v>66</v>
      </c>
      <c r="B177" t="s">
        <v>63</v>
      </c>
      <c r="C177">
        <v>55000</v>
      </c>
      <c r="D177" t="s">
        <v>19</v>
      </c>
      <c r="E177" t="s">
        <v>26</v>
      </c>
      <c r="F177" t="s">
        <v>41</v>
      </c>
      <c r="G177" s="2" t="s">
        <v>60</v>
      </c>
      <c r="H177" t="s">
        <v>38</v>
      </c>
      <c r="I177" t="s">
        <v>32</v>
      </c>
      <c r="J177" t="s">
        <v>17</v>
      </c>
      <c r="K177" s="5" t="s">
        <v>45</v>
      </c>
      <c r="L177" s="6" cm="1">
        <f t="array" ref="L177">_xlfn.SWITCH(Table13_2[[#This Row],[Performance Score]],"A",6,"B",5,"C",4,"D",3,"E",2,"F",1)</f>
        <v>5</v>
      </c>
      <c r="M177" s="5">
        <f t="shared" si="2"/>
        <v>55000</v>
      </c>
    </row>
    <row r="178" spans="1:13" x14ac:dyDescent="0.3">
      <c r="A178" t="s">
        <v>66</v>
      </c>
      <c r="B178">
        <v>40</v>
      </c>
      <c r="C178">
        <v>60000</v>
      </c>
      <c r="D178" t="s">
        <v>12</v>
      </c>
      <c r="E178" t="s">
        <v>26</v>
      </c>
      <c r="F178" t="s">
        <v>14</v>
      </c>
      <c r="G178" s="2">
        <v>43881</v>
      </c>
      <c r="H178" t="s">
        <v>27</v>
      </c>
      <c r="I178" t="s">
        <v>32</v>
      </c>
      <c r="J178" t="s">
        <v>17</v>
      </c>
      <c r="K178" s="5" t="s">
        <v>45</v>
      </c>
      <c r="L178" s="6" cm="1">
        <f t="array" ref="L178">_xlfn.SWITCH(Table13_2[[#This Row],[Performance Score]],"A",6,"B",5,"C",4,"D",3,"E",2,"F",1)</f>
        <v>4</v>
      </c>
      <c r="M178" s="5">
        <f t="shared" si="2"/>
        <v>60000</v>
      </c>
    </row>
    <row r="179" spans="1:13" x14ac:dyDescent="0.3">
      <c r="A179" t="s">
        <v>65</v>
      </c>
      <c r="B179" t="s">
        <v>51</v>
      </c>
      <c r="C179">
        <v>65000</v>
      </c>
      <c r="D179" t="s">
        <v>12</v>
      </c>
      <c r="E179" t="s">
        <v>35</v>
      </c>
      <c r="F179" t="s">
        <v>41</v>
      </c>
      <c r="G179" s="2">
        <v>43881</v>
      </c>
      <c r="H179" t="s">
        <v>15</v>
      </c>
      <c r="I179" t="s">
        <v>16</v>
      </c>
      <c r="J179" t="s">
        <v>42</v>
      </c>
      <c r="K179" s="5" t="s">
        <v>44</v>
      </c>
      <c r="L179" s="6" cm="1">
        <f t="array" ref="L179">_xlfn.SWITCH(Table13_2[[#This Row],[Performance Score]],"A",6,"B",5,"C",4,"D",3,"E",2,"F",1)</f>
        <v>3</v>
      </c>
      <c r="M179" s="5">
        <f t="shared" si="2"/>
        <v>65000</v>
      </c>
    </row>
    <row r="180" spans="1:13" x14ac:dyDescent="0.3">
      <c r="A180" t="s">
        <v>65</v>
      </c>
      <c r="B180">
        <v>35</v>
      </c>
      <c r="C180">
        <v>55000</v>
      </c>
      <c r="D180" t="s">
        <v>19</v>
      </c>
      <c r="E180" t="s">
        <v>20</v>
      </c>
      <c r="F180" t="s">
        <v>40</v>
      </c>
      <c r="G180" s="2" t="s">
        <v>55</v>
      </c>
      <c r="H180" t="s">
        <v>31</v>
      </c>
      <c r="I180" t="s">
        <v>39</v>
      </c>
      <c r="J180" t="s">
        <v>17</v>
      </c>
      <c r="K180" s="5" t="s">
        <v>44</v>
      </c>
      <c r="L180" s="6" cm="1">
        <f t="array" ref="L180">_xlfn.SWITCH(Table13_2[[#This Row],[Performance Score]],"A",6,"B",5,"C",4,"D",3,"E",2,"F",1)</f>
        <v>6</v>
      </c>
      <c r="M180" s="5">
        <f t="shared" si="2"/>
        <v>55000</v>
      </c>
    </row>
    <row r="181" spans="1:13" x14ac:dyDescent="0.3">
      <c r="A181" t="s">
        <v>64</v>
      </c>
      <c r="B181" t="s">
        <v>51</v>
      </c>
      <c r="C181">
        <v>50000</v>
      </c>
      <c r="D181" t="s">
        <v>19</v>
      </c>
      <c r="E181" t="s">
        <v>20</v>
      </c>
      <c r="F181" t="s">
        <v>41</v>
      </c>
      <c r="G181" s="2" t="s">
        <v>50</v>
      </c>
      <c r="H181" t="s">
        <v>31</v>
      </c>
      <c r="I181" t="s">
        <v>32</v>
      </c>
      <c r="J181" t="s">
        <v>17</v>
      </c>
      <c r="K181" s="5" t="s">
        <v>43</v>
      </c>
      <c r="L181" s="6" cm="1">
        <f t="array" ref="L181">_xlfn.SWITCH(Table13_2[[#This Row],[Performance Score]],"A",6,"B",5,"C",4,"D",3,"E",2,"F",1)</f>
        <v>6</v>
      </c>
      <c r="M181" s="5">
        <f t="shared" si="2"/>
        <v>50000</v>
      </c>
    </row>
    <row r="182" spans="1:13" x14ac:dyDescent="0.3">
      <c r="A182" t="s">
        <v>49</v>
      </c>
      <c r="B182" t="s">
        <v>63</v>
      </c>
      <c r="C182">
        <v>55000</v>
      </c>
      <c r="D182" t="s">
        <v>12</v>
      </c>
      <c r="E182" t="s">
        <v>35</v>
      </c>
      <c r="F182" t="s">
        <v>37</v>
      </c>
      <c r="G182" s="2">
        <v>43881</v>
      </c>
      <c r="H182" t="s">
        <v>27</v>
      </c>
      <c r="I182" t="s">
        <v>39</v>
      </c>
      <c r="J182" t="s">
        <v>24</v>
      </c>
      <c r="K182" s="5" t="s">
        <v>11</v>
      </c>
      <c r="L182" s="6" cm="1">
        <f t="array" ref="L182">_xlfn.SWITCH(Table13_2[[#This Row],[Performance Score]],"A",6,"B",5,"C",4,"D",3,"E",2,"F",1)</f>
        <v>4</v>
      </c>
      <c r="M182" s="5">
        <f t="shared" si="2"/>
        <v>55000</v>
      </c>
    </row>
    <row r="183" spans="1:13" x14ac:dyDescent="0.3">
      <c r="A183" t="s">
        <v>56</v>
      </c>
      <c r="B183">
        <v>50</v>
      </c>
      <c r="C183">
        <v>70000</v>
      </c>
      <c r="D183" t="s">
        <v>34</v>
      </c>
      <c r="E183" t="s">
        <v>35</v>
      </c>
      <c r="F183" t="s">
        <v>37</v>
      </c>
      <c r="G183" s="2" t="s">
        <v>50</v>
      </c>
      <c r="H183" t="s">
        <v>38</v>
      </c>
      <c r="I183" t="s">
        <v>32</v>
      </c>
      <c r="J183" t="s">
        <v>17</v>
      </c>
      <c r="K183" s="5" t="s">
        <v>29</v>
      </c>
      <c r="L183" s="6" cm="1">
        <f t="array" ref="L183">_xlfn.SWITCH(Table13_2[[#This Row],[Performance Score]],"A",6,"B",5,"C",4,"D",3,"E",2,"F",1)</f>
        <v>5</v>
      </c>
      <c r="M183" s="5">
        <f t="shared" si="2"/>
        <v>70000</v>
      </c>
    </row>
    <row r="184" spans="1:13" x14ac:dyDescent="0.3">
      <c r="A184" t="s">
        <v>66</v>
      </c>
      <c r="B184" t="s">
        <v>51</v>
      </c>
      <c r="C184">
        <v>50000</v>
      </c>
      <c r="D184" t="s">
        <v>34</v>
      </c>
      <c r="E184" t="s">
        <v>35</v>
      </c>
      <c r="F184" t="s">
        <v>21</v>
      </c>
      <c r="G184" s="2" t="s">
        <v>50</v>
      </c>
      <c r="H184" t="s">
        <v>15</v>
      </c>
      <c r="I184" t="s">
        <v>39</v>
      </c>
      <c r="J184" t="s">
        <v>17</v>
      </c>
      <c r="K184" s="5" t="s">
        <v>45</v>
      </c>
      <c r="L184" s="6" cm="1">
        <f t="array" ref="L184">_xlfn.SWITCH(Table13_2[[#This Row],[Performance Score]],"A",6,"B",5,"C",4,"D",3,"E",2,"F",1)</f>
        <v>3</v>
      </c>
      <c r="M184" s="5">
        <f t="shared" si="2"/>
        <v>50000</v>
      </c>
    </row>
    <row r="185" spans="1:13" x14ac:dyDescent="0.3">
      <c r="A185" t="s">
        <v>66</v>
      </c>
      <c r="B185">
        <v>25</v>
      </c>
      <c r="C185">
        <v>60000</v>
      </c>
      <c r="D185" t="s">
        <v>34</v>
      </c>
      <c r="E185" t="s">
        <v>20</v>
      </c>
      <c r="F185" t="s">
        <v>37</v>
      </c>
      <c r="G185" s="2" t="s">
        <v>62</v>
      </c>
      <c r="H185" t="s">
        <v>27</v>
      </c>
      <c r="I185" t="s">
        <v>39</v>
      </c>
      <c r="J185" t="s">
        <v>24</v>
      </c>
      <c r="K185" s="5" t="s">
        <v>45</v>
      </c>
      <c r="L185" s="6" cm="1">
        <f t="array" ref="L185">_xlfn.SWITCH(Table13_2[[#This Row],[Performance Score]],"A",6,"B",5,"C",4,"D",3,"E",2,"F",1)</f>
        <v>4</v>
      </c>
      <c r="M185" s="5">
        <f t="shared" si="2"/>
        <v>60000</v>
      </c>
    </row>
    <row r="186" spans="1:13" x14ac:dyDescent="0.3">
      <c r="A186" t="s">
        <v>61</v>
      </c>
      <c r="B186" t="s">
        <v>63</v>
      </c>
      <c r="C186">
        <v>65000</v>
      </c>
      <c r="D186" t="s">
        <v>12</v>
      </c>
      <c r="E186" t="s">
        <v>35</v>
      </c>
      <c r="F186" t="s">
        <v>41</v>
      </c>
      <c r="G186" s="2" t="s">
        <v>55</v>
      </c>
      <c r="H186" t="s">
        <v>31</v>
      </c>
      <c r="I186" t="s">
        <v>39</v>
      </c>
      <c r="J186" t="s">
        <v>17</v>
      </c>
      <c r="K186" s="5" t="s">
        <v>36</v>
      </c>
      <c r="L186" s="6" cm="1">
        <f t="array" ref="L186">_xlfn.SWITCH(Table13_2[[#This Row],[Performance Score]],"A",6,"B",5,"C",4,"D",3,"E",2,"F",1)</f>
        <v>6</v>
      </c>
      <c r="M186" s="5">
        <f t="shared" si="2"/>
        <v>65000</v>
      </c>
    </row>
    <row r="187" spans="1:13" x14ac:dyDescent="0.3">
      <c r="A187" t="s">
        <v>65</v>
      </c>
      <c r="B187">
        <v>50</v>
      </c>
      <c r="C187">
        <v>55000</v>
      </c>
      <c r="D187" t="s">
        <v>19</v>
      </c>
      <c r="E187" t="s">
        <v>13</v>
      </c>
      <c r="F187" t="s">
        <v>37</v>
      </c>
      <c r="G187" s="2" t="s">
        <v>50</v>
      </c>
      <c r="H187" t="s">
        <v>22</v>
      </c>
      <c r="I187" t="s">
        <v>23</v>
      </c>
      <c r="J187" t="s">
        <v>28</v>
      </c>
      <c r="K187" s="5" t="s">
        <v>44</v>
      </c>
      <c r="L187" s="6" cm="1">
        <f t="array" ref="L187">_xlfn.SWITCH(Table13_2[[#This Row],[Performance Score]],"A",6,"B",5,"C",4,"D",3,"E",2,"F",1)</f>
        <v>1</v>
      </c>
      <c r="M187" s="5">
        <f t="shared" si="2"/>
        <v>55000</v>
      </c>
    </row>
    <row r="188" spans="1:13" x14ac:dyDescent="0.3">
      <c r="A188" t="s">
        <v>56</v>
      </c>
      <c r="B188">
        <v>35</v>
      </c>
      <c r="C188">
        <v>50000</v>
      </c>
      <c r="D188" t="s">
        <v>12</v>
      </c>
      <c r="E188" t="s">
        <v>26</v>
      </c>
      <c r="F188" t="s">
        <v>14</v>
      </c>
      <c r="G188" s="2" t="s">
        <v>55</v>
      </c>
      <c r="H188" t="s">
        <v>38</v>
      </c>
      <c r="I188" t="s">
        <v>32</v>
      </c>
      <c r="J188" t="s">
        <v>28</v>
      </c>
      <c r="K188" s="5" t="s">
        <v>29</v>
      </c>
      <c r="L188" s="6" cm="1">
        <f t="array" ref="L188">_xlfn.SWITCH(Table13_2[[#This Row],[Performance Score]],"A",6,"B",5,"C",4,"D",3,"E",2,"F",1)</f>
        <v>5</v>
      </c>
      <c r="M188" s="5">
        <f t="shared" si="2"/>
        <v>50000</v>
      </c>
    </row>
    <row r="189" spans="1:13" x14ac:dyDescent="0.3">
      <c r="A189" t="s">
        <v>59</v>
      </c>
      <c r="B189">
        <v>50</v>
      </c>
      <c r="C189">
        <v>70000</v>
      </c>
      <c r="D189" t="s">
        <v>19</v>
      </c>
      <c r="E189" t="s">
        <v>26</v>
      </c>
      <c r="F189" t="s">
        <v>37</v>
      </c>
      <c r="G189" s="2" t="s">
        <v>62</v>
      </c>
      <c r="H189" t="s">
        <v>22</v>
      </c>
      <c r="I189" t="s">
        <v>23</v>
      </c>
      <c r="J189" t="s">
        <v>17</v>
      </c>
      <c r="K189" s="5" t="s">
        <v>33</v>
      </c>
      <c r="L189" s="6" cm="1">
        <f t="array" ref="L189">_xlfn.SWITCH(Table13_2[[#This Row],[Performance Score]],"A",6,"B",5,"C",4,"D",3,"E",2,"F",1)</f>
        <v>1</v>
      </c>
      <c r="M189" s="5">
        <f t="shared" si="2"/>
        <v>70000</v>
      </c>
    </row>
    <row r="190" spans="1:13" x14ac:dyDescent="0.3">
      <c r="A190" t="s">
        <v>64</v>
      </c>
      <c r="B190">
        <v>25</v>
      </c>
      <c r="C190">
        <v>50000</v>
      </c>
      <c r="D190" t="s">
        <v>34</v>
      </c>
      <c r="E190" t="s">
        <v>30</v>
      </c>
      <c r="F190" t="s">
        <v>40</v>
      </c>
      <c r="G190" s="2" t="s">
        <v>55</v>
      </c>
      <c r="H190" t="s">
        <v>27</v>
      </c>
      <c r="I190" t="s">
        <v>39</v>
      </c>
      <c r="J190" t="s">
        <v>17</v>
      </c>
      <c r="K190" s="5" t="s">
        <v>43</v>
      </c>
      <c r="L190" s="6" cm="1">
        <f t="array" ref="L190">_xlfn.SWITCH(Table13_2[[#This Row],[Performance Score]],"A",6,"B",5,"C",4,"D",3,"E",2,"F",1)</f>
        <v>4</v>
      </c>
      <c r="M190" s="5">
        <f t="shared" si="2"/>
        <v>50000</v>
      </c>
    </row>
    <row r="191" spans="1:13" x14ac:dyDescent="0.3">
      <c r="A191" t="s">
        <v>49</v>
      </c>
      <c r="B191" t="s">
        <v>63</v>
      </c>
      <c r="C191">
        <v>0</v>
      </c>
      <c r="D191" t="s">
        <v>34</v>
      </c>
      <c r="E191" t="s">
        <v>30</v>
      </c>
      <c r="F191" t="s">
        <v>14</v>
      </c>
      <c r="G191" s="2">
        <v>43881</v>
      </c>
      <c r="H191" t="s">
        <v>31</v>
      </c>
      <c r="I191" t="s">
        <v>23</v>
      </c>
      <c r="J191" t="s">
        <v>28</v>
      </c>
      <c r="K191" s="5" t="s">
        <v>11</v>
      </c>
      <c r="L191" s="6" cm="1">
        <f t="array" ref="L191">_xlfn.SWITCH(Table13_2[[#This Row],[Performance Score]],"A",6,"B",5,"C",4,"D",3,"E",2,"F",1)</f>
        <v>6</v>
      </c>
      <c r="M191" s="5">
        <f t="shared" si="2"/>
        <v>50777.202072538857</v>
      </c>
    </row>
    <row r="192" spans="1:13" x14ac:dyDescent="0.3">
      <c r="A192" t="s">
        <v>52</v>
      </c>
      <c r="B192">
        <v>35</v>
      </c>
      <c r="C192">
        <v>70000</v>
      </c>
      <c r="D192" t="s">
        <v>19</v>
      </c>
      <c r="E192" t="s">
        <v>26</v>
      </c>
      <c r="F192" t="s">
        <v>21</v>
      </c>
      <c r="G192" s="2" t="s">
        <v>50</v>
      </c>
      <c r="H192" t="s">
        <v>15</v>
      </c>
      <c r="I192" t="s">
        <v>39</v>
      </c>
      <c r="J192" t="s">
        <v>42</v>
      </c>
      <c r="K192" s="5" t="s">
        <v>18</v>
      </c>
      <c r="L192" s="6" cm="1">
        <f t="array" ref="L192">_xlfn.SWITCH(Table13_2[[#This Row],[Performance Score]],"A",6,"B",5,"C",4,"D",3,"E",2,"F",1)</f>
        <v>3</v>
      </c>
      <c r="M192" s="5">
        <f t="shared" si="2"/>
        <v>70000</v>
      </c>
    </row>
    <row r="193" spans="1:13" x14ac:dyDescent="0.3">
      <c r="A193" t="s">
        <v>49</v>
      </c>
      <c r="B193">
        <v>25</v>
      </c>
      <c r="C193">
        <v>60000</v>
      </c>
      <c r="D193" t="s">
        <v>19</v>
      </c>
      <c r="E193" t="s">
        <v>13</v>
      </c>
      <c r="F193" t="s">
        <v>40</v>
      </c>
      <c r="G193" s="2" t="s">
        <v>55</v>
      </c>
      <c r="H193" t="s">
        <v>22</v>
      </c>
      <c r="I193" t="s">
        <v>39</v>
      </c>
      <c r="J193" t="s">
        <v>42</v>
      </c>
      <c r="K193" s="5" t="s">
        <v>11</v>
      </c>
      <c r="L193" s="6" cm="1">
        <f t="array" ref="L193">_xlfn.SWITCH(Table13_2[[#This Row],[Performance Score]],"A",6,"B",5,"C",4,"D",3,"E",2,"F",1)</f>
        <v>1</v>
      </c>
      <c r="M193" s="5">
        <f t="shared" si="2"/>
        <v>60000</v>
      </c>
    </row>
    <row r="194" spans="1:13" x14ac:dyDescent="0.3">
      <c r="A194" t="s">
        <v>53</v>
      </c>
      <c r="B194">
        <v>50</v>
      </c>
      <c r="C194">
        <v>65000</v>
      </c>
      <c r="D194" t="s">
        <v>12</v>
      </c>
      <c r="E194" t="s">
        <v>20</v>
      </c>
      <c r="F194" t="s">
        <v>41</v>
      </c>
      <c r="G194" s="2" t="s">
        <v>60</v>
      </c>
      <c r="H194" t="s">
        <v>15</v>
      </c>
      <c r="I194" t="s">
        <v>39</v>
      </c>
      <c r="J194" t="s">
        <v>24</v>
      </c>
      <c r="K194" s="5" t="s">
        <v>25</v>
      </c>
      <c r="L194" s="6" cm="1">
        <f t="array" ref="L194">_xlfn.SWITCH(Table13_2[[#This Row],[Performance Score]],"A",6,"B",5,"C",4,"D",3,"E",2,"F",1)</f>
        <v>3</v>
      </c>
      <c r="M194" s="5">
        <f t="shared" si="2"/>
        <v>65000</v>
      </c>
    </row>
    <row r="195" spans="1:13" x14ac:dyDescent="0.3">
      <c r="A195" t="s">
        <v>66</v>
      </c>
      <c r="B195">
        <v>25</v>
      </c>
      <c r="C195">
        <v>60000</v>
      </c>
      <c r="D195" t="s">
        <v>34</v>
      </c>
      <c r="E195" t="s">
        <v>20</v>
      </c>
      <c r="F195" t="s">
        <v>41</v>
      </c>
      <c r="G195" s="2" t="s">
        <v>55</v>
      </c>
      <c r="H195" t="s">
        <v>31</v>
      </c>
      <c r="I195" t="s">
        <v>23</v>
      </c>
      <c r="J195" t="s">
        <v>17</v>
      </c>
      <c r="K195" s="5" t="s">
        <v>45</v>
      </c>
      <c r="L195" s="6" cm="1">
        <f t="array" ref="L195">_xlfn.SWITCH(Table13_2[[#This Row],[Performance Score]],"A",6,"B",5,"C",4,"D",3,"E",2,"F",1)</f>
        <v>6</v>
      </c>
      <c r="M195" s="5">
        <f t="shared" ref="M195:M258" si="3">IF(C195=0,AVERAGEIF($E$2:$E$1001,E195,$C$2:$C$1001),C195)</f>
        <v>60000</v>
      </c>
    </row>
    <row r="196" spans="1:13" x14ac:dyDescent="0.3">
      <c r="A196" t="s">
        <v>64</v>
      </c>
      <c r="B196" t="s">
        <v>63</v>
      </c>
      <c r="C196">
        <v>55000</v>
      </c>
      <c r="D196" t="s">
        <v>12</v>
      </c>
      <c r="E196" t="s">
        <v>13</v>
      </c>
      <c r="F196" t="s">
        <v>41</v>
      </c>
      <c r="G196" s="2" t="s">
        <v>50</v>
      </c>
      <c r="H196" t="s">
        <v>22</v>
      </c>
      <c r="I196" t="s">
        <v>32</v>
      </c>
      <c r="J196" t="s">
        <v>17</v>
      </c>
      <c r="K196" s="5" t="s">
        <v>43</v>
      </c>
      <c r="L196" s="6" cm="1">
        <f t="array" ref="L196">_xlfn.SWITCH(Table13_2[[#This Row],[Performance Score]],"A",6,"B",5,"C",4,"D",3,"E",2,"F",1)</f>
        <v>1</v>
      </c>
      <c r="M196" s="5">
        <f t="shared" si="3"/>
        <v>55000</v>
      </c>
    </row>
    <row r="197" spans="1:13" x14ac:dyDescent="0.3">
      <c r="A197" t="s">
        <v>53</v>
      </c>
      <c r="B197">
        <v>40</v>
      </c>
      <c r="C197">
        <v>50000</v>
      </c>
      <c r="D197" t="s">
        <v>12</v>
      </c>
      <c r="E197" t="s">
        <v>20</v>
      </c>
      <c r="F197" t="s">
        <v>40</v>
      </c>
      <c r="G197" s="2" t="s">
        <v>62</v>
      </c>
      <c r="H197" t="s">
        <v>15</v>
      </c>
      <c r="I197" t="s">
        <v>23</v>
      </c>
      <c r="J197" t="s">
        <v>28</v>
      </c>
      <c r="K197" s="5" t="s">
        <v>25</v>
      </c>
      <c r="L197" s="6" cm="1">
        <f t="array" ref="L197">_xlfn.SWITCH(Table13_2[[#This Row],[Performance Score]],"A",6,"B",5,"C",4,"D",3,"E",2,"F",1)</f>
        <v>3</v>
      </c>
      <c r="M197" s="5">
        <f t="shared" si="3"/>
        <v>50000</v>
      </c>
    </row>
    <row r="198" spans="1:13" x14ac:dyDescent="0.3">
      <c r="A198" t="s">
        <v>56</v>
      </c>
      <c r="B198">
        <v>25</v>
      </c>
      <c r="C198">
        <v>0</v>
      </c>
      <c r="D198" t="s">
        <v>12</v>
      </c>
      <c r="E198" t="s">
        <v>35</v>
      </c>
      <c r="F198" t="s">
        <v>40</v>
      </c>
      <c r="G198" s="2" t="s">
        <v>62</v>
      </c>
      <c r="H198" t="s">
        <v>15</v>
      </c>
      <c r="I198" t="s">
        <v>32</v>
      </c>
      <c r="J198" t="s">
        <v>17</v>
      </c>
      <c r="K198" s="5" t="s">
        <v>29</v>
      </c>
      <c r="L198" s="6" cm="1">
        <f t="array" ref="L198">_xlfn.SWITCH(Table13_2[[#This Row],[Performance Score]],"A",6,"B",5,"C",4,"D",3,"E",2,"F",1)</f>
        <v>3</v>
      </c>
      <c r="M198" s="5">
        <f t="shared" si="3"/>
        <v>49144.385026737968</v>
      </c>
    </row>
    <row r="199" spans="1:13" x14ac:dyDescent="0.3">
      <c r="A199" t="s">
        <v>52</v>
      </c>
      <c r="B199">
        <v>25</v>
      </c>
      <c r="C199">
        <v>70000</v>
      </c>
      <c r="D199" t="s">
        <v>34</v>
      </c>
      <c r="E199" t="s">
        <v>26</v>
      </c>
      <c r="F199" t="s">
        <v>40</v>
      </c>
      <c r="G199" s="2" t="s">
        <v>50</v>
      </c>
      <c r="H199" t="s">
        <v>22</v>
      </c>
      <c r="I199" t="s">
        <v>32</v>
      </c>
      <c r="J199" t="s">
        <v>17</v>
      </c>
      <c r="K199" s="5" t="s">
        <v>18</v>
      </c>
      <c r="L199" s="6" cm="1">
        <f t="array" ref="L199">_xlfn.SWITCH(Table13_2[[#This Row],[Performance Score]],"A",6,"B",5,"C",4,"D",3,"E",2,"F",1)</f>
        <v>1</v>
      </c>
      <c r="M199" s="5">
        <f t="shared" si="3"/>
        <v>70000</v>
      </c>
    </row>
    <row r="200" spans="1:13" x14ac:dyDescent="0.3">
      <c r="A200" t="s">
        <v>65</v>
      </c>
      <c r="B200">
        <v>50</v>
      </c>
      <c r="C200">
        <v>70000</v>
      </c>
      <c r="D200" t="s">
        <v>12</v>
      </c>
      <c r="E200" t="s">
        <v>26</v>
      </c>
      <c r="F200" t="s">
        <v>14</v>
      </c>
      <c r="G200" s="2">
        <v>43881</v>
      </c>
      <c r="H200" t="s">
        <v>31</v>
      </c>
      <c r="I200" t="s">
        <v>39</v>
      </c>
      <c r="J200" t="s">
        <v>28</v>
      </c>
      <c r="K200" s="5" t="s">
        <v>44</v>
      </c>
      <c r="L200" s="6" cm="1">
        <f t="array" ref="L200">_xlfn.SWITCH(Table13_2[[#This Row],[Performance Score]],"A",6,"B",5,"C",4,"D",3,"E",2,"F",1)</f>
        <v>6</v>
      </c>
      <c r="M200" s="5">
        <f t="shared" si="3"/>
        <v>70000</v>
      </c>
    </row>
    <row r="201" spans="1:13" x14ac:dyDescent="0.3">
      <c r="A201" t="s">
        <v>64</v>
      </c>
      <c r="B201">
        <v>50</v>
      </c>
      <c r="C201">
        <v>50000</v>
      </c>
      <c r="D201" t="s">
        <v>12</v>
      </c>
      <c r="E201" t="s">
        <v>13</v>
      </c>
      <c r="F201" t="s">
        <v>14</v>
      </c>
      <c r="G201" s="2">
        <v>43881</v>
      </c>
      <c r="H201" t="s">
        <v>15</v>
      </c>
      <c r="I201" t="s">
        <v>23</v>
      </c>
      <c r="J201" t="s">
        <v>28</v>
      </c>
      <c r="K201" s="5" t="s">
        <v>43</v>
      </c>
      <c r="L201" s="6" cm="1">
        <f t="array" ref="L201">_xlfn.SWITCH(Table13_2[[#This Row],[Performance Score]],"A",6,"B",5,"C",4,"D",3,"E",2,"F",1)</f>
        <v>3</v>
      </c>
      <c r="M201" s="5">
        <f t="shared" si="3"/>
        <v>50000</v>
      </c>
    </row>
    <row r="202" spans="1:13" x14ac:dyDescent="0.3">
      <c r="A202" t="s">
        <v>64</v>
      </c>
      <c r="B202">
        <v>35</v>
      </c>
      <c r="C202">
        <v>0</v>
      </c>
      <c r="D202" t="s">
        <v>12</v>
      </c>
      <c r="E202" t="s">
        <v>20</v>
      </c>
      <c r="F202" t="s">
        <v>41</v>
      </c>
      <c r="G202" s="2" t="s">
        <v>62</v>
      </c>
      <c r="H202" t="s">
        <v>27</v>
      </c>
      <c r="I202" t="s">
        <v>32</v>
      </c>
      <c r="J202" t="s">
        <v>17</v>
      </c>
      <c r="K202" s="5" t="s">
        <v>43</v>
      </c>
      <c r="L202" s="6" cm="1">
        <f t="array" ref="L202">_xlfn.SWITCH(Table13_2[[#This Row],[Performance Score]],"A",6,"B",5,"C",4,"D",3,"E",2,"F",1)</f>
        <v>4</v>
      </c>
      <c r="M202" s="5">
        <f t="shared" si="3"/>
        <v>48417.431192660551</v>
      </c>
    </row>
    <row r="203" spans="1:13" x14ac:dyDescent="0.3">
      <c r="A203" t="s">
        <v>66</v>
      </c>
      <c r="B203">
        <v>50</v>
      </c>
      <c r="C203">
        <v>50000</v>
      </c>
      <c r="D203" t="s">
        <v>12</v>
      </c>
      <c r="E203" t="s">
        <v>30</v>
      </c>
      <c r="F203" t="s">
        <v>37</v>
      </c>
      <c r="G203" s="2" t="s">
        <v>62</v>
      </c>
      <c r="H203" t="s">
        <v>22</v>
      </c>
      <c r="I203" t="s">
        <v>39</v>
      </c>
      <c r="J203" t="s">
        <v>28</v>
      </c>
      <c r="K203" s="5" t="s">
        <v>45</v>
      </c>
      <c r="L203" s="6" cm="1">
        <f t="array" ref="L203">_xlfn.SWITCH(Table13_2[[#This Row],[Performance Score]],"A",6,"B",5,"C",4,"D",3,"E",2,"F",1)</f>
        <v>1</v>
      </c>
      <c r="M203" s="5">
        <f t="shared" si="3"/>
        <v>50000</v>
      </c>
    </row>
    <row r="204" spans="1:13" x14ac:dyDescent="0.3">
      <c r="A204" t="s">
        <v>67</v>
      </c>
      <c r="B204" t="s">
        <v>51</v>
      </c>
      <c r="C204">
        <v>55000</v>
      </c>
      <c r="D204" t="s">
        <v>12</v>
      </c>
      <c r="E204" t="s">
        <v>30</v>
      </c>
      <c r="F204" t="s">
        <v>41</v>
      </c>
      <c r="G204" s="2" t="s">
        <v>50</v>
      </c>
      <c r="H204" t="s">
        <v>38</v>
      </c>
      <c r="I204" t="s">
        <v>32</v>
      </c>
      <c r="J204" t="s">
        <v>24</v>
      </c>
      <c r="K204" s="5" t="s">
        <v>46</v>
      </c>
      <c r="L204" s="6" cm="1">
        <f t="array" ref="L204">_xlfn.SWITCH(Table13_2[[#This Row],[Performance Score]],"A",6,"B",5,"C",4,"D",3,"E",2,"F",1)</f>
        <v>5</v>
      </c>
      <c r="M204" s="5">
        <f t="shared" si="3"/>
        <v>55000</v>
      </c>
    </row>
    <row r="205" spans="1:13" x14ac:dyDescent="0.3">
      <c r="A205" t="s">
        <v>64</v>
      </c>
      <c r="B205" t="s">
        <v>63</v>
      </c>
      <c r="C205">
        <v>60000</v>
      </c>
      <c r="D205" t="s">
        <v>12</v>
      </c>
      <c r="E205" t="s">
        <v>20</v>
      </c>
      <c r="F205" t="s">
        <v>21</v>
      </c>
      <c r="G205" s="2">
        <v>43881</v>
      </c>
      <c r="H205" t="s">
        <v>38</v>
      </c>
      <c r="I205" t="s">
        <v>39</v>
      </c>
      <c r="J205" t="s">
        <v>24</v>
      </c>
      <c r="K205" s="5" t="s">
        <v>43</v>
      </c>
      <c r="L205" s="6" cm="1">
        <f t="array" ref="L205">_xlfn.SWITCH(Table13_2[[#This Row],[Performance Score]],"A",6,"B",5,"C",4,"D",3,"E",2,"F",1)</f>
        <v>5</v>
      </c>
      <c r="M205" s="5">
        <f t="shared" si="3"/>
        <v>60000</v>
      </c>
    </row>
    <row r="206" spans="1:13" x14ac:dyDescent="0.3">
      <c r="A206" t="s">
        <v>61</v>
      </c>
      <c r="B206" t="s">
        <v>63</v>
      </c>
      <c r="C206">
        <v>70000</v>
      </c>
      <c r="D206" t="s">
        <v>34</v>
      </c>
      <c r="E206" t="s">
        <v>30</v>
      </c>
      <c r="F206" t="s">
        <v>14</v>
      </c>
      <c r="G206" s="2" t="s">
        <v>62</v>
      </c>
      <c r="H206" t="s">
        <v>31</v>
      </c>
      <c r="I206" t="s">
        <v>23</v>
      </c>
      <c r="J206" t="s">
        <v>17</v>
      </c>
      <c r="K206" s="5" t="s">
        <v>36</v>
      </c>
      <c r="L206" s="6" cm="1">
        <f t="array" ref="L206">_xlfn.SWITCH(Table13_2[[#This Row],[Performance Score]],"A",6,"B",5,"C",4,"D",3,"E",2,"F",1)</f>
        <v>6</v>
      </c>
      <c r="M206" s="5">
        <f t="shared" si="3"/>
        <v>70000</v>
      </c>
    </row>
    <row r="207" spans="1:13" x14ac:dyDescent="0.3">
      <c r="A207" t="s">
        <v>52</v>
      </c>
      <c r="B207">
        <v>40</v>
      </c>
      <c r="C207">
        <v>55000</v>
      </c>
      <c r="D207" t="s">
        <v>12</v>
      </c>
      <c r="E207" t="s">
        <v>13</v>
      </c>
      <c r="F207" t="s">
        <v>40</v>
      </c>
      <c r="G207" s="2">
        <v>43881</v>
      </c>
      <c r="H207" t="s">
        <v>27</v>
      </c>
      <c r="I207" t="s">
        <v>23</v>
      </c>
      <c r="J207" t="s">
        <v>17</v>
      </c>
      <c r="K207" s="5" t="s">
        <v>18</v>
      </c>
      <c r="L207" s="6" cm="1">
        <f t="array" ref="L207">_xlfn.SWITCH(Table13_2[[#This Row],[Performance Score]],"A",6,"B",5,"C",4,"D",3,"E",2,"F",1)</f>
        <v>4</v>
      </c>
      <c r="M207" s="5">
        <f t="shared" si="3"/>
        <v>55000</v>
      </c>
    </row>
    <row r="208" spans="1:13" x14ac:dyDescent="0.3">
      <c r="A208" t="s">
        <v>52</v>
      </c>
      <c r="B208">
        <v>40</v>
      </c>
      <c r="C208">
        <v>60000</v>
      </c>
      <c r="D208" t="s">
        <v>19</v>
      </c>
      <c r="E208" t="s">
        <v>13</v>
      </c>
      <c r="F208" t="s">
        <v>14</v>
      </c>
      <c r="G208" s="2" t="s">
        <v>62</v>
      </c>
      <c r="H208" t="s">
        <v>15</v>
      </c>
      <c r="I208" t="s">
        <v>23</v>
      </c>
      <c r="J208" t="s">
        <v>24</v>
      </c>
      <c r="K208" s="5" t="s">
        <v>18</v>
      </c>
      <c r="L208" s="6" cm="1">
        <f t="array" ref="L208">_xlfn.SWITCH(Table13_2[[#This Row],[Performance Score]],"A",6,"B",5,"C",4,"D",3,"E",2,"F",1)</f>
        <v>3</v>
      </c>
      <c r="M208" s="5">
        <f t="shared" si="3"/>
        <v>60000</v>
      </c>
    </row>
    <row r="209" spans="1:13" x14ac:dyDescent="0.3">
      <c r="A209" t="s">
        <v>61</v>
      </c>
      <c r="B209" t="s">
        <v>63</v>
      </c>
      <c r="C209">
        <v>55000</v>
      </c>
      <c r="D209" t="s">
        <v>12</v>
      </c>
      <c r="E209" t="s">
        <v>20</v>
      </c>
      <c r="F209" t="s">
        <v>40</v>
      </c>
      <c r="G209" s="2" t="s">
        <v>55</v>
      </c>
      <c r="H209" t="s">
        <v>38</v>
      </c>
      <c r="I209" t="s">
        <v>32</v>
      </c>
      <c r="J209" t="s">
        <v>24</v>
      </c>
      <c r="K209" s="5" t="s">
        <v>36</v>
      </c>
      <c r="L209" s="6" cm="1">
        <f t="array" ref="L209">_xlfn.SWITCH(Table13_2[[#This Row],[Performance Score]],"A",6,"B",5,"C",4,"D",3,"E",2,"F",1)</f>
        <v>5</v>
      </c>
      <c r="M209" s="5">
        <f t="shared" si="3"/>
        <v>55000</v>
      </c>
    </row>
    <row r="210" spans="1:13" x14ac:dyDescent="0.3">
      <c r="A210" t="s">
        <v>59</v>
      </c>
      <c r="B210">
        <v>40</v>
      </c>
      <c r="C210">
        <v>0</v>
      </c>
      <c r="D210" t="s">
        <v>12</v>
      </c>
      <c r="E210" t="s">
        <v>30</v>
      </c>
      <c r="F210" t="s">
        <v>21</v>
      </c>
      <c r="G210" s="2" t="s">
        <v>60</v>
      </c>
      <c r="H210" t="s">
        <v>31</v>
      </c>
      <c r="I210" t="s">
        <v>16</v>
      </c>
      <c r="J210" t="s">
        <v>17</v>
      </c>
      <c r="K210" s="5" t="s">
        <v>33</v>
      </c>
      <c r="L210" s="6" cm="1">
        <f t="array" ref="L210">_xlfn.SWITCH(Table13_2[[#This Row],[Performance Score]],"A",6,"B",5,"C",4,"D",3,"E",2,"F",1)</f>
        <v>6</v>
      </c>
      <c r="M210" s="5">
        <f t="shared" si="3"/>
        <v>50777.202072538857</v>
      </c>
    </row>
    <row r="211" spans="1:13" x14ac:dyDescent="0.3">
      <c r="A211" t="s">
        <v>61</v>
      </c>
      <c r="B211">
        <v>35</v>
      </c>
      <c r="C211">
        <v>70000</v>
      </c>
      <c r="D211" t="s">
        <v>34</v>
      </c>
      <c r="E211" t="s">
        <v>13</v>
      </c>
      <c r="F211" t="s">
        <v>21</v>
      </c>
      <c r="G211" s="2" t="s">
        <v>55</v>
      </c>
      <c r="H211" t="s">
        <v>27</v>
      </c>
      <c r="I211" t="s">
        <v>32</v>
      </c>
      <c r="J211" t="s">
        <v>42</v>
      </c>
      <c r="K211" s="5" t="s">
        <v>36</v>
      </c>
      <c r="L211" s="6" cm="1">
        <f t="array" ref="L211">_xlfn.SWITCH(Table13_2[[#This Row],[Performance Score]],"A",6,"B",5,"C",4,"D",3,"E",2,"F",1)</f>
        <v>4</v>
      </c>
      <c r="M211" s="5">
        <f t="shared" si="3"/>
        <v>70000</v>
      </c>
    </row>
    <row r="212" spans="1:13" x14ac:dyDescent="0.3">
      <c r="A212" t="s">
        <v>61</v>
      </c>
      <c r="B212">
        <v>50</v>
      </c>
      <c r="C212">
        <v>50000</v>
      </c>
      <c r="D212" t="s">
        <v>34</v>
      </c>
      <c r="E212" t="s">
        <v>13</v>
      </c>
      <c r="F212" t="s">
        <v>14</v>
      </c>
      <c r="G212" s="2" t="s">
        <v>62</v>
      </c>
      <c r="H212" t="s">
        <v>27</v>
      </c>
      <c r="I212" t="s">
        <v>32</v>
      </c>
      <c r="J212" t="s">
        <v>28</v>
      </c>
      <c r="K212" s="5" t="s">
        <v>36</v>
      </c>
      <c r="L212" s="6" cm="1">
        <f t="array" ref="L212">_xlfn.SWITCH(Table13_2[[#This Row],[Performance Score]],"A",6,"B",5,"C",4,"D",3,"E",2,"F",1)</f>
        <v>4</v>
      </c>
      <c r="M212" s="5">
        <f t="shared" si="3"/>
        <v>50000</v>
      </c>
    </row>
    <row r="213" spans="1:13" x14ac:dyDescent="0.3">
      <c r="A213" t="s">
        <v>52</v>
      </c>
      <c r="B213" t="s">
        <v>63</v>
      </c>
      <c r="C213">
        <v>50000</v>
      </c>
      <c r="D213" t="s">
        <v>19</v>
      </c>
      <c r="E213" t="s">
        <v>35</v>
      </c>
      <c r="F213" t="s">
        <v>40</v>
      </c>
      <c r="G213" s="2" t="s">
        <v>60</v>
      </c>
      <c r="H213" t="s">
        <v>31</v>
      </c>
      <c r="I213" t="s">
        <v>39</v>
      </c>
      <c r="J213" t="s">
        <v>24</v>
      </c>
      <c r="K213" s="5" t="s">
        <v>18</v>
      </c>
      <c r="L213" s="6" cm="1">
        <f t="array" ref="L213">_xlfn.SWITCH(Table13_2[[#This Row],[Performance Score]],"A",6,"B",5,"C",4,"D",3,"E",2,"F",1)</f>
        <v>6</v>
      </c>
      <c r="M213" s="5">
        <f t="shared" si="3"/>
        <v>50000</v>
      </c>
    </row>
    <row r="214" spans="1:13" x14ac:dyDescent="0.3">
      <c r="A214" t="s">
        <v>49</v>
      </c>
      <c r="B214">
        <v>40</v>
      </c>
      <c r="C214">
        <v>60000</v>
      </c>
      <c r="D214" t="s">
        <v>19</v>
      </c>
      <c r="E214" t="s">
        <v>35</v>
      </c>
      <c r="F214" t="s">
        <v>21</v>
      </c>
      <c r="G214" s="2" t="s">
        <v>60</v>
      </c>
      <c r="H214" t="s">
        <v>31</v>
      </c>
      <c r="I214" t="s">
        <v>39</v>
      </c>
      <c r="J214" t="s">
        <v>42</v>
      </c>
      <c r="K214" s="5" t="s">
        <v>11</v>
      </c>
      <c r="L214" s="6" cm="1">
        <f t="array" ref="L214">_xlfn.SWITCH(Table13_2[[#This Row],[Performance Score]],"A",6,"B",5,"C",4,"D",3,"E",2,"F",1)</f>
        <v>6</v>
      </c>
      <c r="M214" s="5">
        <f t="shared" si="3"/>
        <v>60000</v>
      </c>
    </row>
    <row r="215" spans="1:13" x14ac:dyDescent="0.3">
      <c r="A215" t="s">
        <v>52</v>
      </c>
      <c r="B215" t="s">
        <v>63</v>
      </c>
      <c r="C215">
        <v>65000</v>
      </c>
      <c r="D215" t="s">
        <v>34</v>
      </c>
      <c r="E215" t="s">
        <v>13</v>
      </c>
      <c r="F215" t="s">
        <v>41</v>
      </c>
      <c r="G215" s="2" t="s">
        <v>62</v>
      </c>
      <c r="H215" t="s">
        <v>15</v>
      </c>
      <c r="I215" t="s">
        <v>32</v>
      </c>
      <c r="J215" t="s">
        <v>17</v>
      </c>
      <c r="K215" s="5" t="s">
        <v>18</v>
      </c>
      <c r="L215" s="6" cm="1">
        <f t="array" ref="L215">_xlfn.SWITCH(Table13_2[[#This Row],[Performance Score]],"A",6,"B",5,"C",4,"D",3,"E",2,"F",1)</f>
        <v>3</v>
      </c>
      <c r="M215" s="5">
        <f t="shared" si="3"/>
        <v>65000</v>
      </c>
    </row>
    <row r="216" spans="1:13" x14ac:dyDescent="0.3">
      <c r="A216" t="s">
        <v>67</v>
      </c>
      <c r="B216" t="s">
        <v>51</v>
      </c>
      <c r="C216">
        <v>0</v>
      </c>
      <c r="D216" t="s">
        <v>34</v>
      </c>
      <c r="E216" t="s">
        <v>20</v>
      </c>
      <c r="F216" t="s">
        <v>41</v>
      </c>
      <c r="G216" s="2" t="s">
        <v>62</v>
      </c>
      <c r="H216" t="s">
        <v>31</v>
      </c>
      <c r="I216" t="s">
        <v>39</v>
      </c>
      <c r="J216" t="s">
        <v>42</v>
      </c>
      <c r="K216" s="5" t="s">
        <v>46</v>
      </c>
      <c r="L216" s="6" cm="1">
        <f t="array" ref="L216">_xlfn.SWITCH(Table13_2[[#This Row],[Performance Score]],"A",6,"B",5,"C",4,"D",3,"E",2,"F",1)</f>
        <v>6</v>
      </c>
      <c r="M216" s="5">
        <f t="shared" si="3"/>
        <v>48417.431192660551</v>
      </c>
    </row>
    <row r="217" spans="1:13" x14ac:dyDescent="0.3">
      <c r="A217" t="s">
        <v>66</v>
      </c>
      <c r="B217">
        <v>25</v>
      </c>
      <c r="C217">
        <v>60000</v>
      </c>
      <c r="D217" t="s">
        <v>12</v>
      </c>
      <c r="E217" t="s">
        <v>26</v>
      </c>
      <c r="F217" t="s">
        <v>40</v>
      </c>
      <c r="G217" s="2">
        <v>43881</v>
      </c>
      <c r="H217" t="s">
        <v>15</v>
      </c>
      <c r="I217" t="s">
        <v>39</v>
      </c>
      <c r="J217" t="s">
        <v>17</v>
      </c>
      <c r="K217" s="5" t="s">
        <v>45</v>
      </c>
      <c r="L217" s="6" cm="1">
        <f t="array" ref="L217">_xlfn.SWITCH(Table13_2[[#This Row],[Performance Score]],"A",6,"B",5,"C",4,"D",3,"E",2,"F",1)</f>
        <v>3</v>
      </c>
      <c r="M217" s="5">
        <f t="shared" si="3"/>
        <v>60000</v>
      </c>
    </row>
    <row r="218" spans="1:13" x14ac:dyDescent="0.3">
      <c r="A218" t="s">
        <v>53</v>
      </c>
      <c r="B218">
        <v>50</v>
      </c>
      <c r="C218">
        <v>65000</v>
      </c>
      <c r="D218" t="s">
        <v>34</v>
      </c>
      <c r="E218" t="s">
        <v>26</v>
      </c>
      <c r="F218" t="s">
        <v>14</v>
      </c>
      <c r="G218" s="2" t="s">
        <v>62</v>
      </c>
      <c r="H218" t="s">
        <v>15</v>
      </c>
      <c r="I218" t="s">
        <v>32</v>
      </c>
      <c r="J218" t="s">
        <v>17</v>
      </c>
      <c r="K218" s="5" t="s">
        <v>25</v>
      </c>
      <c r="L218" s="6" cm="1">
        <f t="array" ref="L218">_xlfn.SWITCH(Table13_2[[#This Row],[Performance Score]],"A",6,"B",5,"C",4,"D",3,"E",2,"F",1)</f>
        <v>3</v>
      </c>
      <c r="M218" s="5">
        <f t="shared" si="3"/>
        <v>65000</v>
      </c>
    </row>
    <row r="219" spans="1:13" x14ac:dyDescent="0.3">
      <c r="A219" t="s">
        <v>49</v>
      </c>
      <c r="B219" t="s">
        <v>63</v>
      </c>
      <c r="C219">
        <v>55000</v>
      </c>
      <c r="D219" t="s">
        <v>19</v>
      </c>
      <c r="E219" t="s">
        <v>13</v>
      </c>
      <c r="F219" t="s">
        <v>21</v>
      </c>
      <c r="G219" s="2" t="s">
        <v>50</v>
      </c>
      <c r="H219" t="s">
        <v>22</v>
      </c>
      <c r="I219" t="s">
        <v>16</v>
      </c>
      <c r="J219" t="s">
        <v>17</v>
      </c>
      <c r="K219" s="5" t="s">
        <v>11</v>
      </c>
      <c r="L219" s="6" cm="1">
        <f t="array" ref="L219">_xlfn.SWITCH(Table13_2[[#This Row],[Performance Score]],"A",6,"B",5,"C",4,"D",3,"E",2,"F",1)</f>
        <v>1</v>
      </c>
      <c r="M219" s="5">
        <f t="shared" si="3"/>
        <v>55000</v>
      </c>
    </row>
    <row r="220" spans="1:13" x14ac:dyDescent="0.3">
      <c r="A220" t="s">
        <v>65</v>
      </c>
      <c r="B220">
        <v>25</v>
      </c>
      <c r="C220">
        <v>0</v>
      </c>
      <c r="D220" t="s">
        <v>12</v>
      </c>
      <c r="E220" t="s">
        <v>13</v>
      </c>
      <c r="F220" t="s">
        <v>14</v>
      </c>
      <c r="G220" s="2" t="s">
        <v>62</v>
      </c>
      <c r="H220" t="s">
        <v>27</v>
      </c>
      <c r="I220" t="s">
        <v>39</v>
      </c>
      <c r="J220" t="s">
        <v>42</v>
      </c>
      <c r="K220" s="5" t="s">
        <v>44</v>
      </c>
      <c r="L220" s="6" cm="1">
        <f t="array" ref="L220">_xlfn.SWITCH(Table13_2[[#This Row],[Performance Score]],"A",6,"B",5,"C",4,"D",3,"E",2,"F",1)</f>
        <v>4</v>
      </c>
      <c r="M220" s="5">
        <f t="shared" si="3"/>
        <v>51825</v>
      </c>
    </row>
    <row r="221" spans="1:13" x14ac:dyDescent="0.3">
      <c r="A221" t="s">
        <v>53</v>
      </c>
      <c r="B221">
        <v>40</v>
      </c>
      <c r="C221">
        <v>55000</v>
      </c>
      <c r="D221" t="s">
        <v>19</v>
      </c>
      <c r="E221" t="s">
        <v>13</v>
      </c>
      <c r="F221" t="s">
        <v>41</v>
      </c>
      <c r="G221" s="2" t="s">
        <v>50</v>
      </c>
      <c r="H221" t="s">
        <v>27</v>
      </c>
      <c r="I221" t="s">
        <v>23</v>
      </c>
      <c r="J221" t="s">
        <v>17</v>
      </c>
      <c r="K221" s="5" t="s">
        <v>25</v>
      </c>
      <c r="L221" s="6" cm="1">
        <f t="array" ref="L221">_xlfn.SWITCH(Table13_2[[#This Row],[Performance Score]],"A",6,"B",5,"C",4,"D",3,"E",2,"F",1)</f>
        <v>4</v>
      </c>
      <c r="M221" s="5">
        <f t="shared" si="3"/>
        <v>55000</v>
      </c>
    </row>
    <row r="222" spans="1:13" x14ac:dyDescent="0.3">
      <c r="A222" t="s">
        <v>66</v>
      </c>
      <c r="B222">
        <v>25</v>
      </c>
      <c r="C222">
        <v>70000</v>
      </c>
      <c r="D222" t="s">
        <v>12</v>
      </c>
      <c r="E222" t="s">
        <v>20</v>
      </c>
      <c r="F222" t="s">
        <v>21</v>
      </c>
      <c r="G222" s="2" t="s">
        <v>62</v>
      </c>
      <c r="H222" t="s">
        <v>27</v>
      </c>
      <c r="I222" t="s">
        <v>32</v>
      </c>
      <c r="J222" t="s">
        <v>24</v>
      </c>
      <c r="K222" s="5" t="s">
        <v>45</v>
      </c>
      <c r="L222" s="6" cm="1">
        <f t="array" ref="L222">_xlfn.SWITCH(Table13_2[[#This Row],[Performance Score]],"A",6,"B",5,"C",4,"D",3,"E",2,"F",1)</f>
        <v>4</v>
      </c>
      <c r="M222" s="5">
        <f t="shared" si="3"/>
        <v>70000</v>
      </c>
    </row>
    <row r="223" spans="1:13" x14ac:dyDescent="0.3">
      <c r="A223" t="s">
        <v>67</v>
      </c>
      <c r="B223">
        <v>50</v>
      </c>
      <c r="C223">
        <v>0</v>
      </c>
      <c r="D223" t="s">
        <v>34</v>
      </c>
      <c r="E223" t="s">
        <v>35</v>
      </c>
      <c r="F223" t="s">
        <v>14</v>
      </c>
      <c r="G223" s="2">
        <v>43881</v>
      </c>
      <c r="H223" t="s">
        <v>22</v>
      </c>
      <c r="I223" t="s">
        <v>32</v>
      </c>
      <c r="J223" t="s">
        <v>42</v>
      </c>
      <c r="K223" s="5" t="s">
        <v>46</v>
      </c>
      <c r="L223" s="6" cm="1">
        <f t="array" ref="L223">_xlfn.SWITCH(Table13_2[[#This Row],[Performance Score]],"A",6,"B",5,"C",4,"D",3,"E",2,"F",1)</f>
        <v>1</v>
      </c>
      <c r="M223" s="5">
        <f t="shared" si="3"/>
        <v>49144.385026737968</v>
      </c>
    </row>
    <row r="224" spans="1:13" x14ac:dyDescent="0.3">
      <c r="A224" t="s">
        <v>67</v>
      </c>
      <c r="B224" t="s">
        <v>63</v>
      </c>
      <c r="C224">
        <v>65000</v>
      </c>
      <c r="D224" t="s">
        <v>19</v>
      </c>
      <c r="E224" t="s">
        <v>13</v>
      </c>
      <c r="F224" t="s">
        <v>37</v>
      </c>
      <c r="G224" s="2" t="s">
        <v>50</v>
      </c>
      <c r="H224" t="s">
        <v>15</v>
      </c>
      <c r="I224" t="s">
        <v>39</v>
      </c>
      <c r="J224" t="s">
        <v>24</v>
      </c>
      <c r="K224" s="5" t="s">
        <v>46</v>
      </c>
      <c r="L224" s="6" cm="1">
        <f t="array" ref="L224">_xlfn.SWITCH(Table13_2[[#This Row],[Performance Score]],"A",6,"B",5,"C",4,"D",3,"E",2,"F",1)</f>
        <v>3</v>
      </c>
      <c r="M224" s="5">
        <f t="shared" si="3"/>
        <v>65000</v>
      </c>
    </row>
    <row r="225" spans="1:13" x14ac:dyDescent="0.3">
      <c r="A225" t="s">
        <v>65</v>
      </c>
      <c r="B225" t="s">
        <v>51</v>
      </c>
      <c r="C225">
        <v>70000</v>
      </c>
      <c r="D225" t="s">
        <v>12</v>
      </c>
      <c r="E225" t="s">
        <v>13</v>
      </c>
      <c r="F225" t="s">
        <v>40</v>
      </c>
      <c r="G225" s="2" t="s">
        <v>55</v>
      </c>
      <c r="H225" t="s">
        <v>15</v>
      </c>
      <c r="I225" t="s">
        <v>39</v>
      </c>
      <c r="J225" t="s">
        <v>42</v>
      </c>
      <c r="K225" s="5" t="s">
        <v>44</v>
      </c>
      <c r="L225" s="6" cm="1">
        <f t="array" ref="L225">_xlfn.SWITCH(Table13_2[[#This Row],[Performance Score]],"A",6,"B",5,"C",4,"D",3,"E",2,"F",1)</f>
        <v>3</v>
      </c>
      <c r="M225" s="5">
        <f t="shared" si="3"/>
        <v>70000</v>
      </c>
    </row>
    <row r="226" spans="1:13" x14ac:dyDescent="0.3">
      <c r="A226" t="s">
        <v>49</v>
      </c>
      <c r="B226">
        <v>40</v>
      </c>
      <c r="C226">
        <v>50000</v>
      </c>
      <c r="D226" t="s">
        <v>12</v>
      </c>
      <c r="E226" t="s">
        <v>30</v>
      </c>
      <c r="F226" t="s">
        <v>40</v>
      </c>
      <c r="G226" s="2" t="s">
        <v>50</v>
      </c>
      <c r="H226" t="s">
        <v>31</v>
      </c>
      <c r="I226" t="s">
        <v>39</v>
      </c>
      <c r="J226" t="s">
        <v>24</v>
      </c>
      <c r="K226" s="5" t="s">
        <v>11</v>
      </c>
      <c r="L226" s="6" cm="1">
        <f t="array" ref="L226">_xlfn.SWITCH(Table13_2[[#This Row],[Performance Score]],"A",6,"B",5,"C",4,"D",3,"E",2,"F",1)</f>
        <v>6</v>
      </c>
      <c r="M226" s="5">
        <f t="shared" si="3"/>
        <v>50000</v>
      </c>
    </row>
    <row r="227" spans="1:13" x14ac:dyDescent="0.3">
      <c r="A227" t="s">
        <v>59</v>
      </c>
      <c r="B227" t="s">
        <v>63</v>
      </c>
      <c r="C227">
        <v>65000</v>
      </c>
      <c r="D227" t="s">
        <v>34</v>
      </c>
      <c r="E227" t="s">
        <v>20</v>
      </c>
      <c r="F227" t="s">
        <v>37</v>
      </c>
      <c r="G227" s="2">
        <v>43881</v>
      </c>
      <c r="H227" t="s">
        <v>22</v>
      </c>
      <c r="I227" t="s">
        <v>39</v>
      </c>
      <c r="J227" t="s">
        <v>42</v>
      </c>
      <c r="K227" s="5" t="s">
        <v>33</v>
      </c>
      <c r="L227" s="6" cm="1">
        <f t="array" ref="L227">_xlfn.SWITCH(Table13_2[[#This Row],[Performance Score]],"A",6,"B",5,"C",4,"D",3,"E",2,"F",1)</f>
        <v>1</v>
      </c>
      <c r="M227" s="5">
        <f t="shared" si="3"/>
        <v>65000</v>
      </c>
    </row>
    <row r="228" spans="1:13" x14ac:dyDescent="0.3">
      <c r="A228" t="s">
        <v>61</v>
      </c>
      <c r="B228">
        <v>50</v>
      </c>
      <c r="C228">
        <v>60000</v>
      </c>
      <c r="D228" t="s">
        <v>34</v>
      </c>
      <c r="E228" t="s">
        <v>13</v>
      </c>
      <c r="F228" t="s">
        <v>41</v>
      </c>
      <c r="G228" s="2" t="s">
        <v>50</v>
      </c>
      <c r="H228" t="s">
        <v>31</v>
      </c>
      <c r="I228" t="s">
        <v>23</v>
      </c>
      <c r="J228" t="s">
        <v>17</v>
      </c>
      <c r="K228" s="5" t="s">
        <v>36</v>
      </c>
      <c r="L228" s="6" cm="1">
        <f t="array" ref="L228">_xlfn.SWITCH(Table13_2[[#This Row],[Performance Score]],"A",6,"B",5,"C",4,"D",3,"E",2,"F",1)</f>
        <v>6</v>
      </c>
      <c r="M228" s="5">
        <f t="shared" si="3"/>
        <v>60000</v>
      </c>
    </row>
    <row r="229" spans="1:13" x14ac:dyDescent="0.3">
      <c r="A229" t="s">
        <v>49</v>
      </c>
      <c r="B229">
        <v>40</v>
      </c>
      <c r="C229">
        <v>50000</v>
      </c>
      <c r="D229" t="s">
        <v>34</v>
      </c>
      <c r="E229" t="s">
        <v>30</v>
      </c>
      <c r="F229" t="s">
        <v>21</v>
      </c>
      <c r="G229" s="2" t="s">
        <v>62</v>
      </c>
      <c r="H229" t="s">
        <v>22</v>
      </c>
      <c r="I229" t="s">
        <v>39</v>
      </c>
      <c r="J229" t="s">
        <v>28</v>
      </c>
      <c r="K229" s="5" t="s">
        <v>11</v>
      </c>
      <c r="L229" s="6" cm="1">
        <f t="array" ref="L229">_xlfn.SWITCH(Table13_2[[#This Row],[Performance Score]],"A",6,"B",5,"C",4,"D",3,"E",2,"F",1)</f>
        <v>1</v>
      </c>
      <c r="M229" s="5">
        <f t="shared" si="3"/>
        <v>50000</v>
      </c>
    </row>
    <row r="230" spans="1:13" x14ac:dyDescent="0.3">
      <c r="A230" t="s">
        <v>59</v>
      </c>
      <c r="B230">
        <v>35</v>
      </c>
      <c r="C230">
        <v>50000</v>
      </c>
      <c r="D230" t="s">
        <v>19</v>
      </c>
      <c r="E230" t="s">
        <v>26</v>
      </c>
      <c r="F230" t="s">
        <v>40</v>
      </c>
      <c r="G230" s="2" t="s">
        <v>62</v>
      </c>
      <c r="H230" t="s">
        <v>31</v>
      </c>
      <c r="I230" t="s">
        <v>39</v>
      </c>
      <c r="J230" t="s">
        <v>17</v>
      </c>
      <c r="K230" s="5" t="s">
        <v>33</v>
      </c>
      <c r="L230" s="6" cm="1">
        <f t="array" ref="L230">_xlfn.SWITCH(Table13_2[[#This Row],[Performance Score]],"A",6,"B",5,"C",4,"D",3,"E",2,"F",1)</f>
        <v>6</v>
      </c>
      <c r="M230" s="5">
        <f t="shared" si="3"/>
        <v>50000</v>
      </c>
    </row>
    <row r="231" spans="1:13" x14ac:dyDescent="0.3">
      <c r="A231" t="s">
        <v>67</v>
      </c>
      <c r="B231">
        <v>25</v>
      </c>
      <c r="C231">
        <v>60000</v>
      </c>
      <c r="D231" t="s">
        <v>12</v>
      </c>
      <c r="E231" t="s">
        <v>13</v>
      </c>
      <c r="F231" t="s">
        <v>37</v>
      </c>
      <c r="G231" s="2">
        <v>43881</v>
      </c>
      <c r="H231" t="s">
        <v>38</v>
      </c>
      <c r="I231" t="s">
        <v>39</v>
      </c>
      <c r="J231" t="s">
        <v>24</v>
      </c>
      <c r="K231" s="5" t="s">
        <v>46</v>
      </c>
      <c r="L231" s="6" cm="1">
        <f t="array" ref="L231">_xlfn.SWITCH(Table13_2[[#This Row],[Performance Score]],"A",6,"B",5,"C",4,"D",3,"E",2,"F",1)</f>
        <v>5</v>
      </c>
      <c r="M231" s="5">
        <f t="shared" si="3"/>
        <v>60000</v>
      </c>
    </row>
    <row r="232" spans="1:13" x14ac:dyDescent="0.3">
      <c r="A232" t="s">
        <v>52</v>
      </c>
      <c r="B232">
        <v>50</v>
      </c>
      <c r="C232">
        <v>0</v>
      </c>
      <c r="D232" t="s">
        <v>34</v>
      </c>
      <c r="E232" t="s">
        <v>13</v>
      </c>
      <c r="F232" t="s">
        <v>37</v>
      </c>
      <c r="G232" s="2" t="s">
        <v>60</v>
      </c>
      <c r="H232" t="s">
        <v>27</v>
      </c>
      <c r="I232" t="s">
        <v>39</v>
      </c>
      <c r="J232" t="s">
        <v>17</v>
      </c>
      <c r="K232" s="5" t="s">
        <v>18</v>
      </c>
      <c r="L232" s="6" cm="1">
        <f t="array" ref="L232">_xlfn.SWITCH(Table13_2[[#This Row],[Performance Score]],"A",6,"B",5,"C",4,"D",3,"E",2,"F",1)</f>
        <v>4</v>
      </c>
      <c r="M232" s="5">
        <f t="shared" si="3"/>
        <v>51825</v>
      </c>
    </row>
    <row r="233" spans="1:13" x14ac:dyDescent="0.3">
      <c r="A233" t="s">
        <v>66</v>
      </c>
      <c r="B233">
        <v>35</v>
      </c>
      <c r="C233">
        <v>50000</v>
      </c>
      <c r="D233" t="s">
        <v>19</v>
      </c>
      <c r="E233" t="s">
        <v>30</v>
      </c>
      <c r="F233" t="s">
        <v>41</v>
      </c>
      <c r="G233" s="2" t="s">
        <v>62</v>
      </c>
      <c r="H233" t="s">
        <v>27</v>
      </c>
      <c r="I233" t="s">
        <v>16</v>
      </c>
      <c r="J233" t="s">
        <v>17</v>
      </c>
      <c r="K233" s="5" t="s">
        <v>45</v>
      </c>
      <c r="L233" s="6" cm="1">
        <f t="array" ref="L233">_xlfn.SWITCH(Table13_2[[#This Row],[Performance Score]],"A",6,"B",5,"C",4,"D",3,"E",2,"F",1)</f>
        <v>4</v>
      </c>
      <c r="M233" s="5">
        <f t="shared" si="3"/>
        <v>50000</v>
      </c>
    </row>
    <row r="234" spans="1:13" x14ac:dyDescent="0.3">
      <c r="A234" t="s">
        <v>65</v>
      </c>
      <c r="B234" t="s">
        <v>63</v>
      </c>
      <c r="C234">
        <v>65000</v>
      </c>
      <c r="D234" t="s">
        <v>19</v>
      </c>
      <c r="E234" t="s">
        <v>20</v>
      </c>
      <c r="F234" t="s">
        <v>41</v>
      </c>
      <c r="G234" s="2" t="s">
        <v>55</v>
      </c>
      <c r="H234" t="s">
        <v>15</v>
      </c>
      <c r="I234" t="s">
        <v>16</v>
      </c>
      <c r="J234" t="s">
        <v>28</v>
      </c>
      <c r="K234" s="5" t="s">
        <v>44</v>
      </c>
      <c r="L234" s="6" cm="1">
        <f t="array" ref="L234">_xlfn.SWITCH(Table13_2[[#This Row],[Performance Score]],"A",6,"B",5,"C",4,"D",3,"E",2,"F",1)</f>
        <v>3</v>
      </c>
      <c r="M234" s="5">
        <f t="shared" si="3"/>
        <v>65000</v>
      </c>
    </row>
    <row r="235" spans="1:13" x14ac:dyDescent="0.3">
      <c r="A235" t="s">
        <v>66</v>
      </c>
      <c r="B235" t="s">
        <v>51</v>
      </c>
      <c r="C235">
        <v>70000</v>
      </c>
      <c r="D235" t="s">
        <v>19</v>
      </c>
      <c r="E235" t="s">
        <v>13</v>
      </c>
      <c r="F235" t="s">
        <v>14</v>
      </c>
      <c r="G235" s="2">
        <v>43881</v>
      </c>
      <c r="H235" t="s">
        <v>38</v>
      </c>
      <c r="I235" t="s">
        <v>32</v>
      </c>
      <c r="J235" t="s">
        <v>24</v>
      </c>
      <c r="K235" s="5" t="s">
        <v>45</v>
      </c>
      <c r="L235" s="6" cm="1">
        <f t="array" ref="L235">_xlfn.SWITCH(Table13_2[[#This Row],[Performance Score]],"A",6,"B",5,"C",4,"D",3,"E",2,"F",1)</f>
        <v>5</v>
      </c>
      <c r="M235" s="5">
        <f t="shared" si="3"/>
        <v>70000</v>
      </c>
    </row>
    <row r="236" spans="1:13" x14ac:dyDescent="0.3">
      <c r="A236" t="s">
        <v>56</v>
      </c>
      <c r="B236">
        <v>40</v>
      </c>
      <c r="C236">
        <v>50000</v>
      </c>
      <c r="D236" t="s">
        <v>34</v>
      </c>
      <c r="E236" t="s">
        <v>26</v>
      </c>
      <c r="F236" t="s">
        <v>40</v>
      </c>
      <c r="G236" s="2" t="s">
        <v>50</v>
      </c>
      <c r="H236" t="s">
        <v>27</v>
      </c>
      <c r="I236" t="s">
        <v>32</v>
      </c>
      <c r="J236" t="s">
        <v>17</v>
      </c>
      <c r="K236" s="5" t="s">
        <v>29</v>
      </c>
      <c r="L236" s="6" cm="1">
        <f t="array" ref="L236">_xlfn.SWITCH(Table13_2[[#This Row],[Performance Score]],"A",6,"B",5,"C",4,"D",3,"E",2,"F",1)</f>
        <v>4</v>
      </c>
      <c r="M236" s="5">
        <f t="shared" si="3"/>
        <v>50000</v>
      </c>
    </row>
    <row r="237" spans="1:13" x14ac:dyDescent="0.3">
      <c r="A237" t="s">
        <v>56</v>
      </c>
      <c r="B237">
        <v>25</v>
      </c>
      <c r="C237">
        <v>65000</v>
      </c>
      <c r="D237" t="s">
        <v>34</v>
      </c>
      <c r="E237" t="s">
        <v>13</v>
      </c>
      <c r="F237" t="s">
        <v>14</v>
      </c>
      <c r="G237" s="2" t="s">
        <v>50</v>
      </c>
      <c r="H237" t="s">
        <v>15</v>
      </c>
      <c r="I237" t="s">
        <v>39</v>
      </c>
      <c r="J237" t="s">
        <v>42</v>
      </c>
      <c r="K237" s="5" t="s">
        <v>29</v>
      </c>
      <c r="L237" s="6" cm="1">
        <f t="array" ref="L237">_xlfn.SWITCH(Table13_2[[#This Row],[Performance Score]],"A",6,"B",5,"C",4,"D",3,"E",2,"F",1)</f>
        <v>3</v>
      </c>
      <c r="M237" s="5">
        <f t="shared" si="3"/>
        <v>65000</v>
      </c>
    </row>
    <row r="238" spans="1:13" x14ac:dyDescent="0.3">
      <c r="A238" t="s">
        <v>49</v>
      </c>
      <c r="B238">
        <v>40</v>
      </c>
      <c r="C238">
        <v>55000</v>
      </c>
      <c r="D238" t="s">
        <v>12</v>
      </c>
      <c r="E238" t="s">
        <v>26</v>
      </c>
      <c r="F238" t="s">
        <v>37</v>
      </c>
      <c r="G238" s="2" t="s">
        <v>55</v>
      </c>
      <c r="H238" t="s">
        <v>38</v>
      </c>
      <c r="I238" t="s">
        <v>39</v>
      </c>
      <c r="J238" t="s">
        <v>17</v>
      </c>
      <c r="K238" s="5" t="s">
        <v>11</v>
      </c>
      <c r="L238" s="6" cm="1">
        <f t="array" ref="L238">_xlfn.SWITCH(Table13_2[[#This Row],[Performance Score]],"A",6,"B",5,"C",4,"D",3,"E",2,"F",1)</f>
        <v>5</v>
      </c>
      <c r="M238" s="5">
        <f t="shared" si="3"/>
        <v>55000</v>
      </c>
    </row>
    <row r="239" spans="1:13" x14ac:dyDescent="0.3">
      <c r="A239" t="s">
        <v>67</v>
      </c>
      <c r="B239" t="s">
        <v>63</v>
      </c>
      <c r="C239">
        <v>65000</v>
      </c>
      <c r="D239" t="s">
        <v>12</v>
      </c>
      <c r="E239" t="s">
        <v>35</v>
      </c>
      <c r="F239" t="s">
        <v>21</v>
      </c>
      <c r="G239" s="2" t="s">
        <v>62</v>
      </c>
      <c r="H239" t="s">
        <v>27</v>
      </c>
      <c r="I239" t="s">
        <v>23</v>
      </c>
      <c r="J239" t="s">
        <v>24</v>
      </c>
      <c r="K239" s="5" t="s">
        <v>46</v>
      </c>
      <c r="L239" s="6" cm="1">
        <f t="array" ref="L239">_xlfn.SWITCH(Table13_2[[#This Row],[Performance Score]],"A",6,"B",5,"C",4,"D",3,"E",2,"F",1)</f>
        <v>4</v>
      </c>
      <c r="M239" s="5">
        <f t="shared" si="3"/>
        <v>65000</v>
      </c>
    </row>
    <row r="240" spans="1:13" x14ac:dyDescent="0.3">
      <c r="A240" t="s">
        <v>67</v>
      </c>
      <c r="B240">
        <v>40</v>
      </c>
      <c r="C240">
        <v>70000</v>
      </c>
      <c r="D240" t="s">
        <v>34</v>
      </c>
      <c r="E240" t="s">
        <v>35</v>
      </c>
      <c r="F240" t="s">
        <v>21</v>
      </c>
      <c r="G240" s="2">
        <v>43881</v>
      </c>
      <c r="H240" t="s">
        <v>31</v>
      </c>
      <c r="I240" t="s">
        <v>23</v>
      </c>
      <c r="J240" t="s">
        <v>17</v>
      </c>
      <c r="K240" s="5" t="s">
        <v>46</v>
      </c>
      <c r="L240" s="6" cm="1">
        <f t="array" ref="L240">_xlfn.SWITCH(Table13_2[[#This Row],[Performance Score]],"A",6,"B",5,"C",4,"D",3,"E",2,"F",1)</f>
        <v>6</v>
      </c>
      <c r="M240" s="5">
        <f t="shared" si="3"/>
        <v>70000</v>
      </c>
    </row>
    <row r="241" spans="1:13" x14ac:dyDescent="0.3">
      <c r="A241" t="s">
        <v>61</v>
      </c>
      <c r="B241">
        <v>25</v>
      </c>
      <c r="C241">
        <v>65000</v>
      </c>
      <c r="D241" t="s">
        <v>19</v>
      </c>
      <c r="E241" t="s">
        <v>26</v>
      </c>
      <c r="F241" t="s">
        <v>41</v>
      </c>
      <c r="G241" s="2" t="s">
        <v>55</v>
      </c>
      <c r="H241" t="s">
        <v>22</v>
      </c>
      <c r="I241" t="s">
        <v>16</v>
      </c>
      <c r="J241" t="s">
        <v>24</v>
      </c>
      <c r="K241" s="5" t="s">
        <v>36</v>
      </c>
      <c r="L241" s="6" cm="1">
        <f t="array" ref="L241">_xlfn.SWITCH(Table13_2[[#This Row],[Performance Score]],"A",6,"B",5,"C",4,"D",3,"E",2,"F",1)</f>
        <v>1</v>
      </c>
      <c r="M241" s="5">
        <f t="shared" si="3"/>
        <v>65000</v>
      </c>
    </row>
    <row r="242" spans="1:13" x14ac:dyDescent="0.3">
      <c r="A242" t="s">
        <v>61</v>
      </c>
      <c r="B242" t="s">
        <v>63</v>
      </c>
      <c r="C242">
        <v>60000</v>
      </c>
      <c r="D242" t="s">
        <v>19</v>
      </c>
      <c r="E242" t="s">
        <v>20</v>
      </c>
      <c r="F242" t="s">
        <v>21</v>
      </c>
      <c r="G242" s="2" t="s">
        <v>62</v>
      </c>
      <c r="H242" t="s">
        <v>38</v>
      </c>
      <c r="I242" t="s">
        <v>32</v>
      </c>
      <c r="J242" t="s">
        <v>42</v>
      </c>
      <c r="K242" s="5" t="s">
        <v>36</v>
      </c>
      <c r="L242" s="6" cm="1">
        <f t="array" ref="L242">_xlfn.SWITCH(Table13_2[[#This Row],[Performance Score]],"A",6,"B",5,"C",4,"D",3,"E",2,"F",1)</f>
        <v>5</v>
      </c>
      <c r="M242" s="5">
        <f t="shared" si="3"/>
        <v>60000</v>
      </c>
    </row>
    <row r="243" spans="1:13" x14ac:dyDescent="0.3">
      <c r="A243" t="s">
        <v>61</v>
      </c>
      <c r="B243">
        <v>40</v>
      </c>
      <c r="C243">
        <v>70000</v>
      </c>
      <c r="D243" t="s">
        <v>19</v>
      </c>
      <c r="E243" t="s">
        <v>13</v>
      </c>
      <c r="F243" t="s">
        <v>21</v>
      </c>
      <c r="G243" s="2">
        <v>43881</v>
      </c>
      <c r="H243" t="s">
        <v>15</v>
      </c>
      <c r="I243" t="s">
        <v>16</v>
      </c>
      <c r="J243" t="s">
        <v>28</v>
      </c>
      <c r="K243" s="5" t="s">
        <v>36</v>
      </c>
      <c r="L243" s="6" cm="1">
        <f t="array" ref="L243">_xlfn.SWITCH(Table13_2[[#This Row],[Performance Score]],"A",6,"B",5,"C",4,"D",3,"E",2,"F",1)</f>
        <v>3</v>
      </c>
      <c r="M243" s="5">
        <f t="shared" si="3"/>
        <v>70000</v>
      </c>
    </row>
    <row r="244" spans="1:13" x14ac:dyDescent="0.3">
      <c r="A244" t="s">
        <v>52</v>
      </c>
      <c r="B244" t="s">
        <v>51</v>
      </c>
      <c r="C244">
        <v>0</v>
      </c>
      <c r="D244" t="s">
        <v>12</v>
      </c>
      <c r="E244" t="s">
        <v>13</v>
      </c>
      <c r="F244" t="s">
        <v>21</v>
      </c>
      <c r="G244" s="2" t="s">
        <v>50</v>
      </c>
      <c r="H244" t="s">
        <v>38</v>
      </c>
      <c r="I244" t="s">
        <v>16</v>
      </c>
      <c r="J244" t="s">
        <v>17</v>
      </c>
      <c r="K244" s="5" t="s">
        <v>18</v>
      </c>
      <c r="L244" s="6" cm="1">
        <f t="array" ref="L244">_xlfn.SWITCH(Table13_2[[#This Row],[Performance Score]],"A",6,"B",5,"C",4,"D",3,"E",2,"F",1)</f>
        <v>5</v>
      </c>
      <c r="M244" s="5">
        <f t="shared" si="3"/>
        <v>51825</v>
      </c>
    </row>
    <row r="245" spans="1:13" x14ac:dyDescent="0.3">
      <c r="A245" t="s">
        <v>53</v>
      </c>
      <c r="B245">
        <v>50</v>
      </c>
      <c r="C245">
        <v>55000</v>
      </c>
      <c r="D245" t="s">
        <v>19</v>
      </c>
      <c r="E245" t="s">
        <v>35</v>
      </c>
      <c r="F245" t="s">
        <v>37</v>
      </c>
      <c r="G245" s="2">
        <v>43881</v>
      </c>
      <c r="H245" t="s">
        <v>15</v>
      </c>
      <c r="I245" t="s">
        <v>32</v>
      </c>
      <c r="J245" t="s">
        <v>24</v>
      </c>
      <c r="K245" s="5" t="s">
        <v>25</v>
      </c>
      <c r="L245" s="6" cm="1">
        <f t="array" ref="L245">_xlfn.SWITCH(Table13_2[[#This Row],[Performance Score]],"A",6,"B",5,"C",4,"D",3,"E",2,"F",1)</f>
        <v>3</v>
      </c>
      <c r="M245" s="5">
        <f t="shared" si="3"/>
        <v>55000</v>
      </c>
    </row>
    <row r="246" spans="1:13" x14ac:dyDescent="0.3">
      <c r="A246" t="s">
        <v>64</v>
      </c>
      <c r="B246" t="s">
        <v>63</v>
      </c>
      <c r="C246">
        <v>60000</v>
      </c>
      <c r="D246" t="s">
        <v>12</v>
      </c>
      <c r="E246" t="s">
        <v>26</v>
      </c>
      <c r="F246" t="s">
        <v>21</v>
      </c>
      <c r="G246" s="2" t="s">
        <v>60</v>
      </c>
      <c r="H246" t="s">
        <v>38</v>
      </c>
      <c r="I246" t="s">
        <v>23</v>
      </c>
      <c r="J246" t="s">
        <v>24</v>
      </c>
      <c r="K246" s="5" t="s">
        <v>43</v>
      </c>
      <c r="L246" s="6" cm="1">
        <f t="array" ref="L246">_xlfn.SWITCH(Table13_2[[#This Row],[Performance Score]],"A",6,"B",5,"C",4,"D",3,"E",2,"F",1)</f>
        <v>5</v>
      </c>
      <c r="M246" s="5">
        <f t="shared" si="3"/>
        <v>60000</v>
      </c>
    </row>
    <row r="247" spans="1:13" x14ac:dyDescent="0.3">
      <c r="A247" t="s">
        <v>53</v>
      </c>
      <c r="B247">
        <v>50</v>
      </c>
      <c r="C247">
        <v>0</v>
      </c>
      <c r="D247" t="s">
        <v>12</v>
      </c>
      <c r="E247" t="s">
        <v>13</v>
      </c>
      <c r="F247" t="s">
        <v>21</v>
      </c>
      <c r="G247" s="2">
        <v>43881</v>
      </c>
      <c r="H247" t="s">
        <v>15</v>
      </c>
      <c r="I247" t="s">
        <v>32</v>
      </c>
      <c r="J247" t="s">
        <v>24</v>
      </c>
      <c r="K247" s="5" t="s">
        <v>25</v>
      </c>
      <c r="L247" s="6" cm="1">
        <f t="array" ref="L247">_xlfn.SWITCH(Table13_2[[#This Row],[Performance Score]],"A",6,"B",5,"C",4,"D",3,"E",2,"F",1)</f>
        <v>3</v>
      </c>
      <c r="M247" s="5">
        <f t="shared" si="3"/>
        <v>51825</v>
      </c>
    </row>
    <row r="248" spans="1:13" x14ac:dyDescent="0.3">
      <c r="A248" t="s">
        <v>66</v>
      </c>
      <c r="B248" t="s">
        <v>63</v>
      </c>
      <c r="C248">
        <v>65000</v>
      </c>
      <c r="D248" t="s">
        <v>19</v>
      </c>
      <c r="E248" t="s">
        <v>13</v>
      </c>
      <c r="F248" t="s">
        <v>21</v>
      </c>
      <c r="G248" s="2" t="s">
        <v>60</v>
      </c>
      <c r="H248" t="s">
        <v>27</v>
      </c>
      <c r="I248" t="s">
        <v>39</v>
      </c>
      <c r="J248" t="s">
        <v>28</v>
      </c>
      <c r="K248" s="5" t="s">
        <v>45</v>
      </c>
      <c r="L248" s="6" cm="1">
        <f t="array" ref="L248">_xlfn.SWITCH(Table13_2[[#This Row],[Performance Score]],"A",6,"B",5,"C",4,"D",3,"E",2,"F",1)</f>
        <v>4</v>
      </c>
      <c r="M248" s="5">
        <f t="shared" si="3"/>
        <v>65000</v>
      </c>
    </row>
    <row r="249" spans="1:13" x14ac:dyDescent="0.3">
      <c r="A249" t="s">
        <v>53</v>
      </c>
      <c r="B249" t="s">
        <v>51</v>
      </c>
      <c r="C249">
        <v>70000</v>
      </c>
      <c r="D249" t="s">
        <v>19</v>
      </c>
      <c r="E249" t="s">
        <v>20</v>
      </c>
      <c r="F249" t="s">
        <v>14</v>
      </c>
      <c r="G249" s="2">
        <v>43881</v>
      </c>
      <c r="H249" t="s">
        <v>31</v>
      </c>
      <c r="I249" t="s">
        <v>39</v>
      </c>
      <c r="J249" t="s">
        <v>24</v>
      </c>
      <c r="K249" s="5" t="s">
        <v>25</v>
      </c>
      <c r="L249" s="6" cm="1">
        <f t="array" ref="L249">_xlfn.SWITCH(Table13_2[[#This Row],[Performance Score]],"A",6,"B",5,"C",4,"D",3,"E",2,"F",1)</f>
        <v>6</v>
      </c>
      <c r="M249" s="5">
        <f t="shared" si="3"/>
        <v>70000</v>
      </c>
    </row>
    <row r="250" spans="1:13" x14ac:dyDescent="0.3">
      <c r="A250" t="s">
        <v>52</v>
      </c>
      <c r="B250">
        <v>50</v>
      </c>
      <c r="C250">
        <v>55000</v>
      </c>
      <c r="D250" t="s">
        <v>34</v>
      </c>
      <c r="E250" t="s">
        <v>30</v>
      </c>
      <c r="F250" t="s">
        <v>37</v>
      </c>
      <c r="G250" s="2" t="s">
        <v>60</v>
      </c>
      <c r="H250" t="s">
        <v>27</v>
      </c>
      <c r="I250" t="s">
        <v>39</v>
      </c>
      <c r="J250" t="s">
        <v>17</v>
      </c>
      <c r="K250" s="5" t="s">
        <v>18</v>
      </c>
      <c r="L250" s="6" cm="1">
        <f t="array" ref="L250">_xlfn.SWITCH(Table13_2[[#This Row],[Performance Score]],"A",6,"B",5,"C",4,"D",3,"E",2,"F",1)</f>
        <v>4</v>
      </c>
      <c r="M250" s="5">
        <f t="shared" si="3"/>
        <v>55000</v>
      </c>
    </row>
    <row r="251" spans="1:13" x14ac:dyDescent="0.3">
      <c r="A251" t="s">
        <v>66</v>
      </c>
      <c r="B251">
        <v>35</v>
      </c>
      <c r="C251">
        <v>60000</v>
      </c>
      <c r="D251" t="s">
        <v>34</v>
      </c>
      <c r="E251" t="s">
        <v>35</v>
      </c>
      <c r="F251" t="s">
        <v>41</v>
      </c>
      <c r="G251" s="2" t="s">
        <v>50</v>
      </c>
      <c r="H251" t="s">
        <v>31</v>
      </c>
      <c r="I251" t="s">
        <v>39</v>
      </c>
      <c r="J251" t="s">
        <v>17</v>
      </c>
      <c r="K251" s="5" t="s">
        <v>45</v>
      </c>
      <c r="L251" s="6" cm="1">
        <f t="array" ref="L251">_xlfn.SWITCH(Table13_2[[#This Row],[Performance Score]],"A",6,"B",5,"C",4,"D",3,"E",2,"F",1)</f>
        <v>6</v>
      </c>
      <c r="M251" s="5">
        <f t="shared" si="3"/>
        <v>60000</v>
      </c>
    </row>
    <row r="252" spans="1:13" x14ac:dyDescent="0.3">
      <c r="A252" t="s">
        <v>53</v>
      </c>
      <c r="B252">
        <v>25</v>
      </c>
      <c r="C252">
        <v>0</v>
      </c>
      <c r="D252" t="s">
        <v>19</v>
      </c>
      <c r="E252" t="s">
        <v>35</v>
      </c>
      <c r="F252" t="s">
        <v>14</v>
      </c>
      <c r="G252" s="2" t="s">
        <v>62</v>
      </c>
      <c r="H252" t="s">
        <v>27</v>
      </c>
      <c r="I252" t="s">
        <v>23</v>
      </c>
      <c r="J252" t="s">
        <v>24</v>
      </c>
      <c r="K252" s="5" t="s">
        <v>25</v>
      </c>
      <c r="L252" s="6" cm="1">
        <f t="array" ref="L252">_xlfn.SWITCH(Table13_2[[#This Row],[Performance Score]],"A",6,"B",5,"C",4,"D",3,"E",2,"F",1)</f>
        <v>4</v>
      </c>
      <c r="M252" s="5">
        <f t="shared" si="3"/>
        <v>49144.385026737968</v>
      </c>
    </row>
    <row r="253" spans="1:13" x14ac:dyDescent="0.3">
      <c r="A253" t="s">
        <v>52</v>
      </c>
      <c r="B253">
        <v>35</v>
      </c>
      <c r="C253">
        <v>0</v>
      </c>
      <c r="D253" t="s">
        <v>12</v>
      </c>
      <c r="E253" t="s">
        <v>30</v>
      </c>
      <c r="F253" t="s">
        <v>40</v>
      </c>
      <c r="G253" s="2" t="s">
        <v>60</v>
      </c>
      <c r="H253" t="s">
        <v>27</v>
      </c>
      <c r="I253" t="s">
        <v>23</v>
      </c>
      <c r="J253" t="s">
        <v>17</v>
      </c>
      <c r="K253" s="5" t="s">
        <v>18</v>
      </c>
      <c r="L253" s="6" cm="1">
        <f t="array" ref="L253">_xlfn.SWITCH(Table13_2[[#This Row],[Performance Score]],"A",6,"B",5,"C",4,"D",3,"E",2,"F",1)</f>
        <v>4</v>
      </c>
      <c r="M253" s="5">
        <f t="shared" si="3"/>
        <v>50777.202072538857</v>
      </c>
    </row>
    <row r="254" spans="1:13" x14ac:dyDescent="0.3">
      <c r="A254" t="s">
        <v>64</v>
      </c>
      <c r="B254">
        <v>40</v>
      </c>
      <c r="C254">
        <v>55000</v>
      </c>
      <c r="D254" t="s">
        <v>12</v>
      </c>
      <c r="E254" t="s">
        <v>13</v>
      </c>
      <c r="F254" t="s">
        <v>37</v>
      </c>
      <c r="G254" s="2" t="s">
        <v>60</v>
      </c>
      <c r="H254" t="s">
        <v>38</v>
      </c>
      <c r="I254" t="s">
        <v>39</v>
      </c>
      <c r="J254" t="s">
        <v>17</v>
      </c>
      <c r="K254" s="5" t="s">
        <v>43</v>
      </c>
      <c r="L254" s="6" cm="1">
        <f t="array" ref="L254">_xlfn.SWITCH(Table13_2[[#This Row],[Performance Score]],"A",6,"B",5,"C",4,"D",3,"E",2,"F",1)</f>
        <v>5</v>
      </c>
      <c r="M254" s="5">
        <f t="shared" si="3"/>
        <v>55000</v>
      </c>
    </row>
    <row r="255" spans="1:13" x14ac:dyDescent="0.3">
      <c r="A255" t="s">
        <v>53</v>
      </c>
      <c r="B255" t="s">
        <v>51</v>
      </c>
      <c r="C255">
        <v>65000</v>
      </c>
      <c r="D255" t="s">
        <v>12</v>
      </c>
      <c r="E255" t="s">
        <v>20</v>
      </c>
      <c r="F255" t="s">
        <v>37</v>
      </c>
      <c r="G255" s="2" t="s">
        <v>50</v>
      </c>
      <c r="H255" t="s">
        <v>22</v>
      </c>
      <c r="I255" t="s">
        <v>16</v>
      </c>
      <c r="J255" t="s">
        <v>17</v>
      </c>
      <c r="K255" s="5" t="s">
        <v>25</v>
      </c>
      <c r="L255" s="6" cm="1">
        <f t="array" ref="L255">_xlfn.SWITCH(Table13_2[[#This Row],[Performance Score]],"A",6,"B",5,"C",4,"D",3,"E",2,"F",1)</f>
        <v>1</v>
      </c>
      <c r="M255" s="5">
        <f t="shared" si="3"/>
        <v>65000</v>
      </c>
    </row>
    <row r="256" spans="1:13" x14ac:dyDescent="0.3">
      <c r="A256" t="s">
        <v>52</v>
      </c>
      <c r="B256">
        <v>35</v>
      </c>
      <c r="C256">
        <v>55000</v>
      </c>
      <c r="D256" t="s">
        <v>12</v>
      </c>
      <c r="E256" t="s">
        <v>20</v>
      </c>
      <c r="F256" t="s">
        <v>40</v>
      </c>
      <c r="G256" s="2" t="s">
        <v>60</v>
      </c>
      <c r="H256" t="s">
        <v>15</v>
      </c>
      <c r="I256" t="s">
        <v>39</v>
      </c>
      <c r="J256" t="s">
        <v>24</v>
      </c>
      <c r="K256" s="5" t="s">
        <v>18</v>
      </c>
      <c r="L256" s="6" cm="1">
        <f t="array" ref="L256">_xlfn.SWITCH(Table13_2[[#This Row],[Performance Score]],"A",6,"B",5,"C",4,"D",3,"E",2,"F",1)</f>
        <v>3</v>
      </c>
      <c r="M256" s="5">
        <f t="shared" si="3"/>
        <v>55000</v>
      </c>
    </row>
    <row r="257" spans="1:13" x14ac:dyDescent="0.3">
      <c r="A257" t="s">
        <v>61</v>
      </c>
      <c r="B257" t="s">
        <v>63</v>
      </c>
      <c r="C257">
        <v>0</v>
      </c>
      <c r="D257" t="s">
        <v>12</v>
      </c>
      <c r="E257" t="s">
        <v>35</v>
      </c>
      <c r="F257" t="s">
        <v>40</v>
      </c>
      <c r="G257" s="2" t="s">
        <v>55</v>
      </c>
      <c r="H257" t="s">
        <v>15</v>
      </c>
      <c r="I257" t="s">
        <v>39</v>
      </c>
      <c r="J257" t="s">
        <v>42</v>
      </c>
      <c r="K257" s="5" t="s">
        <v>36</v>
      </c>
      <c r="L257" s="6" cm="1">
        <f t="array" ref="L257">_xlfn.SWITCH(Table13_2[[#This Row],[Performance Score]],"A",6,"B",5,"C",4,"D",3,"E",2,"F",1)</f>
        <v>3</v>
      </c>
      <c r="M257" s="5">
        <f t="shared" si="3"/>
        <v>49144.385026737968</v>
      </c>
    </row>
    <row r="258" spans="1:13" x14ac:dyDescent="0.3">
      <c r="A258" t="s">
        <v>67</v>
      </c>
      <c r="B258">
        <v>40</v>
      </c>
      <c r="C258">
        <v>50000</v>
      </c>
      <c r="D258" t="s">
        <v>34</v>
      </c>
      <c r="E258" t="s">
        <v>20</v>
      </c>
      <c r="F258" t="s">
        <v>40</v>
      </c>
      <c r="G258" s="2" t="s">
        <v>50</v>
      </c>
      <c r="H258" t="s">
        <v>15</v>
      </c>
      <c r="I258" t="s">
        <v>16</v>
      </c>
      <c r="J258" t="s">
        <v>17</v>
      </c>
      <c r="K258" s="5" t="s">
        <v>46</v>
      </c>
      <c r="L258" s="6" cm="1">
        <f t="array" ref="L258">_xlfn.SWITCH(Table13_2[[#This Row],[Performance Score]],"A",6,"B",5,"C",4,"D",3,"E",2,"F",1)</f>
        <v>3</v>
      </c>
      <c r="M258" s="5">
        <f t="shared" si="3"/>
        <v>50000</v>
      </c>
    </row>
    <row r="259" spans="1:13" x14ac:dyDescent="0.3">
      <c r="A259" t="s">
        <v>61</v>
      </c>
      <c r="B259">
        <v>40</v>
      </c>
      <c r="C259">
        <v>60000</v>
      </c>
      <c r="D259" t="s">
        <v>19</v>
      </c>
      <c r="E259" t="s">
        <v>30</v>
      </c>
      <c r="F259" t="s">
        <v>41</v>
      </c>
      <c r="G259" s="2" t="s">
        <v>55</v>
      </c>
      <c r="H259" t="s">
        <v>31</v>
      </c>
      <c r="I259" t="s">
        <v>32</v>
      </c>
      <c r="J259" t="s">
        <v>28</v>
      </c>
      <c r="K259" s="5" t="s">
        <v>36</v>
      </c>
      <c r="L259" s="6" cm="1">
        <f t="array" ref="L259">_xlfn.SWITCH(Table13_2[[#This Row],[Performance Score]],"A",6,"B",5,"C",4,"D",3,"E",2,"F",1)</f>
        <v>6</v>
      </c>
      <c r="M259" s="5">
        <f t="shared" ref="M259:M322" si="4">IF(C259=0,AVERAGEIF($E$2:$E$1001,E259,$C$2:$C$1001),C259)</f>
        <v>60000</v>
      </c>
    </row>
    <row r="260" spans="1:13" x14ac:dyDescent="0.3">
      <c r="A260" t="s">
        <v>67</v>
      </c>
      <c r="B260">
        <v>35</v>
      </c>
      <c r="C260">
        <v>55000</v>
      </c>
      <c r="D260" t="s">
        <v>34</v>
      </c>
      <c r="E260" t="s">
        <v>13</v>
      </c>
      <c r="F260" t="s">
        <v>21</v>
      </c>
      <c r="G260" s="2" t="s">
        <v>50</v>
      </c>
      <c r="H260" t="s">
        <v>15</v>
      </c>
      <c r="I260" t="s">
        <v>32</v>
      </c>
      <c r="J260" t="s">
        <v>24</v>
      </c>
      <c r="K260" s="5" t="s">
        <v>46</v>
      </c>
      <c r="L260" s="6" cm="1">
        <f t="array" ref="L260">_xlfn.SWITCH(Table13_2[[#This Row],[Performance Score]],"A",6,"B",5,"C",4,"D",3,"E",2,"F",1)</f>
        <v>3</v>
      </c>
      <c r="M260" s="5">
        <f t="shared" si="4"/>
        <v>55000</v>
      </c>
    </row>
    <row r="261" spans="1:13" x14ac:dyDescent="0.3">
      <c r="A261" t="s">
        <v>65</v>
      </c>
      <c r="B261">
        <v>35</v>
      </c>
      <c r="C261">
        <v>0</v>
      </c>
      <c r="D261" t="s">
        <v>12</v>
      </c>
      <c r="E261" t="s">
        <v>30</v>
      </c>
      <c r="F261" t="s">
        <v>37</v>
      </c>
      <c r="G261" s="2" t="s">
        <v>60</v>
      </c>
      <c r="H261" t="s">
        <v>15</v>
      </c>
      <c r="I261" t="s">
        <v>23</v>
      </c>
      <c r="J261" t="s">
        <v>28</v>
      </c>
      <c r="K261" s="5" t="s">
        <v>44</v>
      </c>
      <c r="L261" s="6" cm="1">
        <f t="array" ref="L261">_xlfn.SWITCH(Table13_2[[#This Row],[Performance Score]],"A",6,"B",5,"C",4,"D",3,"E",2,"F",1)</f>
        <v>3</v>
      </c>
      <c r="M261" s="5">
        <f t="shared" si="4"/>
        <v>50777.202072538857</v>
      </c>
    </row>
    <row r="262" spans="1:13" x14ac:dyDescent="0.3">
      <c r="A262" t="s">
        <v>65</v>
      </c>
      <c r="B262" t="s">
        <v>51</v>
      </c>
      <c r="C262">
        <v>65000</v>
      </c>
      <c r="D262" t="s">
        <v>12</v>
      </c>
      <c r="E262" t="s">
        <v>26</v>
      </c>
      <c r="F262" t="s">
        <v>21</v>
      </c>
      <c r="G262" s="2" t="s">
        <v>55</v>
      </c>
      <c r="H262" t="s">
        <v>38</v>
      </c>
      <c r="I262" t="s">
        <v>39</v>
      </c>
      <c r="J262" t="s">
        <v>42</v>
      </c>
      <c r="K262" s="5" t="s">
        <v>44</v>
      </c>
      <c r="L262" s="6" cm="1">
        <f t="array" ref="L262">_xlfn.SWITCH(Table13_2[[#This Row],[Performance Score]],"A",6,"B",5,"C",4,"D",3,"E",2,"F",1)</f>
        <v>5</v>
      </c>
      <c r="M262" s="5">
        <f t="shared" si="4"/>
        <v>65000</v>
      </c>
    </row>
    <row r="263" spans="1:13" x14ac:dyDescent="0.3">
      <c r="A263" t="s">
        <v>65</v>
      </c>
      <c r="B263">
        <v>25</v>
      </c>
      <c r="C263">
        <v>0</v>
      </c>
      <c r="D263" t="s">
        <v>12</v>
      </c>
      <c r="E263" t="s">
        <v>35</v>
      </c>
      <c r="F263" t="s">
        <v>21</v>
      </c>
      <c r="G263" s="2" t="s">
        <v>60</v>
      </c>
      <c r="H263" t="s">
        <v>27</v>
      </c>
      <c r="I263" t="s">
        <v>23</v>
      </c>
      <c r="J263" t="s">
        <v>28</v>
      </c>
      <c r="K263" s="5" t="s">
        <v>44</v>
      </c>
      <c r="L263" s="6" cm="1">
        <f t="array" ref="L263">_xlfn.SWITCH(Table13_2[[#This Row],[Performance Score]],"A",6,"B",5,"C",4,"D",3,"E",2,"F",1)</f>
        <v>4</v>
      </c>
      <c r="M263" s="5">
        <f t="shared" si="4"/>
        <v>49144.385026737968</v>
      </c>
    </row>
    <row r="264" spans="1:13" x14ac:dyDescent="0.3">
      <c r="A264" t="s">
        <v>64</v>
      </c>
      <c r="B264">
        <v>35</v>
      </c>
      <c r="C264">
        <v>65000</v>
      </c>
      <c r="D264" t="s">
        <v>12</v>
      </c>
      <c r="E264" t="s">
        <v>20</v>
      </c>
      <c r="F264" t="s">
        <v>40</v>
      </c>
      <c r="G264" s="2" t="s">
        <v>50</v>
      </c>
      <c r="H264" t="s">
        <v>15</v>
      </c>
      <c r="I264" t="s">
        <v>32</v>
      </c>
      <c r="J264" t="s">
        <v>24</v>
      </c>
      <c r="K264" s="5" t="s">
        <v>43</v>
      </c>
      <c r="L264" s="6" cm="1">
        <f t="array" ref="L264">_xlfn.SWITCH(Table13_2[[#This Row],[Performance Score]],"A",6,"B",5,"C",4,"D",3,"E",2,"F",1)</f>
        <v>3</v>
      </c>
      <c r="M264" s="5">
        <f t="shared" si="4"/>
        <v>65000</v>
      </c>
    </row>
    <row r="265" spans="1:13" x14ac:dyDescent="0.3">
      <c r="A265" t="s">
        <v>61</v>
      </c>
      <c r="B265">
        <v>35</v>
      </c>
      <c r="C265">
        <v>55000</v>
      </c>
      <c r="D265" t="s">
        <v>19</v>
      </c>
      <c r="E265" t="s">
        <v>26</v>
      </c>
      <c r="F265" t="s">
        <v>41</v>
      </c>
      <c r="G265" s="2" t="s">
        <v>60</v>
      </c>
      <c r="H265" t="s">
        <v>22</v>
      </c>
      <c r="I265" t="s">
        <v>16</v>
      </c>
      <c r="J265" t="s">
        <v>24</v>
      </c>
      <c r="K265" s="5" t="s">
        <v>36</v>
      </c>
      <c r="L265" s="6" cm="1">
        <f t="array" ref="L265">_xlfn.SWITCH(Table13_2[[#This Row],[Performance Score]],"A",6,"B",5,"C",4,"D",3,"E",2,"F",1)</f>
        <v>1</v>
      </c>
      <c r="M265" s="5">
        <f t="shared" si="4"/>
        <v>55000</v>
      </c>
    </row>
    <row r="266" spans="1:13" x14ac:dyDescent="0.3">
      <c r="A266" t="s">
        <v>67</v>
      </c>
      <c r="B266">
        <v>50</v>
      </c>
      <c r="C266">
        <v>65000</v>
      </c>
      <c r="D266" t="s">
        <v>12</v>
      </c>
      <c r="E266" t="s">
        <v>20</v>
      </c>
      <c r="F266" t="s">
        <v>14</v>
      </c>
      <c r="G266" s="2" t="s">
        <v>55</v>
      </c>
      <c r="H266" t="s">
        <v>15</v>
      </c>
      <c r="I266" t="s">
        <v>23</v>
      </c>
      <c r="J266" t="s">
        <v>42</v>
      </c>
      <c r="K266" s="5" t="s">
        <v>46</v>
      </c>
      <c r="L266" s="6" cm="1">
        <f t="array" ref="L266">_xlfn.SWITCH(Table13_2[[#This Row],[Performance Score]],"A",6,"B",5,"C",4,"D",3,"E",2,"F",1)</f>
        <v>3</v>
      </c>
      <c r="M266" s="5">
        <f t="shared" si="4"/>
        <v>65000</v>
      </c>
    </row>
    <row r="267" spans="1:13" x14ac:dyDescent="0.3">
      <c r="A267" t="s">
        <v>52</v>
      </c>
      <c r="B267" t="s">
        <v>63</v>
      </c>
      <c r="C267">
        <v>70000</v>
      </c>
      <c r="D267" t="s">
        <v>19</v>
      </c>
      <c r="E267" t="s">
        <v>13</v>
      </c>
      <c r="F267" t="s">
        <v>41</v>
      </c>
      <c r="G267" s="2" t="s">
        <v>55</v>
      </c>
      <c r="H267" t="s">
        <v>31</v>
      </c>
      <c r="I267" t="s">
        <v>39</v>
      </c>
      <c r="J267" t="s">
        <v>24</v>
      </c>
      <c r="K267" s="5" t="s">
        <v>18</v>
      </c>
      <c r="L267" s="6" cm="1">
        <f t="array" ref="L267">_xlfn.SWITCH(Table13_2[[#This Row],[Performance Score]],"A",6,"B",5,"C",4,"D",3,"E",2,"F",1)</f>
        <v>6</v>
      </c>
      <c r="M267" s="5">
        <f t="shared" si="4"/>
        <v>70000</v>
      </c>
    </row>
    <row r="268" spans="1:13" x14ac:dyDescent="0.3">
      <c r="A268" t="s">
        <v>66</v>
      </c>
      <c r="B268">
        <v>50</v>
      </c>
      <c r="C268">
        <v>70000</v>
      </c>
      <c r="D268" t="s">
        <v>12</v>
      </c>
      <c r="E268" t="s">
        <v>13</v>
      </c>
      <c r="F268" t="s">
        <v>21</v>
      </c>
      <c r="G268" s="2" t="s">
        <v>60</v>
      </c>
      <c r="H268" t="s">
        <v>31</v>
      </c>
      <c r="I268" t="s">
        <v>39</v>
      </c>
      <c r="J268" t="s">
        <v>42</v>
      </c>
      <c r="K268" s="5" t="s">
        <v>45</v>
      </c>
      <c r="L268" s="6" cm="1">
        <f t="array" ref="L268">_xlfn.SWITCH(Table13_2[[#This Row],[Performance Score]],"A",6,"B",5,"C",4,"D",3,"E",2,"F",1)</f>
        <v>6</v>
      </c>
      <c r="M268" s="5">
        <f t="shared" si="4"/>
        <v>70000</v>
      </c>
    </row>
    <row r="269" spans="1:13" x14ac:dyDescent="0.3">
      <c r="A269" t="s">
        <v>52</v>
      </c>
      <c r="B269">
        <v>50</v>
      </c>
      <c r="C269">
        <v>70000</v>
      </c>
      <c r="D269" t="s">
        <v>19</v>
      </c>
      <c r="E269" t="s">
        <v>13</v>
      </c>
      <c r="F269" t="s">
        <v>41</v>
      </c>
      <c r="G269" s="2">
        <v>43881</v>
      </c>
      <c r="H269" t="s">
        <v>31</v>
      </c>
      <c r="I269" t="s">
        <v>16</v>
      </c>
      <c r="J269" t="s">
        <v>42</v>
      </c>
      <c r="K269" s="5" t="s">
        <v>18</v>
      </c>
      <c r="L269" s="6" cm="1">
        <f t="array" ref="L269">_xlfn.SWITCH(Table13_2[[#This Row],[Performance Score]],"A",6,"B",5,"C",4,"D",3,"E",2,"F",1)</f>
        <v>6</v>
      </c>
      <c r="M269" s="5">
        <f t="shared" si="4"/>
        <v>70000</v>
      </c>
    </row>
    <row r="270" spans="1:13" x14ac:dyDescent="0.3">
      <c r="A270" t="s">
        <v>66</v>
      </c>
      <c r="B270">
        <v>40</v>
      </c>
      <c r="C270">
        <v>50000</v>
      </c>
      <c r="D270" t="s">
        <v>34</v>
      </c>
      <c r="E270" t="s">
        <v>20</v>
      </c>
      <c r="F270" t="s">
        <v>40</v>
      </c>
      <c r="G270" s="2" t="s">
        <v>50</v>
      </c>
      <c r="H270" t="s">
        <v>15</v>
      </c>
      <c r="I270" t="s">
        <v>32</v>
      </c>
      <c r="J270" t="s">
        <v>24</v>
      </c>
      <c r="K270" s="5" t="s">
        <v>45</v>
      </c>
      <c r="L270" s="6" cm="1">
        <f t="array" ref="L270">_xlfn.SWITCH(Table13_2[[#This Row],[Performance Score]],"A",6,"B",5,"C",4,"D",3,"E",2,"F",1)</f>
        <v>3</v>
      </c>
      <c r="M270" s="5">
        <f t="shared" si="4"/>
        <v>50000</v>
      </c>
    </row>
    <row r="271" spans="1:13" x14ac:dyDescent="0.3">
      <c r="A271" t="s">
        <v>56</v>
      </c>
      <c r="B271">
        <v>25</v>
      </c>
      <c r="C271">
        <v>55000</v>
      </c>
      <c r="D271" t="s">
        <v>12</v>
      </c>
      <c r="E271" t="s">
        <v>26</v>
      </c>
      <c r="F271" t="s">
        <v>14</v>
      </c>
      <c r="G271" s="2" t="s">
        <v>50</v>
      </c>
      <c r="H271" t="s">
        <v>38</v>
      </c>
      <c r="I271" t="s">
        <v>39</v>
      </c>
      <c r="J271" t="s">
        <v>17</v>
      </c>
      <c r="K271" s="5" t="s">
        <v>29</v>
      </c>
      <c r="L271" s="6" cm="1">
        <f t="array" ref="L271">_xlfn.SWITCH(Table13_2[[#This Row],[Performance Score]],"A",6,"B",5,"C",4,"D",3,"E",2,"F",1)</f>
        <v>5</v>
      </c>
      <c r="M271" s="5">
        <f t="shared" si="4"/>
        <v>55000</v>
      </c>
    </row>
    <row r="272" spans="1:13" x14ac:dyDescent="0.3">
      <c r="A272" t="s">
        <v>52</v>
      </c>
      <c r="B272" t="s">
        <v>63</v>
      </c>
      <c r="C272">
        <v>0</v>
      </c>
      <c r="D272" t="s">
        <v>19</v>
      </c>
      <c r="E272" t="s">
        <v>13</v>
      </c>
      <c r="F272" t="s">
        <v>40</v>
      </c>
      <c r="G272" s="2" t="s">
        <v>60</v>
      </c>
      <c r="H272" t="s">
        <v>22</v>
      </c>
      <c r="I272" t="s">
        <v>39</v>
      </c>
      <c r="J272" t="s">
        <v>42</v>
      </c>
      <c r="K272" s="5" t="s">
        <v>18</v>
      </c>
      <c r="L272" s="6" cm="1">
        <f t="array" ref="L272">_xlfn.SWITCH(Table13_2[[#This Row],[Performance Score]],"A",6,"B",5,"C",4,"D",3,"E",2,"F",1)</f>
        <v>1</v>
      </c>
      <c r="M272" s="5">
        <f t="shared" si="4"/>
        <v>51825</v>
      </c>
    </row>
    <row r="273" spans="1:13" x14ac:dyDescent="0.3">
      <c r="A273" t="s">
        <v>53</v>
      </c>
      <c r="B273" t="s">
        <v>51</v>
      </c>
      <c r="C273">
        <v>0</v>
      </c>
      <c r="D273" t="s">
        <v>34</v>
      </c>
      <c r="E273" t="s">
        <v>26</v>
      </c>
      <c r="F273" t="s">
        <v>14</v>
      </c>
      <c r="G273" s="2">
        <v>43881</v>
      </c>
      <c r="H273" t="s">
        <v>15</v>
      </c>
      <c r="I273" t="s">
        <v>39</v>
      </c>
      <c r="J273" t="s">
        <v>24</v>
      </c>
      <c r="K273" s="5" t="s">
        <v>25</v>
      </c>
      <c r="L273" s="6" cm="1">
        <f t="array" ref="L273">_xlfn.SWITCH(Table13_2[[#This Row],[Performance Score]],"A",6,"B",5,"C",4,"D",3,"E",2,"F",1)</f>
        <v>3</v>
      </c>
      <c r="M273" s="5">
        <f t="shared" si="4"/>
        <v>50742.574257425746</v>
      </c>
    </row>
    <row r="274" spans="1:13" x14ac:dyDescent="0.3">
      <c r="A274" t="s">
        <v>53</v>
      </c>
      <c r="B274" t="s">
        <v>51</v>
      </c>
      <c r="C274">
        <v>50000</v>
      </c>
      <c r="D274" t="s">
        <v>12</v>
      </c>
      <c r="E274" t="s">
        <v>20</v>
      </c>
      <c r="F274" t="s">
        <v>21</v>
      </c>
      <c r="G274" s="2" t="s">
        <v>55</v>
      </c>
      <c r="H274" t="s">
        <v>38</v>
      </c>
      <c r="I274" t="s">
        <v>23</v>
      </c>
      <c r="J274" t="s">
        <v>17</v>
      </c>
      <c r="K274" s="5" t="s">
        <v>25</v>
      </c>
      <c r="L274" s="6" cm="1">
        <f t="array" ref="L274">_xlfn.SWITCH(Table13_2[[#This Row],[Performance Score]],"A",6,"B",5,"C",4,"D",3,"E",2,"F",1)</f>
        <v>5</v>
      </c>
      <c r="M274" s="5">
        <f t="shared" si="4"/>
        <v>50000</v>
      </c>
    </row>
    <row r="275" spans="1:13" x14ac:dyDescent="0.3">
      <c r="A275" t="s">
        <v>49</v>
      </c>
      <c r="B275">
        <v>35</v>
      </c>
      <c r="C275">
        <v>65000</v>
      </c>
      <c r="D275" t="s">
        <v>12</v>
      </c>
      <c r="E275" t="s">
        <v>26</v>
      </c>
      <c r="F275" t="s">
        <v>14</v>
      </c>
      <c r="G275" s="2" t="s">
        <v>62</v>
      </c>
      <c r="H275" t="s">
        <v>38</v>
      </c>
      <c r="I275" t="s">
        <v>32</v>
      </c>
      <c r="J275" t="s">
        <v>42</v>
      </c>
      <c r="K275" s="5" t="s">
        <v>11</v>
      </c>
      <c r="L275" s="6" cm="1">
        <f t="array" ref="L275">_xlfn.SWITCH(Table13_2[[#This Row],[Performance Score]],"A",6,"B",5,"C",4,"D",3,"E",2,"F",1)</f>
        <v>5</v>
      </c>
      <c r="M275" s="5">
        <f t="shared" si="4"/>
        <v>65000</v>
      </c>
    </row>
    <row r="276" spans="1:13" x14ac:dyDescent="0.3">
      <c r="A276" t="s">
        <v>61</v>
      </c>
      <c r="B276">
        <v>35</v>
      </c>
      <c r="C276">
        <v>50000</v>
      </c>
      <c r="D276" t="s">
        <v>12</v>
      </c>
      <c r="E276" t="s">
        <v>20</v>
      </c>
      <c r="F276" t="s">
        <v>14</v>
      </c>
      <c r="G276" s="2" t="s">
        <v>62</v>
      </c>
      <c r="H276" t="s">
        <v>15</v>
      </c>
      <c r="I276" t="s">
        <v>23</v>
      </c>
      <c r="J276" t="s">
        <v>17</v>
      </c>
      <c r="K276" s="5" t="s">
        <v>36</v>
      </c>
      <c r="L276" s="6" cm="1">
        <f t="array" ref="L276">_xlfn.SWITCH(Table13_2[[#This Row],[Performance Score]],"A",6,"B",5,"C",4,"D",3,"E",2,"F",1)</f>
        <v>3</v>
      </c>
      <c r="M276" s="5">
        <f t="shared" si="4"/>
        <v>50000</v>
      </c>
    </row>
    <row r="277" spans="1:13" x14ac:dyDescent="0.3">
      <c r="A277" t="s">
        <v>66</v>
      </c>
      <c r="B277" t="s">
        <v>51</v>
      </c>
      <c r="C277">
        <v>65000</v>
      </c>
      <c r="D277" t="s">
        <v>19</v>
      </c>
      <c r="E277" t="s">
        <v>20</v>
      </c>
      <c r="F277" t="s">
        <v>14</v>
      </c>
      <c r="G277" s="2" t="s">
        <v>60</v>
      </c>
      <c r="H277" t="s">
        <v>15</v>
      </c>
      <c r="I277" t="s">
        <v>32</v>
      </c>
      <c r="J277" t="s">
        <v>17</v>
      </c>
      <c r="K277" s="5" t="s">
        <v>45</v>
      </c>
      <c r="L277" s="6" cm="1">
        <f t="array" ref="L277">_xlfn.SWITCH(Table13_2[[#This Row],[Performance Score]],"A",6,"B",5,"C",4,"D",3,"E",2,"F",1)</f>
        <v>3</v>
      </c>
      <c r="M277" s="5">
        <f t="shared" si="4"/>
        <v>65000</v>
      </c>
    </row>
    <row r="278" spans="1:13" x14ac:dyDescent="0.3">
      <c r="A278" t="s">
        <v>66</v>
      </c>
      <c r="B278">
        <v>35</v>
      </c>
      <c r="C278">
        <v>65000</v>
      </c>
      <c r="D278" t="s">
        <v>19</v>
      </c>
      <c r="E278" t="s">
        <v>35</v>
      </c>
      <c r="F278" t="s">
        <v>41</v>
      </c>
      <c r="G278" s="2">
        <v>43881</v>
      </c>
      <c r="H278" t="s">
        <v>38</v>
      </c>
      <c r="I278" t="s">
        <v>39</v>
      </c>
      <c r="J278" t="s">
        <v>17</v>
      </c>
      <c r="K278" s="5" t="s">
        <v>45</v>
      </c>
      <c r="L278" s="6" cm="1">
        <f t="array" ref="L278">_xlfn.SWITCH(Table13_2[[#This Row],[Performance Score]],"A",6,"B",5,"C",4,"D",3,"E",2,"F",1)</f>
        <v>5</v>
      </c>
      <c r="M278" s="5">
        <f t="shared" si="4"/>
        <v>65000</v>
      </c>
    </row>
    <row r="279" spans="1:13" x14ac:dyDescent="0.3">
      <c r="A279" t="s">
        <v>61</v>
      </c>
      <c r="B279">
        <v>25</v>
      </c>
      <c r="C279">
        <v>60000</v>
      </c>
      <c r="D279" t="s">
        <v>34</v>
      </c>
      <c r="E279" t="s">
        <v>20</v>
      </c>
      <c r="F279" t="s">
        <v>41</v>
      </c>
      <c r="G279" s="2">
        <v>43881</v>
      </c>
      <c r="H279" t="s">
        <v>38</v>
      </c>
      <c r="I279" t="s">
        <v>39</v>
      </c>
      <c r="J279" t="s">
        <v>17</v>
      </c>
      <c r="K279" s="5" t="s">
        <v>36</v>
      </c>
      <c r="L279" s="6" cm="1">
        <f t="array" ref="L279">_xlfn.SWITCH(Table13_2[[#This Row],[Performance Score]],"A",6,"B",5,"C",4,"D",3,"E",2,"F",1)</f>
        <v>5</v>
      </c>
      <c r="M279" s="5">
        <f t="shared" si="4"/>
        <v>60000</v>
      </c>
    </row>
    <row r="280" spans="1:13" x14ac:dyDescent="0.3">
      <c r="A280" t="s">
        <v>64</v>
      </c>
      <c r="B280">
        <v>50</v>
      </c>
      <c r="C280">
        <v>0</v>
      </c>
      <c r="D280" t="s">
        <v>19</v>
      </c>
      <c r="E280" t="s">
        <v>20</v>
      </c>
      <c r="F280" t="s">
        <v>21</v>
      </c>
      <c r="G280" s="2" t="s">
        <v>50</v>
      </c>
      <c r="H280" t="s">
        <v>38</v>
      </c>
      <c r="I280" t="s">
        <v>23</v>
      </c>
      <c r="J280" t="s">
        <v>42</v>
      </c>
      <c r="K280" s="5" t="s">
        <v>43</v>
      </c>
      <c r="L280" s="6" cm="1">
        <f t="array" ref="L280">_xlfn.SWITCH(Table13_2[[#This Row],[Performance Score]],"A",6,"B",5,"C",4,"D",3,"E",2,"F",1)</f>
        <v>5</v>
      </c>
      <c r="M280" s="5">
        <f t="shared" si="4"/>
        <v>48417.431192660551</v>
      </c>
    </row>
    <row r="281" spans="1:13" x14ac:dyDescent="0.3">
      <c r="A281" t="s">
        <v>49</v>
      </c>
      <c r="B281">
        <v>35</v>
      </c>
      <c r="C281">
        <v>70000</v>
      </c>
      <c r="D281" t="s">
        <v>19</v>
      </c>
      <c r="E281" t="s">
        <v>30</v>
      </c>
      <c r="F281" t="s">
        <v>14</v>
      </c>
      <c r="G281" s="2" t="s">
        <v>55</v>
      </c>
      <c r="H281" t="s">
        <v>15</v>
      </c>
      <c r="I281" t="s">
        <v>39</v>
      </c>
      <c r="J281" t="s">
        <v>24</v>
      </c>
      <c r="K281" s="5" t="s">
        <v>11</v>
      </c>
      <c r="L281" s="6" cm="1">
        <f t="array" ref="L281">_xlfn.SWITCH(Table13_2[[#This Row],[Performance Score]],"A",6,"B",5,"C",4,"D",3,"E",2,"F",1)</f>
        <v>3</v>
      </c>
      <c r="M281" s="5">
        <f t="shared" si="4"/>
        <v>70000</v>
      </c>
    </row>
    <row r="282" spans="1:13" x14ac:dyDescent="0.3">
      <c r="A282" t="s">
        <v>64</v>
      </c>
      <c r="B282">
        <v>40</v>
      </c>
      <c r="C282">
        <v>65000</v>
      </c>
      <c r="D282" t="s">
        <v>12</v>
      </c>
      <c r="E282" t="s">
        <v>13</v>
      </c>
      <c r="F282" t="s">
        <v>37</v>
      </c>
      <c r="G282" s="2">
        <v>43881</v>
      </c>
      <c r="H282" t="s">
        <v>38</v>
      </c>
      <c r="I282" t="s">
        <v>32</v>
      </c>
      <c r="J282" t="s">
        <v>28</v>
      </c>
      <c r="K282" s="5" t="s">
        <v>43</v>
      </c>
      <c r="L282" s="6" cm="1">
        <f t="array" ref="L282">_xlfn.SWITCH(Table13_2[[#This Row],[Performance Score]],"A",6,"B",5,"C",4,"D",3,"E",2,"F",1)</f>
        <v>5</v>
      </c>
      <c r="M282" s="5">
        <f t="shared" si="4"/>
        <v>65000</v>
      </c>
    </row>
    <row r="283" spans="1:13" x14ac:dyDescent="0.3">
      <c r="A283" t="s">
        <v>64</v>
      </c>
      <c r="B283">
        <v>35</v>
      </c>
      <c r="C283">
        <v>60000</v>
      </c>
      <c r="D283" t="s">
        <v>12</v>
      </c>
      <c r="E283" t="s">
        <v>35</v>
      </c>
      <c r="F283" t="s">
        <v>21</v>
      </c>
      <c r="G283" s="2" t="s">
        <v>62</v>
      </c>
      <c r="H283" t="s">
        <v>31</v>
      </c>
      <c r="I283" t="s">
        <v>23</v>
      </c>
      <c r="J283" t="s">
        <v>24</v>
      </c>
      <c r="K283" s="5" t="s">
        <v>43</v>
      </c>
      <c r="L283" s="6" cm="1">
        <f t="array" ref="L283">_xlfn.SWITCH(Table13_2[[#This Row],[Performance Score]],"A",6,"B",5,"C",4,"D",3,"E",2,"F",1)</f>
        <v>6</v>
      </c>
      <c r="M283" s="5">
        <f t="shared" si="4"/>
        <v>60000</v>
      </c>
    </row>
    <row r="284" spans="1:13" x14ac:dyDescent="0.3">
      <c r="A284" t="s">
        <v>64</v>
      </c>
      <c r="B284" t="s">
        <v>63</v>
      </c>
      <c r="C284">
        <v>0</v>
      </c>
      <c r="D284" t="s">
        <v>12</v>
      </c>
      <c r="E284" t="s">
        <v>35</v>
      </c>
      <c r="F284" t="s">
        <v>14</v>
      </c>
      <c r="G284" s="2" t="s">
        <v>55</v>
      </c>
      <c r="H284" t="s">
        <v>15</v>
      </c>
      <c r="I284" t="s">
        <v>23</v>
      </c>
      <c r="J284" t="s">
        <v>28</v>
      </c>
      <c r="K284" s="5" t="s">
        <v>43</v>
      </c>
      <c r="L284" s="6" cm="1">
        <f t="array" ref="L284">_xlfn.SWITCH(Table13_2[[#This Row],[Performance Score]],"A",6,"B",5,"C",4,"D",3,"E",2,"F",1)</f>
        <v>3</v>
      </c>
      <c r="M284" s="5">
        <f t="shared" si="4"/>
        <v>49144.385026737968</v>
      </c>
    </row>
    <row r="285" spans="1:13" x14ac:dyDescent="0.3">
      <c r="A285" t="s">
        <v>61</v>
      </c>
      <c r="B285">
        <v>25</v>
      </c>
      <c r="C285">
        <v>70000</v>
      </c>
      <c r="D285" t="s">
        <v>12</v>
      </c>
      <c r="E285" t="s">
        <v>35</v>
      </c>
      <c r="F285" t="s">
        <v>14</v>
      </c>
      <c r="G285" s="2" t="s">
        <v>55</v>
      </c>
      <c r="H285" t="s">
        <v>31</v>
      </c>
      <c r="I285" t="s">
        <v>39</v>
      </c>
      <c r="J285" t="s">
        <v>28</v>
      </c>
      <c r="K285" s="5" t="s">
        <v>36</v>
      </c>
      <c r="L285" s="6" cm="1">
        <f t="array" ref="L285">_xlfn.SWITCH(Table13_2[[#This Row],[Performance Score]],"A",6,"B",5,"C",4,"D",3,"E",2,"F",1)</f>
        <v>6</v>
      </c>
      <c r="M285" s="5">
        <f t="shared" si="4"/>
        <v>70000</v>
      </c>
    </row>
    <row r="286" spans="1:13" x14ac:dyDescent="0.3">
      <c r="A286" t="s">
        <v>64</v>
      </c>
      <c r="B286" t="s">
        <v>63</v>
      </c>
      <c r="C286">
        <v>65000</v>
      </c>
      <c r="D286" t="s">
        <v>12</v>
      </c>
      <c r="E286" t="s">
        <v>30</v>
      </c>
      <c r="F286" t="s">
        <v>41</v>
      </c>
      <c r="G286" s="2" t="s">
        <v>60</v>
      </c>
      <c r="H286" t="s">
        <v>27</v>
      </c>
      <c r="I286" t="s">
        <v>23</v>
      </c>
      <c r="J286" t="s">
        <v>42</v>
      </c>
      <c r="K286" s="5" t="s">
        <v>43</v>
      </c>
      <c r="L286" s="6" cm="1">
        <f t="array" ref="L286">_xlfn.SWITCH(Table13_2[[#This Row],[Performance Score]],"A",6,"B",5,"C",4,"D",3,"E",2,"F",1)</f>
        <v>4</v>
      </c>
      <c r="M286" s="5">
        <f t="shared" si="4"/>
        <v>65000</v>
      </c>
    </row>
    <row r="287" spans="1:13" x14ac:dyDescent="0.3">
      <c r="A287" t="s">
        <v>53</v>
      </c>
      <c r="B287" t="s">
        <v>63</v>
      </c>
      <c r="C287">
        <v>65000</v>
      </c>
      <c r="D287" t="s">
        <v>12</v>
      </c>
      <c r="E287" t="s">
        <v>20</v>
      </c>
      <c r="F287" t="s">
        <v>21</v>
      </c>
      <c r="G287" s="2">
        <v>43881</v>
      </c>
      <c r="H287" t="s">
        <v>15</v>
      </c>
      <c r="I287" t="s">
        <v>39</v>
      </c>
      <c r="J287" t="s">
        <v>17</v>
      </c>
      <c r="K287" s="5" t="s">
        <v>25</v>
      </c>
      <c r="L287" s="6" cm="1">
        <f t="array" ref="L287">_xlfn.SWITCH(Table13_2[[#This Row],[Performance Score]],"A",6,"B",5,"C",4,"D",3,"E",2,"F",1)</f>
        <v>3</v>
      </c>
      <c r="M287" s="5">
        <f t="shared" si="4"/>
        <v>65000</v>
      </c>
    </row>
    <row r="288" spans="1:13" x14ac:dyDescent="0.3">
      <c r="A288" t="s">
        <v>65</v>
      </c>
      <c r="B288">
        <v>40</v>
      </c>
      <c r="C288">
        <v>50000</v>
      </c>
      <c r="D288" t="s">
        <v>12</v>
      </c>
      <c r="E288" t="s">
        <v>13</v>
      </c>
      <c r="F288" t="s">
        <v>14</v>
      </c>
      <c r="G288" s="2" t="s">
        <v>60</v>
      </c>
      <c r="H288" t="s">
        <v>27</v>
      </c>
      <c r="I288" t="s">
        <v>39</v>
      </c>
      <c r="J288" t="s">
        <v>24</v>
      </c>
      <c r="K288" s="5" t="s">
        <v>44</v>
      </c>
      <c r="L288" s="6" cm="1">
        <f t="array" ref="L288">_xlfn.SWITCH(Table13_2[[#This Row],[Performance Score]],"A",6,"B",5,"C",4,"D",3,"E",2,"F",1)</f>
        <v>4</v>
      </c>
      <c r="M288" s="5">
        <f t="shared" si="4"/>
        <v>50000</v>
      </c>
    </row>
    <row r="289" spans="1:13" x14ac:dyDescent="0.3">
      <c r="A289" t="s">
        <v>56</v>
      </c>
      <c r="B289">
        <v>25</v>
      </c>
      <c r="C289">
        <v>50000</v>
      </c>
      <c r="D289" t="s">
        <v>34</v>
      </c>
      <c r="E289" t="s">
        <v>26</v>
      </c>
      <c r="F289" t="s">
        <v>14</v>
      </c>
      <c r="G289" s="2">
        <v>43881</v>
      </c>
      <c r="H289" t="s">
        <v>38</v>
      </c>
      <c r="I289" t="s">
        <v>39</v>
      </c>
      <c r="J289" t="s">
        <v>17</v>
      </c>
      <c r="K289" s="5" t="s">
        <v>29</v>
      </c>
      <c r="L289" s="6" cm="1">
        <f t="array" ref="L289">_xlfn.SWITCH(Table13_2[[#This Row],[Performance Score]],"A",6,"B",5,"C",4,"D",3,"E",2,"F",1)</f>
        <v>5</v>
      </c>
      <c r="M289" s="5">
        <f t="shared" si="4"/>
        <v>50000</v>
      </c>
    </row>
    <row r="290" spans="1:13" x14ac:dyDescent="0.3">
      <c r="A290" t="s">
        <v>66</v>
      </c>
      <c r="B290">
        <v>25</v>
      </c>
      <c r="C290">
        <v>0</v>
      </c>
      <c r="D290" t="s">
        <v>34</v>
      </c>
      <c r="E290" t="s">
        <v>20</v>
      </c>
      <c r="F290" t="s">
        <v>21</v>
      </c>
      <c r="G290" s="2" t="s">
        <v>50</v>
      </c>
      <c r="H290" t="s">
        <v>38</v>
      </c>
      <c r="I290" t="s">
        <v>32</v>
      </c>
      <c r="J290" t="s">
        <v>17</v>
      </c>
      <c r="K290" s="5" t="s">
        <v>45</v>
      </c>
      <c r="L290" s="6" cm="1">
        <f t="array" ref="L290">_xlfn.SWITCH(Table13_2[[#This Row],[Performance Score]],"A",6,"B",5,"C",4,"D",3,"E",2,"F",1)</f>
        <v>5</v>
      </c>
      <c r="M290" s="5">
        <f t="shared" si="4"/>
        <v>48417.431192660551</v>
      </c>
    </row>
    <row r="291" spans="1:13" x14ac:dyDescent="0.3">
      <c r="A291" t="s">
        <v>66</v>
      </c>
      <c r="B291">
        <v>25</v>
      </c>
      <c r="C291">
        <v>70000</v>
      </c>
      <c r="D291" t="s">
        <v>34</v>
      </c>
      <c r="E291" t="s">
        <v>30</v>
      </c>
      <c r="F291" t="s">
        <v>37</v>
      </c>
      <c r="G291" s="2" t="s">
        <v>60</v>
      </c>
      <c r="H291" t="s">
        <v>22</v>
      </c>
      <c r="I291" t="s">
        <v>39</v>
      </c>
      <c r="J291" t="s">
        <v>42</v>
      </c>
      <c r="K291" s="5" t="s">
        <v>45</v>
      </c>
      <c r="L291" s="6" cm="1">
        <f t="array" ref="L291">_xlfn.SWITCH(Table13_2[[#This Row],[Performance Score]],"A",6,"B",5,"C",4,"D",3,"E",2,"F",1)</f>
        <v>1</v>
      </c>
      <c r="M291" s="5">
        <f t="shared" si="4"/>
        <v>70000</v>
      </c>
    </row>
    <row r="292" spans="1:13" x14ac:dyDescent="0.3">
      <c r="A292" t="s">
        <v>56</v>
      </c>
      <c r="B292">
        <v>25</v>
      </c>
      <c r="C292">
        <v>65000</v>
      </c>
      <c r="D292" t="s">
        <v>34</v>
      </c>
      <c r="E292" t="s">
        <v>20</v>
      </c>
      <c r="F292" t="s">
        <v>21</v>
      </c>
      <c r="G292" s="2" t="s">
        <v>60</v>
      </c>
      <c r="H292" t="s">
        <v>38</v>
      </c>
      <c r="I292" t="s">
        <v>39</v>
      </c>
      <c r="J292" t="s">
        <v>42</v>
      </c>
      <c r="K292" s="5" t="s">
        <v>29</v>
      </c>
      <c r="L292" s="6" cm="1">
        <f t="array" ref="L292">_xlfn.SWITCH(Table13_2[[#This Row],[Performance Score]],"A",6,"B",5,"C",4,"D",3,"E",2,"F",1)</f>
        <v>5</v>
      </c>
      <c r="M292" s="5">
        <f t="shared" si="4"/>
        <v>65000</v>
      </c>
    </row>
    <row r="293" spans="1:13" x14ac:dyDescent="0.3">
      <c r="A293" t="s">
        <v>61</v>
      </c>
      <c r="B293">
        <v>25</v>
      </c>
      <c r="C293">
        <v>0</v>
      </c>
      <c r="D293" t="s">
        <v>12</v>
      </c>
      <c r="E293" t="s">
        <v>20</v>
      </c>
      <c r="F293" t="s">
        <v>21</v>
      </c>
      <c r="G293" s="2" t="s">
        <v>62</v>
      </c>
      <c r="H293" t="s">
        <v>27</v>
      </c>
      <c r="I293" t="s">
        <v>16</v>
      </c>
      <c r="J293" t="s">
        <v>17</v>
      </c>
      <c r="K293" s="5" t="s">
        <v>36</v>
      </c>
      <c r="L293" s="6" cm="1">
        <f t="array" ref="L293">_xlfn.SWITCH(Table13_2[[#This Row],[Performance Score]],"A",6,"B",5,"C",4,"D",3,"E",2,"F",1)</f>
        <v>4</v>
      </c>
      <c r="M293" s="5">
        <f t="shared" si="4"/>
        <v>48417.431192660551</v>
      </c>
    </row>
    <row r="294" spans="1:13" x14ac:dyDescent="0.3">
      <c r="A294" t="s">
        <v>52</v>
      </c>
      <c r="B294">
        <v>40</v>
      </c>
      <c r="C294">
        <v>0</v>
      </c>
      <c r="D294" t="s">
        <v>34</v>
      </c>
      <c r="E294" t="s">
        <v>30</v>
      </c>
      <c r="F294" t="s">
        <v>37</v>
      </c>
      <c r="G294" s="2" t="s">
        <v>60</v>
      </c>
      <c r="H294" t="s">
        <v>38</v>
      </c>
      <c r="I294" t="s">
        <v>16</v>
      </c>
      <c r="J294" t="s">
        <v>24</v>
      </c>
      <c r="K294" s="5" t="s">
        <v>18</v>
      </c>
      <c r="L294" s="6" cm="1">
        <f t="array" ref="L294">_xlfn.SWITCH(Table13_2[[#This Row],[Performance Score]],"A",6,"B",5,"C",4,"D",3,"E",2,"F",1)</f>
        <v>5</v>
      </c>
      <c r="M294" s="5">
        <f t="shared" si="4"/>
        <v>50777.202072538857</v>
      </c>
    </row>
    <row r="295" spans="1:13" x14ac:dyDescent="0.3">
      <c r="A295" t="s">
        <v>61</v>
      </c>
      <c r="B295">
        <v>35</v>
      </c>
      <c r="C295">
        <v>55000</v>
      </c>
      <c r="D295" t="s">
        <v>12</v>
      </c>
      <c r="E295" t="s">
        <v>35</v>
      </c>
      <c r="F295" t="s">
        <v>21</v>
      </c>
      <c r="G295" s="2">
        <v>43881</v>
      </c>
      <c r="H295" t="s">
        <v>15</v>
      </c>
      <c r="I295" t="s">
        <v>23</v>
      </c>
      <c r="J295" t="s">
        <v>17</v>
      </c>
      <c r="K295" s="5" t="s">
        <v>36</v>
      </c>
      <c r="L295" s="6" cm="1">
        <f t="array" ref="L295">_xlfn.SWITCH(Table13_2[[#This Row],[Performance Score]],"A",6,"B",5,"C",4,"D",3,"E",2,"F",1)</f>
        <v>3</v>
      </c>
      <c r="M295" s="5">
        <f t="shared" si="4"/>
        <v>55000</v>
      </c>
    </row>
    <row r="296" spans="1:13" x14ac:dyDescent="0.3">
      <c r="A296" t="s">
        <v>66</v>
      </c>
      <c r="B296" t="s">
        <v>63</v>
      </c>
      <c r="C296">
        <v>50000</v>
      </c>
      <c r="D296" t="s">
        <v>34</v>
      </c>
      <c r="E296" t="s">
        <v>35</v>
      </c>
      <c r="F296" t="s">
        <v>14</v>
      </c>
      <c r="G296" s="2" t="s">
        <v>62</v>
      </c>
      <c r="H296" t="s">
        <v>38</v>
      </c>
      <c r="I296" t="s">
        <v>23</v>
      </c>
      <c r="J296" t="s">
        <v>24</v>
      </c>
      <c r="K296" s="5" t="s">
        <v>45</v>
      </c>
      <c r="L296" s="6" cm="1">
        <f t="array" ref="L296">_xlfn.SWITCH(Table13_2[[#This Row],[Performance Score]],"A",6,"B",5,"C",4,"D",3,"E",2,"F",1)</f>
        <v>5</v>
      </c>
      <c r="M296" s="5">
        <f t="shared" si="4"/>
        <v>50000</v>
      </c>
    </row>
    <row r="297" spans="1:13" x14ac:dyDescent="0.3">
      <c r="A297" t="s">
        <v>66</v>
      </c>
      <c r="B297">
        <v>25</v>
      </c>
      <c r="C297">
        <v>70000</v>
      </c>
      <c r="D297" t="s">
        <v>19</v>
      </c>
      <c r="E297" t="s">
        <v>13</v>
      </c>
      <c r="F297" t="s">
        <v>21</v>
      </c>
      <c r="G297" s="2" t="s">
        <v>60</v>
      </c>
      <c r="H297" t="s">
        <v>22</v>
      </c>
      <c r="I297" t="s">
        <v>16</v>
      </c>
      <c r="J297" t="s">
        <v>28</v>
      </c>
      <c r="K297" s="5" t="s">
        <v>45</v>
      </c>
      <c r="L297" s="6" cm="1">
        <f t="array" ref="L297">_xlfn.SWITCH(Table13_2[[#This Row],[Performance Score]],"A",6,"B",5,"C",4,"D",3,"E",2,"F",1)</f>
        <v>1</v>
      </c>
      <c r="M297" s="5">
        <f t="shared" si="4"/>
        <v>70000</v>
      </c>
    </row>
    <row r="298" spans="1:13" x14ac:dyDescent="0.3">
      <c r="A298" t="s">
        <v>56</v>
      </c>
      <c r="B298">
        <v>35</v>
      </c>
      <c r="C298">
        <v>65000</v>
      </c>
      <c r="D298" t="s">
        <v>34</v>
      </c>
      <c r="E298" t="s">
        <v>13</v>
      </c>
      <c r="F298" t="s">
        <v>37</v>
      </c>
      <c r="G298" s="2" t="s">
        <v>60</v>
      </c>
      <c r="H298" t="s">
        <v>38</v>
      </c>
      <c r="I298" t="s">
        <v>39</v>
      </c>
      <c r="J298" t="s">
        <v>42</v>
      </c>
      <c r="K298" s="5" t="s">
        <v>29</v>
      </c>
      <c r="L298" s="6" cm="1">
        <f t="array" ref="L298">_xlfn.SWITCH(Table13_2[[#This Row],[Performance Score]],"A",6,"B",5,"C",4,"D",3,"E",2,"F",1)</f>
        <v>5</v>
      </c>
      <c r="M298" s="5">
        <f t="shared" si="4"/>
        <v>65000</v>
      </c>
    </row>
    <row r="299" spans="1:13" x14ac:dyDescent="0.3">
      <c r="A299" t="s">
        <v>64</v>
      </c>
      <c r="B299">
        <v>35</v>
      </c>
      <c r="C299">
        <v>0</v>
      </c>
      <c r="D299" t="s">
        <v>34</v>
      </c>
      <c r="E299" t="s">
        <v>35</v>
      </c>
      <c r="F299" t="s">
        <v>40</v>
      </c>
      <c r="G299" s="2" t="s">
        <v>50</v>
      </c>
      <c r="H299" t="s">
        <v>27</v>
      </c>
      <c r="I299" t="s">
        <v>23</v>
      </c>
      <c r="J299" t="s">
        <v>24</v>
      </c>
      <c r="K299" s="5" t="s">
        <v>43</v>
      </c>
      <c r="L299" s="6" cm="1">
        <f t="array" ref="L299">_xlfn.SWITCH(Table13_2[[#This Row],[Performance Score]],"A",6,"B",5,"C",4,"D",3,"E",2,"F",1)</f>
        <v>4</v>
      </c>
      <c r="M299" s="5">
        <f t="shared" si="4"/>
        <v>49144.385026737968</v>
      </c>
    </row>
    <row r="300" spans="1:13" x14ac:dyDescent="0.3">
      <c r="A300" t="s">
        <v>61</v>
      </c>
      <c r="B300" t="s">
        <v>63</v>
      </c>
      <c r="C300">
        <v>65000</v>
      </c>
      <c r="D300" t="s">
        <v>12</v>
      </c>
      <c r="E300" t="s">
        <v>26</v>
      </c>
      <c r="F300" t="s">
        <v>21</v>
      </c>
      <c r="G300" s="2" t="s">
        <v>60</v>
      </c>
      <c r="H300" t="s">
        <v>27</v>
      </c>
      <c r="I300" t="s">
        <v>39</v>
      </c>
      <c r="J300" t="s">
        <v>17</v>
      </c>
      <c r="K300" s="5" t="s">
        <v>36</v>
      </c>
      <c r="L300" s="6" cm="1">
        <f t="array" ref="L300">_xlfn.SWITCH(Table13_2[[#This Row],[Performance Score]],"A",6,"B",5,"C",4,"D",3,"E",2,"F",1)</f>
        <v>4</v>
      </c>
      <c r="M300" s="5">
        <f t="shared" si="4"/>
        <v>65000</v>
      </c>
    </row>
    <row r="301" spans="1:13" x14ac:dyDescent="0.3">
      <c r="A301" t="s">
        <v>67</v>
      </c>
      <c r="B301">
        <v>40</v>
      </c>
      <c r="C301">
        <v>55000</v>
      </c>
      <c r="D301" t="s">
        <v>34</v>
      </c>
      <c r="E301" t="s">
        <v>20</v>
      </c>
      <c r="F301" t="s">
        <v>41</v>
      </c>
      <c r="G301" s="2" t="s">
        <v>55</v>
      </c>
      <c r="H301" t="s">
        <v>38</v>
      </c>
      <c r="I301" t="s">
        <v>39</v>
      </c>
      <c r="J301" t="s">
        <v>17</v>
      </c>
      <c r="K301" s="5" t="s">
        <v>46</v>
      </c>
      <c r="L301" s="6" cm="1">
        <f t="array" ref="L301">_xlfn.SWITCH(Table13_2[[#This Row],[Performance Score]],"A",6,"B",5,"C",4,"D",3,"E",2,"F",1)</f>
        <v>5</v>
      </c>
      <c r="M301" s="5">
        <f t="shared" si="4"/>
        <v>55000</v>
      </c>
    </row>
    <row r="302" spans="1:13" x14ac:dyDescent="0.3">
      <c r="A302" t="s">
        <v>56</v>
      </c>
      <c r="B302" t="s">
        <v>51</v>
      </c>
      <c r="C302">
        <v>70000</v>
      </c>
      <c r="D302" t="s">
        <v>19</v>
      </c>
      <c r="E302" t="s">
        <v>26</v>
      </c>
      <c r="F302" t="s">
        <v>14</v>
      </c>
      <c r="G302" s="2" t="s">
        <v>62</v>
      </c>
      <c r="H302" t="s">
        <v>27</v>
      </c>
      <c r="I302" t="s">
        <v>39</v>
      </c>
      <c r="J302" t="s">
        <v>42</v>
      </c>
      <c r="K302" s="5" t="s">
        <v>29</v>
      </c>
      <c r="L302" s="6" cm="1">
        <f t="array" ref="L302">_xlfn.SWITCH(Table13_2[[#This Row],[Performance Score]],"A",6,"B",5,"C",4,"D",3,"E",2,"F",1)</f>
        <v>4</v>
      </c>
      <c r="M302" s="5">
        <f t="shared" si="4"/>
        <v>70000</v>
      </c>
    </row>
    <row r="303" spans="1:13" x14ac:dyDescent="0.3">
      <c r="A303" t="s">
        <v>53</v>
      </c>
      <c r="B303" t="s">
        <v>51</v>
      </c>
      <c r="C303">
        <v>0</v>
      </c>
      <c r="D303" t="s">
        <v>12</v>
      </c>
      <c r="E303" t="s">
        <v>20</v>
      </c>
      <c r="F303" t="s">
        <v>14</v>
      </c>
      <c r="G303" s="2" t="s">
        <v>55</v>
      </c>
      <c r="H303" t="s">
        <v>27</v>
      </c>
      <c r="I303" t="s">
        <v>23</v>
      </c>
      <c r="J303" t="s">
        <v>17</v>
      </c>
      <c r="K303" s="5" t="s">
        <v>25</v>
      </c>
      <c r="L303" s="6" cm="1">
        <f t="array" ref="L303">_xlfn.SWITCH(Table13_2[[#This Row],[Performance Score]],"A",6,"B",5,"C",4,"D",3,"E",2,"F",1)</f>
        <v>4</v>
      </c>
      <c r="M303" s="5">
        <f t="shared" si="4"/>
        <v>48417.431192660551</v>
      </c>
    </row>
    <row r="304" spans="1:13" x14ac:dyDescent="0.3">
      <c r="A304" t="s">
        <v>66</v>
      </c>
      <c r="B304">
        <v>35</v>
      </c>
      <c r="C304">
        <v>65000</v>
      </c>
      <c r="D304" t="s">
        <v>12</v>
      </c>
      <c r="E304" t="s">
        <v>35</v>
      </c>
      <c r="F304" t="s">
        <v>41</v>
      </c>
      <c r="G304" s="2" t="s">
        <v>62</v>
      </c>
      <c r="H304" t="s">
        <v>22</v>
      </c>
      <c r="I304" t="s">
        <v>39</v>
      </c>
      <c r="J304" t="s">
        <v>17</v>
      </c>
      <c r="K304" s="5" t="s">
        <v>45</v>
      </c>
      <c r="L304" s="6" cm="1">
        <f t="array" ref="L304">_xlfn.SWITCH(Table13_2[[#This Row],[Performance Score]],"A",6,"B",5,"C",4,"D",3,"E",2,"F",1)</f>
        <v>1</v>
      </c>
      <c r="M304" s="5">
        <f t="shared" si="4"/>
        <v>65000</v>
      </c>
    </row>
    <row r="305" spans="1:13" x14ac:dyDescent="0.3">
      <c r="A305" t="s">
        <v>56</v>
      </c>
      <c r="B305">
        <v>50</v>
      </c>
      <c r="C305">
        <v>50000</v>
      </c>
      <c r="D305" t="s">
        <v>34</v>
      </c>
      <c r="E305" t="s">
        <v>13</v>
      </c>
      <c r="F305" t="s">
        <v>41</v>
      </c>
      <c r="G305" s="2" t="s">
        <v>50</v>
      </c>
      <c r="H305" t="s">
        <v>15</v>
      </c>
      <c r="I305" t="s">
        <v>23</v>
      </c>
      <c r="J305" t="s">
        <v>24</v>
      </c>
      <c r="K305" s="5" t="s">
        <v>29</v>
      </c>
      <c r="L305" s="6" cm="1">
        <f t="array" ref="L305">_xlfn.SWITCH(Table13_2[[#This Row],[Performance Score]],"A",6,"B",5,"C",4,"D",3,"E",2,"F",1)</f>
        <v>3</v>
      </c>
      <c r="M305" s="5">
        <f t="shared" si="4"/>
        <v>50000</v>
      </c>
    </row>
    <row r="306" spans="1:13" x14ac:dyDescent="0.3">
      <c r="A306" t="s">
        <v>61</v>
      </c>
      <c r="B306">
        <v>50</v>
      </c>
      <c r="C306">
        <v>55000</v>
      </c>
      <c r="D306" t="s">
        <v>12</v>
      </c>
      <c r="E306" t="s">
        <v>13</v>
      </c>
      <c r="F306" t="s">
        <v>21</v>
      </c>
      <c r="G306" s="2" t="s">
        <v>60</v>
      </c>
      <c r="H306" t="s">
        <v>22</v>
      </c>
      <c r="I306" t="s">
        <v>23</v>
      </c>
      <c r="J306" t="s">
        <v>17</v>
      </c>
      <c r="K306" s="5" t="s">
        <v>36</v>
      </c>
      <c r="L306" s="6" cm="1">
        <f t="array" ref="L306">_xlfn.SWITCH(Table13_2[[#This Row],[Performance Score]],"A",6,"B",5,"C",4,"D",3,"E",2,"F",1)</f>
        <v>1</v>
      </c>
      <c r="M306" s="5">
        <f t="shared" si="4"/>
        <v>55000</v>
      </c>
    </row>
    <row r="307" spans="1:13" x14ac:dyDescent="0.3">
      <c r="A307" t="s">
        <v>66</v>
      </c>
      <c r="B307" t="s">
        <v>63</v>
      </c>
      <c r="C307">
        <v>70000</v>
      </c>
      <c r="D307" t="s">
        <v>12</v>
      </c>
      <c r="E307" t="s">
        <v>26</v>
      </c>
      <c r="F307" t="s">
        <v>41</v>
      </c>
      <c r="G307" s="2" t="s">
        <v>60</v>
      </c>
      <c r="H307" t="s">
        <v>31</v>
      </c>
      <c r="I307" t="s">
        <v>39</v>
      </c>
      <c r="J307" t="s">
        <v>42</v>
      </c>
      <c r="K307" s="5" t="s">
        <v>45</v>
      </c>
      <c r="L307" s="6" cm="1">
        <f t="array" ref="L307">_xlfn.SWITCH(Table13_2[[#This Row],[Performance Score]],"A",6,"B",5,"C",4,"D",3,"E",2,"F",1)</f>
        <v>6</v>
      </c>
      <c r="M307" s="5">
        <f t="shared" si="4"/>
        <v>70000</v>
      </c>
    </row>
    <row r="308" spans="1:13" x14ac:dyDescent="0.3">
      <c r="A308" t="s">
        <v>52</v>
      </c>
      <c r="B308" t="s">
        <v>51</v>
      </c>
      <c r="C308">
        <v>55000</v>
      </c>
      <c r="D308" t="s">
        <v>12</v>
      </c>
      <c r="E308" t="s">
        <v>13</v>
      </c>
      <c r="F308" t="s">
        <v>40</v>
      </c>
      <c r="G308" s="2" t="s">
        <v>60</v>
      </c>
      <c r="H308" t="s">
        <v>22</v>
      </c>
      <c r="I308" t="s">
        <v>16</v>
      </c>
      <c r="J308" t="s">
        <v>24</v>
      </c>
      <c r="K308" s="5" t="s">
        <v>18</v>
      </c>
      <c r="L308" s="6" cm="1">
        <f t="array" ref="L308">_xlfn.SWITCH(Table13_2[[#This Row],[Performance Score]],"A",6,"B",5,"C",4,"D",3,"E",2,"F",1)</f>
        <v>1</v>
      </c>
      <c r="M308" s="5">
        <f t="shared" si="4"/>
        <v>55000</v>
      </c>
    </row>
    <row r="309" spans="1:13" x14ac:dyDescent="0.3">
      <c r="A309" t="s">
        <v>56</v>
      </c>
      <c r="B309">
        <v>35</v>
      </c>
      <c r="C309">
        <v>50000</v>
      </c>
      <c r="D309" t="s">
        <v>12</v>
      </c>
      <c r="E309" t="s">
        <v>35</v>
      </c>
      <c r="F309" t="s">
        <v>37</v>
      </c>
      <c r="G309" s="2" t="s">
        <v>62</v>
      </c>
      <c r="H309" t="s">
        <v>38</v>
      </c>
      <c r="I309" t="s">
        <v>39</v>
      </c>
      <c r="J309" t="s">
        <v>28</v>
      </c>
      <c r="K309" s="5" t="s">
        <v>29</v>
      </c>
      <c r="L309" s="6" cm="1">
        <f t="array" ref="L309">_xlfn.SWITCH(Table13_2[[#This Row],[Performance Score]],"A",6,"B",5,"C",4,"D",3,"E",2,"F",1)</f>
        <v>5</v>
      </c>
      <c r="M309" s="5">
        <f t="shared" si="4"/>
        <v>50000</v>
      </c>
    </row>
    <row r="310" spans="1:13" x14ac:dyDescent="0.3">
      <c r="A310" t="s">
        <v>49</v>
      </c>
      <c r="B310">
        <v>40</v>
      </c>
      <c r="C310">
        <v>70000</v>
      </c>
      <c r="D310" t="s">
        <v>12</v>
      </c>
      <c r="E310" t="s">
        <v>26</v>
      </c>
      <c r="F310" t="s">
        <v>41</v>
      </c>
      <c r="G310" s="2" t="s">
        <v>60</v>
      </c>
      <c r="H310" t="s">
        <v>15</v>
      </c>
      <c r="I310" t="s">
        <v>39</v>
      </c>
      <c r="J310" t="s">
        <v>17</v>
      </c>
      <c r="K310" s="5" t="s">
        <v>11</v>
      </c>
      <c r="L310" s="6" cm="1">
        <f t="array" ref="L310">_xlfn.SWITCH(Table13_2[[#This Row],[Performance Score]],"A",6,"B",5,"C",4,"D",3,"E",2,"F",1)</f>
        <v>3</v>
      </c>
      <c r="M310" s="5">
        <f t="shared" si="4"/>
        <v>70000</v>
      </c>
    </row>
    <row r="311" spans="1:13" x14ac:dyDescent="0.3">
      <c r="A311" t="s">
        <v>66</v>
      </c>
      <c r="B311" t="s">
        <v>51</v>
      </c>
      <c r="C311">
        <v>55000</v>
      </c>
      <c r="D311" t="s">
        <v>12</v>
      </c>
      <c r="E311" t="s">
        <v>20</v>
      </c>
      <c r="F311" t="s">
        <v>41</v>
      </c>
      <c r="G311" s="2" t="s">
        <v>55</v>
      </c>
      <c r="H311" t="s">
        <v>38</v>
      </c>
      <c r="I311" t="s">
        <v>32</v>
      </c>
      <c r="J311" t="s">
        <v>17</v>
      </c>
      <c r="K311" s="5" t="s">
        <v>45</v>
      </c>
      <c r="L311" s="6" cm="1">
        <f t="array" ref="L311">_xlfn.SWITCH(Table13_2[[#This Row],[Performance Score]],"A",6,"B",5,"C",4,"D",3,"E",2,"F",1)</f>
        <v>5</v>
      </c>
      <c r="M311" s="5">
        <f t="shared" si="4"/>
        <v>55000</v>
      </c>
    </row>
    <row r="312" spans="1:13" x14ac:dyDescent="0.3">
      <c r="A312" t="s">
        <v>61</v>
      </c>
      <c r="B312">
        <v>35</v>
      </c>
      <c r="C312">
        <v>60000</v>
      </c>
      <c r="D312" t="s">
        <v>19</v>
      </c>
      <c r="E312" t="s">
        <v>13</v>
      </c>
      <c r="F312" t="s">
        <v>40</v>
      </c>
      <c r="G312" s="2" t="s">
        <v>60</v>
      </c>
      <c r="H312" t="s">
        <v>31</v>
      </c>
      <c r="I312" t="s">
        <v>39</v>
      </c>
      <c r="J312" t="s">
        <v>24</v>
      </c>
      <c r="K312" s="5" t="s">
        <v>36</v>
      </c>
      <c r="L312" s="6" cm="1">
        <f t="array" ref="L312">_xlfn.SWITCH(Table13_2[[#This Row],[Performance Score]],"A",6,"B",5,"C",4,"D",3,"E",2,"F",1)</f>
        <v>6</v>
      </c>
      <c r="M312" s="5">
        <f t="shared" si="4"/>
        <v>60000</v>
      </c>
    </row>
    <row r="313" spans="1:13" x14ac:dyDescent="0.3">
      <c r="A313" t="s">
        <v>65</v>
      </c>
      <c r="B313">
        <v>35</v>
      </c>
      <c r="C313">
        <v>50000</v>
      </c>
      <c r="D313" t="s">
        <v>34</v>
      </c>
      <c r="E313" t="s">
        <v>30</v>
      </c>
      <c r="F313" t="s">
        <v>14</v>
      </c>
      <c r="G313" s="2" t="s">
        <v>50</v>
      </c>
      <c r="H313" t="s">
        <v>15</v>
      </c>
      <c r="I313" t="s">
        <v>23</v>
      </c>
      <c r="J313" t="s">
        <v>17</v>
      </c>
      <c r="K313" s="5" t="s">
        <v>44</v>
      </c>
      <c r="L313" s="6" cm="1">
        <f t="array" ref="L313">_xlfn.SWITCH(Table13_2[[#This Row],[Performance Score]],"A",6,"B",5,"C",4,"D",3,"E",2,"F",1)</f>
        <v>3</v>
      </c>
      <c r="M313" s="5">
        <f t="shared" si="4"/>
        <v>50000</v>
      </c>
    </row>
    <row r="314" spans="1:13" x14ac:dyDescent="0.3">
      <c r="A314" t="s">
        <v>67</v>
      </c>
      <c r="B314">
        <v>25</v>
      </c>
      <c r="C314">
        <v>50000</v>
      </c>
      <c r="D314" t="s">
        <v>19</v>
      </c>
      <c r="E314" t="s">
        <v>13</v>
      </c>
      <c r="F314" t="s">
        <v>14</v>
      </c>
      <c r="G314" s="2" t="s">
        <v>55</v>
      </c>
      <c r="H314" t="s">
        <v>27</v>
      </c>
      <c r="I314" t="s">
        <v>23</v>
      </c>
      <c r="J314" t="s">
        <v>17</v>
      </c>
      <c r="K314" s="5" t="s">
        <v>46</v>
      </c>
      <c r="L314" s="6" cm="1">
        <f t="array" ref="L314">_xlfn.SWITCH(Table13_2[[#This Row],[Performance Score]],"A",6,"B",5,"C",4,"D",3,"E",2,"F",1)</f>
        <v>4</v>
      </c>
      <c r="M314" s="5">
        <f t="shared" si="4"/>
        <v>50000</v>
      </c>
    </row>
    <row r="315" spans="1:13" x14ac:dyDescent="0.3">
      <c r="A315" t="s">
        <v>59</v>
      </c>
      <c r="B315">
        <v>40</v>
      </c>
      <c r="C315">
        <v>50000</v>
      </c>
      <c r="D315" t="s">
        <v>12</v>
      </c>
      <c r="E315" t="s">
        <v>20</v>
      </c>
      <c r="F315" t="s">
        <v>21</v>
      </c>
      <c r="G315" s="2" t="s">
        <v>60</v>
      </c>
      <c r="H315" t="s">
        <v>22</v>
      </c>
      <c r="I315" t="s">
        <v>39</v>
      </c>
      <c r="J315" t="s">
        <v>42</v>
      </c>
      <c r="K315" s="5" t="s">
        <v>33</v>
      </c>
      <c r="L315" s="6" cm="1">
        <f t="array" ref="L315">_xlfn.SWITCH(Table13_2[[#This Row],[Performance Score]],"A",6,"B",5,"C",4,"D",3,"E",2,"F",1)</f>
        <v>1</v>
      </c>
      <c r="M315" s="5">
        <f t="shared" si="4"/>
        <v>50000</v>
      </c>
    </row>
    <row r="316" spans="1:13" x14ac:dyDescent="0.3">
      <c r="A316" t="s">
        <v>64</v>
      </c>
      <c r="B316">
        <v>25</v>
      </c>
      <c r="C316">
        <v>60000</v>
      </c>
      <c r="D316" t="s">
        <v>12</v>
      </c>
      <c r="E316" t="s">
        <v>26</v>
      </c>
      <c r="F316" t="s">
        <v>40</v>
      </c>
      <c r="G316" s="2" t="s">
        <v>60</v>
      </c>
      <c r="H316" t="s">
        <v>38</v>
      </c>
      <c r="I316" t="s">
        <v>32</v>
      </c>
      <c r="J316" t="s">
        <v>17</v>
      </c>
      <c r="K316" s="5" t="s">
        <v>43</v>
      </c>
      <c r="L316" s="6" cm="1">
        <f t="array" ref="L316">_xlfn.SWITCH(Table13_2[[#This Row],[Performance Score]],"A",6,"B",5,"C",4,"D",3,"E",2,"F",1)</f>
        <v>5</v>
      </c>
      <c r="M316" s="5">
        <f t="shared" si="4"/>
        <v>60000</v>
      </c>
    </row>
    <row r="317" spans="1:13" x14ac:dyDescent="0.3">
      <c r="A317" t="s">
        <v>59</v>
      </c>
      <c r="B317" t="s">
        <v>63</v>
      </c>
      <c r="C317">
        <v>60000</v>
      </c>
      <c r="D317" t="s">
        <v>34</v>
      </c>
      <c r="E317" t="s">
        <v>20</v>
      </c>
      <c r="F317" t="s">
        <v>37</v>
      </c>
      <c r="G317" s="2">
        <v>43881</v>
      </c>
      <c r="H317" t="s">
        <v>31</v>
      </c>
      <c r="I317" t="s">
        <v>39</v>
      </c>
      <c r="J317" t="s">
        <v>28</v>
      </c>
      <c r="K317" s="5" t="s">
        <v>33</v>
      </c>
      <c r="L317" s="6" cm="1">
        <f t="array" ref="L317">_xlfn.SWITCH(Table13_2[[#This Row],[Performance Score]],"A",6,"B",5,"C",4,"D",3,"E",2,"F",1)</f>
        <v>6</v>
      </c>
      <c r="M317" s="5">
        <f t="shared" si="4"/>
        <v>60000</v>
      </c>
    </row>
    <row r="318" spans="1:13" x14ac:dyDescent="0.3">
      <c r="A318" t="s">
        <v>61</v>
      </c>
      <c r="B318">
        <v>25</v>
      </c>
      <c r="C318">
        <v>65000</v>
      </c>
      <c r="D318" t="s">
        <v>19</v>
      </c>
      <c r="E318" t="s">
        <v>30</v>
      </c>
      <c r="F318" t="s">
        <v>37</v>
      </c>
      <c r="G318" s="2" t="s">
        <v>62</v>
      </c>
      <c r="H318" t="s">
        <v>27</v>
      </c>
      <c r="I318" t="s">
        <v>32</v>
      </c>
      <c r="J318" t="s">
        <v>17</v>
      </c>
      <c r="K318" s="5" t="s">
        <v>36</v>
      </c>
      <c r="L318" s="6" cm="1">
        <f t="array" ref="L318">_xlfn.SWITCH(Table13_2[[#This Row],[Performance Score]],"A",6,"B",5,"C",4,"D",3,"E",2,"F",1)</f>
        <v>4</v>
      </c>
      <c r="M318" s="5">
        <f t="shared" si="4"/>
        <v>65000</v>
      </c>
    </row>
    <row r="319" spans="1:13" x14ac:dyDescent="0.3">
      <c r="A319" t="s">
        <v>53</v>
      </c>
      <c r="B319">
        <v>25</v>
      </c>
      <c r="C319">
        <v>0</v>
      </c>
      <c r="D319" t="s">
        <v>34</v>
      </c>
      <c r="E319" t="s">
        <v>35</v>
      </c>
      <c r="F319" t="s">
        <v>40</v>
      </c>
      <c r="G319" s="2" t="s">
        <v>55</v>
      </c>
      <c r="H319" t="s">
        <v>22</v>
      </c>
      <c r="I319" t="s">
        <v>32</v>
      </c>
      <c r="J319" t="s">
        <v>17</v>
      </c>
      <c r="K319" s="5" t="s">
        <v>25</v>
      </c>
      <c r="L319" s="6" cm="1">
        <f t="array" ref="L319">_xlfn.SWITCH(Table13_2[[#This Row],[Performance Score]],"A",6,"B",5,"C",4,"D",3,"E",2,"F",1)</f>
        <v>1</v>
      </c>
      <c r="M319" s="5">
        <f t="shared" si="4"/>
        <v>49144.385026737968</v>
      </c>
    </row>
    <row r="320" spans="1:13" x14ac:dyDescent="0.3">
      <c r="A320" t="s">
        <v>53</v>
      </c>
      <c r="B320" t="s">
        <v>51</v>
      </c>
      <c r="C320">
        <v>55000</v>
      </c>
      <c r="D320" t="s">
        <v>19</v>
      </c>
      <c r="E320" t="s">
        <v>13</v>
      </c>
      <c r="F320" t="s">
        <v>37</v>
      </c>
      <c r="G320" s="2">
        <v>43881</v>
      </c>
      <c r="H320" t="s">
        <v>27</v>
      </c>
      <c r="I320" t="s">
        <v>39</v>
      </c>
      <c r="J320" t="s">
        <v>17</v>
      </c>
      <c r="K320" s="5" t="s">
        <v>25</v>
      </c>
      <c r="L320" s="6" cm="1">
        <f t="array" ref="L320">_xlfn.SWITCH(Table13_2[[#This Row],[Performance Score]],"A",6,"B",5,"C",4,"D",3,"E",2,"F",1)</f>
        <v>4</v>
      </c>
      <c r="M320" s="5">
        <f t="shared" si="4"/>
        <v>55000</v>
      </c>
    </row>
    <row r="321" spans="1:13" x14ac:dyDescent="0.3">
      <c r="A321" t="s">
        <v>65</v>
      </c>
      <c r="B321">
        <v>50</v>
      </c>
      <c r="C321">
        <v>65000</v>
      </c>
      <c r="D321" t="s">
        <v>12</v>
      </c>
      <c r="E321" t="s">
        <v>26</v>
      </c>
      <c r="F321" t="s">
        <v>14</v>
      </c>
      <c r="G321" s="2" t="s">
        <v>50</v>
      </c>
      <c r="H321" t="s">
        <v>22</v>
      </c>
      <c r="I321" t="s">
        <v>23</v>
      </c>
      <c r="J321" t="s">
        <v>24</v>
      </c>
      <c r="K321" s="5" t="s">
        <v>44</v>
      </c>
      <c r="L321" s="6" cm="1">
        <f t="array" ref="L321">_xlfn.SWITCH(Table13_2[[#This Row],[Performance Score]],"A",6,"B",5,"C",4,"D",3,"E",2,"F",1)</f>
        <v>1</v>
      </c>
      <c r="M321" s="5">
        <f t="shared" si="4"/>
        <v>65000</v>
      </c>
    </row>
    <row r="322" spans="1:13" x14ac:dyDescent="0.3">
      <c r="A322" t="s">
        <v>64</v>
      </c>
      <c r="B322">
        <v>35</v>
      </c>
      <c r="C322">
        <v>55000</v>
      </c>
      <c r="D322" t="s">
        <v>34</v>
      </c>
      <c r="E322" t="s">
        <v>35</v>
      </c>
      <c r="F322" t="s">
        <v>37</v>
      </c>
      <c r="G322" s="2" t="s">
        <v>62</v>
      </c>
      <c r="H322" t="s">
        <v>15</v>
      </c>
      <c r="I322" t="s">
        <v>23</v>
      </c>
      <c r="J322" t="s">
        <v>17</v>
      </c>
      <c r="K322" s="5" t="s">
        <v>43</v>
      </c>
      <c r="L322" s="6" cm="1">
        <f t="array" ref="L322">_xlfn.SWITCH(Table13_2[[#This Row],[Performance Score]],"A",6,"B",5,"C",4,"D",3,"E",2,"F",1)</f>
        <v>3</v>
      </c>
      <c r="M322" s="5">
        <f t="shared" si="4"/>
        <v>55000</v>
      </c>
    </row>
    <row r="323" spans="1:13" x14ac:dyDescent="0.3">
      <c r="A323" t="s">
        <v>49</v>
      </c>
      <c r="B323">
        <v>40</v>
      </c>
      <c r="C323">
        <v>0</v>
      </c>
      <c r="D323" t="s">
        <v>34</v>
      </c>
      <c r="E323" t="s">
        <v>20</v>
      </c>
      <c r="F323" t="s">
        <v>37</v>
      </c>
      <c r="G323" s="2" t="s">
        <v>55</v>
      </c>
      <c r="H323" t="s">
        <v>27</v>
      </c>
      <c r="I323" t="s">
        <v>32</v>
      </c>
      <c r="J323" t="s">
        <v>17</v>
      </c>
      <c r="K323" s="5" t="s">
        <v>11</v>
      </c>
      <c r="L323" s="6" cm="1">
        <f t="array" ref="L323">_xlfn.SWITCH(Table13_2[[#This Row],[Performance Score]],"A",6,"B",5,"C",4,"D",3,"E",2,"F",1)</f>
        <v>4</v>
      </c>
      <c r="M323" s="5">
        <f t="shared" ref="M323:M386" si="5">IF(C323=0,AVERAGEIF($E$2:$E$1001,E323,$C$2:$C$1001),C323)</f>
        <v>48417.431192660551</v>
      </c>
    </row>
    <row r="324" spans="1:13" x14ac:dyDescent="0.3">
      <c r="A324" t="s">
        <v>65</v>
      </c>
      <c r="B324">
        <v>25</v>
      </c>
      <c r="C324">
        <v>60000</v>
      </c>
      <c r="D324" t="s">
        <v>12</v>
      </c>
      <c r="E324" t="s">
        <v>26</v>
      </c>
      <c r="F324" t="s">
        <v>40</v>
      </c>
      <c r="G324" s="2" t="s">
        <v>60</v>
      </c>
      <c r="H324" t="s">
        <v>27</v>
      </c>
      <c r="I324" t="s">
        <v>23</v>
      </c>
      <c r="J324" t="s">
        <v>24</v>
      </c>
      <c r="K324" s="5" t="s">
        <v>44</v>
      </c>
      <c r="L324" s="6" cm="1">
        <f t="array" ref="L324">_xlfn.SWITCH(Table13_2[[#This Row],[Performance Score]],"A",6,"B",5,"C",4,"D",3,"E",2,"F",1)</f>
        <v>4</v>
      </c>
      <c r="M324" s="5">
        <f t="shared" si="5"/>
        <v>60000</v>
      </c>
    </row>
    <row r="325" spans="1:13" x14ac:dyDescent="0.3">
      <c r="A325" t="s">
        <v>59</v>
      </c>
      <c r="B325">
        <v>40</v>
      </c>
      <c r="C325">
        <v>0</v>
      </c>
      <c r="D325" t="s">
        <v>34</v>
      </c>
      <c r="E325" t="s">
        <v>35</v>
      </c>
      <c r="F325" t="s">
        <v>40</v>
      </c>
      <c r="G325" s="2" t="s">
        <v>55</v>
      </c>
      <c r="H325" t="s">
        <v>27</v>
      </c>
      <c r="I325" t="s">
        <v>16</v>
      </c>
      <c r="J325" t="s">
        <v>42</v>
      </c>
      <c r="K325" s="5" t="s">
        <v>33</v>
      </c>
      <c r="L325" s="6" cm="1">
        <f t="array" ref="L325">_xlfn.SWITCH(Table13_2[[#This Row],[Performance Score]],"A",6,"B",5,"C",4,"D",3,"E",2,"F",1)</f>
        <v>4</v>
      </c>
      <c r="M325" s="5">
        <f t="shared" si="5"/>
        <v>49144.385026737968</v>
      </c>
    </row>
    <row r="326" spans="1:13" x14ac:dyDescent="0.3">
      <c r="A326" t="s">
        <v>65</v>
      </c>
      <c r="B326">
        <v>50</v>
      </c>
      <c r="C326">
        <v>60000</v>
      </c>
      <c r="D326" t="s">
        <v>19</v>
      </c>
      <c r="E326" t="s">
        <v>26</v>
      </c>
      <c r="F326" t="s">
        <v>37</v>
      </c>
      <c r="G326" s="2" t="s">
        <v>60</v>
      </c>
      <c r="H326" t="s">
        <v>15</v>
      </c>
      <c r="I326" t="s">
        <v>32</v>
      </c>
      <c r="J326" t="s">
        <v>24</v>
      </c>
      <c r="K326" s="5" t="s">
        <v>44</v>
      </c>
      <c r="L326" s="6" cm="1">
        <f t="array" ref="L326">_xlfn.SWITCH(Table13_2[[#This Row],[Performance Score]],"A",6,"B",5,"C",4,"D",3,"E",2,"F",1)</f>
        <v>3</v>
      </c>
      <c r="M326" s="5">
        <f t="shared" si="5"/>
        <v>60000</v>
      </c>
    </row>
    <row r="327" spans="1:13" x14ac:dyDescent="0.3">
      <c r="A327" t="s">
        <v>59</v>
      </c>
      <c r="B327">
        <v>50</v>
      </c>
      <c r="C327">
        <v>0</v>
      </c>
      <c r="D327" t="s">
        <v>19</v>
      </c>
      <c r="E327" t="s">
        <v>30</v>
      </c>
      <c r="F327" t="s">
        <v>41</v>
      </c>
      <c r="G327" s="2" t="s">
        <v>62</v>
      </c>
      <c r="H327" t="s">
        <v>31</v>
      </c>
      <c r="I327" t="s">
        <v>23</v>
      </c>
      <c r="J327" t="s">
        <v>28</v>
      </c>
      <c r="K327" s="5" t="s">
        <v>33</v>
      </c>
      <c r="L327" s="6" cm="1">
        <f t="array" ref="L327">_xlfn.SWITCH(Table13_2[[#This Row],[Performance Score]],"A",6,"B",5,"C",4,"D",3,"E",2,"F",1)</f>
        <v>6</v>
      </c>
      <c r="M327" s="5">
        <f t="shared" si="5"/>
        <v>50777.202072538857</v>
      </c>
    </row>
    <row r="328" spans="1:13" x14ac:dyDescent="0.3">
      <c r="A328" t="s">
        <v>66</v>
      </c>
      <c r="B328">
        <v>25</v>
      </c>
      <c r="C328">
        <v>65000</v>
      </c>
      <c r="D328" t="s">
        <v>19</v>
      </c>
      <c r="E328" t="s">
        <v>30</v>
      </c>
      <c r="F328" t="s">
        <v>40</v>
      </c>
      <c r="G328" s="2" t="s">
        <v>60</v>
      </c>
      <c r="H328" t="s">
        <v>22</v>
      </c>
      <c r="I328" t="s">
        <v>16</v>
      </c>
      <c r="J328" t="s">
        <v>24</v>
      </c>
      <c r="K328" s="5" t="s">
        <v>45</v>
      </c>
      <c r="L328" s="6" cm="1">
        <f t="array" ref="L328">_xlfn.SWITCH(Table13_2[[#This Row],[Performance Score]],"A",6,"B",5,"C",4,"D",3,"E",2,"F",1)</f>
        <v>1</v>
      </c>
      <c r="M328" s="5">
        <f t="shared" si="5"/>
        <v>65000</v>
      </c>
    </row>
    <row r="329" spans="1:13" x14ac:dyDescent="0.3">
      <c r="A329" t="s">
        <v>53</v>
      </c>
      <c r="B329" t="s">
        <v>63</v>
      </c>
      <c r="C329">
        <v>70000</v>
      </c>
      <c r="D329" t="s">
        <v>19</v>
      </c>
      <c r="E329" t="s">
        <v>13</v>
      </c>
      <c r="F329" t="s">
        <v>21</v>
      </c>
      <c r="G329" s="2" t="s">
        <v>50</v>
      </c>
      <c r="H329" t="s">
        <v>27</v>
      </c>
      <c r="I329" t="s">
        <v>39</v>
      </c>
      <c r="J329" t="s">
        <v>42</v>
      </c>
      <c r="K329" s="5" t="s">
        <v>25</v>
      </c>
      <c r="L329" s="6" cm="1">
        <f t="array" ref="L329">_xlfn.SWITCH(Table13_2[[#This Row],[Performance Score]],"A",6,"B",5,"C",4,"D",3,"E",2,"F",1)</f>
        <v>4</v>
      </c>
      <c r="M329" s="5">
        <f t="shared" si="5"/>
        <v>70000</v>
      </c>
    </row>
    <row r="330" spans="1:13" x14ac:dyDescent="0.3">
      <c r="A330" t="s">
        <v>66</v>
      </c>
      <c r="B330">
        <v>25</v>
      </c>
      <c r="C330">
        <v>65000</v>
      </c>
      <c r="D330" t="s">
        <v>12</v>
      </c>
      <c r="E330" t="s">
        <v>13</v>
      </c>
      <c r="F330" t="s">
        <v>21</v>
      </c>
      <c r="G330" s="2" t="s">
        <v>60</v>
      </c>
      <c r="H330" t="s">
        <v>15</v>
      </c>
      <c r="I330" t="s">
        <v>23</v>
      </c>
      <c r="J330" t="s">
        <v>17</v>
      </c>
      <c r="K330" s="5" t="s">
        <v>45</v>
      </c>
      <c r="L330" s="6" cm="1">
        <f t="array" ref="L330">_xlfn.SWITCH(Table13_2[[#This Row],[Performance Score]],"A",6,"B",5,"C",4,"D",3,"E",2,"F",1)</f>
        <v>3</v>
      </c>
      <c r="M330" s="5">
        <f t="shared" si="5"/>
        <v>65000</v>
      </c>
    </row>
    <row r="331" spans="1:13" x14ac:dyDescent="0.3">
      <c r="A331" t="s">
        <v>67</v>
      </c>
      <c r="B331" t="s">
        <v>51</v>
      </c>
      <c r="C331">
        <v>55000</v>
      </c>
      <c r="D331" t="s">
        <v>34</v>
      </c>
      <c r="E331" t="s">
        <v>30</v>
      </c>
      <c r="F331" t="s">
        <v>14</v>
      </c>
      <c r="G331" s="2" t="s">
        <v>50</v>
      </c>
      <c r="H331" t="s">
        <v>31</v>
      </c>
      <c r="I331" t="s">
        <v>16</v>
      </c>
      <c r="J331" t="s">
        <v>24</v>
      </c>
      <c r="K331" s="5" t="s">
        <v>46</v>
      </c>
      <c r="L331" s="6" cm="1">
        <f t="array" ref="L331">_xlfn.SWITCH(Table13_2[[#This Row],[Performance Score]],"A",6,"B",5,"C",4,"D",3,"E",2,"F",1)</f>
        <v>6</v>
      </c>
      <c r="M331" s="5">
        <f t="shared" si="5"/>
        <v>55000</v>
      </c>
    </row>
    <row r="332" spans="1:13" x14ac:dyDescent="0.3">
      <c r="A332" t="s">
        <v>64</v>
      </c>
      <c r="B332">
        <v>35</v>
      </c>
      <c r="C332">
        <v>65000</v>
      </c>
      <c r="D332" t="s">
        <v>19</v>
      </c>
      <c r="E332" t="s">
        <v>26</v>
      </c>
      <c r="F332" t="s">
        <v>37</v>
      </c>
      <c r="G332" s="2" t="s">
        <v>62</v>
      </c>
      <c r="H332" t="s">
        <v>22</v>
      </c>
      <c r="I332" t="s">
        <v>39</v>
      </c>
      <c r="J332" t="s">
        <v>24</v>
      </c>
      <c r="K332" s="5" t="s">
        <v>43</v>
      </c>
      <c r="L332" s="6" cm="1">
        <f t="array" ref="L332">_xlfn.SWITCH(Table13_2[[#This Row],[Performance Score]],"A",6,"B",5,"C",4,"D",3,"E",2,"F",1)</f>
        <v>1</v>
      </c>
      <c r="M332" s="5">
        <f t="shared" si="5"/>
        <v>65000</v>
      </c>
    </row>
    <row r="333" spans="1:13" x14ac:dyDescent="0.3">
      <c r="A333" t="s">
        <v>49</v>
      </c>
      <c r="B333" t="s">
        <v>63</v>
      </c>
      <c r="C333">
        <v>50000</v>
      </c>
      <c r="D333" t="s">
        <v>12</v>
      </c>
      <c r="E333" t="s">
        <v>30</v>
      </c>
      <c r="F333" t="s">
        <v>41</v>
      </c>
      <c r="G333" s="2" t="s">
        <v>62</v>
      </c>
      <c r="H333" t="s">
        <v>15</v>
      </c>
      <c r="I333" t="s">
        <v>39</v>
      </c>
      <c r="J333" t="s">
        <v>24</v>
      </c>
      <c r="K333" s="5" t="s">
        <v>11</v>
      </c>
      <c r="L333" s="6" cm="1">
        <f t="array" ref="L333">_xlfn.SWITCH(Table13_2[[#This Row],[Performance Score]],"A",6,"B",5,"C",4,"D",3,"E",2,"F",1)</f>
        <v>3</v>
      </c>
      <c r="M333" s="5">
        <f t="shared" si="5"/>
        <v>50000</v>
      </c>
    </row>
    <row r="334" spans="1:13" x14ac:dyDescent="0.3">
      <c r="A334" t="s">
        <v>59</v>
      </c>
      <c r="B334">
        <v>25</v>
      </c>
      <c r="C334">
        <v>55000</v>
      </c>
      <c r="D334" t="s">
        <v>34</v>
      </c>
      <c r="E334" t="s">
        <v>13</v>
      </c>
      <c r="F334" t="s">
        <v>14</v>
      </c>
      <c r="G334" s="2" t="s">
        <v>55</v>
      </c>
      <c r="H334" t="s">
        <v>22</v>
      </c>
      <c r="I334" t="s">
        <v>16</v>
      </c>
      <c r="J334" t="s">
        <v>24</v>
      </c>
      <c r="K334" s="5" t="s">
        <v>33</v>
      </c>
      <c r="L334" s="6" cm="1">
        <f t="array" ref="L334">_xlfn.SWITCH(Table13_2[[#This Row],[Performance Score]],"A",6,"B",5,"C",4,"D",3,"E",2,"F",1)</f>
        <v>1</v>
      </c>
      <c r="M334" s="5">
        <f t="shared" si="5"/>
        <v>55000</v>
      </c>
    </row>
    <row r="335" spans="1:13" x14ac:dyDescent="0.3">
      <c r="A335" t="s">
        <v>49</v>
      </c>
      <c r="B335">
        <v>40</v>
      </c>
      <c r="C335">
        <v>0</v>
      </c>
      <c r="D335" t="s">
        <v>34</v>
      </c>
      <c r="E335" t="s">
        <v>30</v>
      </c>
      <c r="F335" t="s">
        <v>37</v>
      </c>
      <c r="G335" s="2" t="s">
        <v>50</v>
      </c>
      <c r="H335" t="s">
        <v>27</v>
      </c>
      <c r="I335" t="s">
        <v>32</v>
      </c>
      <c r="J335" t="s">
        <v>42</v>
      </c>
      <c r="K335" s="5" t="s">
        <v>11</v>
      </c>
      <c r="L335" s="6" cm="1">
        <f t="array" ref="L335">_xlfn.SWITCH(Table13_2[[#This Row],[Performance Score]],"A",6,"B",5,"C",4,"D",3,"E",2,"F",1)</f>
        <v>4</v>
      </c>
      <c r="M335" s="5">
        <f t="shared" si="5"/>
        <v>50777.202072538857</v>
      </c>
    </row>
    <row r="336" spans="1:13" x14ac:dyDescent="0.3">
      <c r="A336" t="s">
        <v>59</v>
      </c>
      <c r="B336" t="s">
        <v>63</v>
      </c>
      <c r="C336">
        <v>55000</v>
      </c>
      <c r="D336" t="s">
        <v>12</v>
      </c>
      <c r="E336" t="s">
        <v>30</v>
      </c>
      <c r="F336" t="s">
        <v>40</v>
      </c>
      <c r="G336" s="2" t="s">
        <v>50</v>
      </c>
      <c r="H336" t="s">
        <v>31</v>
      </c>
      <c r="I336" t="s">
        <v>32</v>
      </c>
      <c r="J336" t="s">
        <v>17</v>
      </c>
      <c r="K336" s="5" t="s">
        <v>33</v>
      </c>
      <c r="L336" s="6" cm="1">
        <f t="array" ref="L336">_xlfn.SWITCH(Table13_2[[#This Row],[Performance Score]],"A",6,"B",5,"C",4,"D",3,"E",2,"F",1)</f>
        <v>6</v>
      </c>
      <c r="M336" s="5">
        <f t="shared" si="5"/>
        <v>55000</v>
      </c>
    </row>
    <row r="337" spans="1:13" x14ac:dyDescent="0.3">
      <c r="A337" t="s">
        <v>61</v>
      </c>
      <c r="B337" t="s">
        <v>63</v>
      </c>
      <c r="C337">
        <v>70000</v>
      </c>
      <c r="D337" t="s">
        <v>12</v>
      </c>
      <c r="E337" t="s">
        <v>26</v>
      </c>
      <c r="F337" t="s">
        <v>21</v>
      </c>
      <c r="G337" s="2">
        <v>43881</v>
      </c>
      <c r="H337" t="s">
        <v>15</v>
      </c>
      <c r="I337" t="s">
        <v>23</v>
      </c>
      <c r="J337" t="s">
        <v>17</v>
      </c>
      <c r="K337" s="5" t="s">
        <v>36</v>
      </c>
      <c r="L337" s="6" cm="1">
        <f t="array" ref="L337">_xlfn.SWITCH(Table13_2[[#This Row],[Performance Score]],"A",6,"B",5,"C",4,"D",3,"E",2,"F",1)</f>
        <v>3</v>
      </c>
      <c r="M337" s="5">
        <f t="shared" si="5"/>
        <v>70000</v>
      </c>
    </row>
    <row r="338" spans="1:13" x14ac:dyDescent="0.3">
      <c r="A338" t="s">
        <v>65</v>
      </c>
      <c r="B338">
        <v>25</v>
      </c>
      <c r="C338">
        <v>60000</v>
      </c>
      <c r="D338" t="s">
        <v>19</v>
      </c>
      <c r="E338" t="s">
        <v>35</v>
      </c>
      <c r="F338" t="s">
        <v>41</v>
      </c>
      <c r="G338" s="2">
        <v>43881</v>
      </c>
      <c r="H338" t="s">
        <v>31</v>
      </c>
      <c r="I338" t="s">
        <v>39</v>
      </c>
      <c r="J338" t="s">
        <v>24</v>
      </c>
      <c r="K338" s="5" t="s">
        <v>44</v>
      </c>
      <c r="L338" s="6" cm="1">
        <f t="array" ref="L338">_xlfn.SWITCH(Table13_2[[#This Row],[Performance Score]],"A",6,"B",5,"C",4,"D",3,"E",2,"F",1)</f>
        <v>6</v>
      </c>
      <c r="M338" s="5">
        <f t="shared" si="5"/>
        <v>60000</v>
      </c>
    </row>
    <row r="339" spans="1:13" x14ac:dyDescent="0.3">
      <c r="A339" t="s">
        <v>67</v>
      </c>
      <c r="B339" t="s">
        <v>63</v>
      </c>
      <c r="C339">
        <v>0</v>
      </c>
      <c r="D339" t="s">
        <v>34</v>
      </c>
      <c r="E339" t="s">
        <v>13</v>
      </c>
      <c r="F339" t="s">
        <v>21</v>
      </c>
      <c r="G339" s="2">
        <v>43881</v>
      </c>
      <c r="H339" t="s">
        <v>27</v>
      </c>
      <c r="I339" t="s">
        <v>32</v>
      </c>
      <c r="J339" t="s">
        <v>42</v>
      </c>
      <c r="K339" s="5" t="s">
        <v>46</v>
      </c>
      <c r="L339" s="6" cm="1">
        <f t="array" ref="L339">_xlfn.SWITCH(Table13_2[[#This Row],[Performance Score]],"A",6,"B",5,"C",4,"D",3,"E",2,"F",1)</f>
        <v>4</v>
      </c>
      <c r="M339" s="5">
        <f t="shared" si="5"/>
        <v>51825</v>
      </c>
    </row>
    <row r="340" spans="1:13" x14ac:dyDescent="0.3">
      <c r="A340" t="s">
        <v>53</v>
      </c>
      <c r="B340">
        <v>40</v>
      </c>
      <c r="C340">
        <v>55000</v>
      </c>
      <c r="D340" t="s">
        <v>34</v>
      </c>
      <c r="E340" t="s">
        <v>26</v>
      </c>
      <c r="F340" t="s">
        <v>40</v>
      </c>
      <c r="G340" s="2" t="s">
        <v>60</v>
      </c>
      <c r="H340" t="s">
        <v>31</v>
      </c>
      <c r="I340" t="s">
        <v>32</v>
      </c>
      <c r="J340" t="s">
        <v>42</v>
      </c>
      <c r="K340" s="5" t="s">
        <v>25</v>
      </c>
      <c r="L340" s="6" cm="1">
        <f t="array" ref="L340">_xlfn.SWITCH(Table13_2[[#This Row],[Performance Score]],"A",6,"B",5,"C",4,"D",3,"E",2,"F",1)</f>
        <v>6</v>
      </c>
      <c r="M340" s="5">
        <f t="shared" si="5"/>
        <v>55000</v>
      </c>
    </row>
    <row r="341" spans="1:13" x14ac:dyDescent="0.3">
      <c r="A341" t="s">
        <v>59</v>
      </c>
      <c r="B341">
        <v>50</v>
      </c>
      <c r="C341">
        <v>0</v>
      </c>
      <c r="D341" t="s">
        <v>12</v>
      </c>
      <c r="E341" t="s">
        <v>30</v>
      </c>
      <c r="F341" t="s">
        <v>37</v>
      </c>
      <c r="G341" s="2">
        <v>43881</v>
      </c>
      <c r="H341" t="s">
        <v>31</v>
      </c>
      <c r="I341" t="s">
        <v>39</v>
      </c>
      <c r="J341" t="s">
        <v>24</v>
      </c>
      <c r="K341" s="5" t="s">
        <v>33</v>
      </c>
      <c r="L341" s="6" cm="1">
        <f t="array" ref="L341">_xlfn.SWITCH(Table13_2[[#This Row],[Performance Score]],"A",6,"B",5,"C",4,"D",3,"E",2,"F",1)</f>
        <v>6</v>
      </c>
      <c r="M341" s="5">
        <f t="shared" si="5"/>
        <v>50777.202072538857</v>
      </c>
    </row>
    <row r="342" spans="1:13" x14ac:dyDescent="0.3">
      <c r="A342" t="s">
        <v>49</v>
      </c>
      <c r="B342" t="s">
        <v>63</v>
      </c>
      <c r="C342">
        <v>0</v>
      </c>
      <c r="D342" t="s">
        <v>34</v>
      </c>
      <c r="E342" t="s">
        <v>30</v>
      </c>
      <c r="F342" t="s">
        <v>40</v>
      </c>
      <c r="G342" s="2" t="s">
        <v>50</v>
      </c>
      <c r="H342" t="s">
        <v>38</v>
      </c>
      <c r="I342" t="s">
        <v>39</v>
      </c>
      <c r="J342" t="s">
        <v>28</v>
      </c>
      <c r="K342" s="5" t="s">
        <v>11</v>
      </c>
      <c r="L342" s="6" cm="1">
        <f t="array" ref="L342">_xlfn.SWITCH(Table13_2[[#This Row],[Performance Score]],"A",6,"B",5,"C",4,"D",3,"E",2,"F",1)</f>
        <v>5</v>
      </c>
      <c r="M342" s="5">
        <f t="shared" si="5"/>
        <v>50777.202072538857</v>
      </c>
    </row>
    <row r="343" spans="1:13" x14ac:dyDescent="0.3">
      <c r="A343" t="s">
        <v>67</v>
      </c>
      <c r="B343">
        <v>50</v>
      </c>
      <c r="C343">
        <v>0</v>
      </c>
      <c r="D343" t="s">
        <v>19</v>
      </c>
      <c r="E343" t="s">
        <v>35</v>
      </c>
      <c r="F343" t="s">
        <v>40</v>
      </c>
      <c r="G343" s="2" t="s">
        <v>60</v>
      </c>
      <c r="H343" t="s">
        <v>31</v>
      </c>
      <c r="I343" t="s">
        <v>32</v>
      </c>
      <c r="J343" t="s">
        <v>24</v>
      </c>
      <c r="K343" s="5" t="s">
        <v>46</v>
      </c>
      <c r="L343" s="6" cm="1">
        <f t="array" ref="L343">_xlfn.SWITCH(Table13_2[[#This Row],[Performance Score]],"A",6,"B",5,"C",4,"D",3,"E",2,"F",1)</f>
        <v>6</v>
      </c>
      <c r="M343" s="5">
        <f t="shared" si="5"/>
        <v>49144.385026737968</v>
      </c>
    </row>
    <row r="344" spans="1:13" x14ac:dyDescent="0.3">
      <c r="A344" t="s">
        <v>52</v>
      </c>
      <c r="B344">
        <v>40</v>
      </c>
      <c r="C344">
        <v>60000</v>
      </c>
      <c r="D344" t="s">
        <v>34</v>
      </c>
      <c r="E344" t="s">
        <v>13</v>
      </c>
      <c r="F344" t="s">
        <v>21</v>
      </c>
      <c r="G344" s="2" t="s">
        <v>62</v>
      </c>
      <c r="H344" t="s">
        <v>22</v>
      </c>
      <c r="I344" t="s">
        <v>16</v>
      </c>
      <c r="J344" t="s">
        <v>28</v>
      </c>
      <c r="K344" s="5" t="s">
        <v>18</v>
      </c>
      <c r="L344" s="6" cm="1">
        <f t="array" ref="L344">_xlfn.SWITCH(Table13_2[[#This Row],[Performance Score]],"A",6,"B",5,"C",4,"D",3,"E",2,"F",1)</f>
        <v>1</v>
      </c>
      <c r="M344" s="5">
        <f t="shared" si="5"/>
        <v>60000</v>
      </c>
    </row>
    <row r="345" spans="1:13" x14ac:dyDescent="0.3">
      <c r="A345" t="s">
        <v>52</v>
      </c>
      <c r="B345">
        <v>25</v>
      </c>
      <c r="C345">
        <v>65000</v>
      </c>
      <c r="D345" t="s">
        <v>12</v>
      </c>
      <c r="E345" t="s">
        <v>13</v>
      </c>
      <c r="F345" t="s">
        <v>41</v>
      </c>
      <c r="G345" s="2" t="s">
        <v>55</v>
      </c>
      <c r="H345" t="s">
        <v>15</v>
      </c>
      <c r="I345" t="s">
        <v>23</v>
      </c>
      <c r="J345" t="s">
        <v>24</v>
      </c>
      <c r="K345" s="5" t="s">
        <v>18</v>
      </c>
      <c r="L345" s="6" cm="1">
        <f t="array" ref="L345">_xlfn.SWITCH(Table13_2[[#This Row],[Performance Score]],"A",6,"B",5,"C",4,"D",3,"E",2,"F",1)</f>
        <v>3</v>
      </c>
      <c r="M345" s="5">
        <f t="shared" si="5"/>
        <v>65000</v>
      </c>
    </row>
    <row r="346" spans="1:13" x14ac:dyDescent="0.3">
      <c r="A346" t="s">
        <v>66</v>
      </c>
      <c r="B346">
        <v>35</v>
      </c>
      <c r="C346">
        <v>0</v>
      </c>
      <c r="D346" t="s">
        <v>12</v>
      </c>
      <c r="E346" t="s">
        <v>20</v>
      </c>
      <c r="F346" t="s">
        <v>40</v>
      </c>
      <c r="G346" s="2">
        <v>43881</v>
      </c>
      <c r="H346" t="s">
        <v>38</v>
      </c>
      <c r="I346" t="s">
        <v>32</v>
      </c>
      <c r="J346" t="s">
        <v>28</v>
      </c>
      <c r="K346" s="5" t="s">
        <v>45</v>
      </c>
      <c r="L346" s="6" cm="1">
        <f t="array" ref="L346">_xlfn.SWITCH(Table13_2[[#This Row],[Performance Score]],"A",6,"B",5,"C",4,"D",3,"E",2,"F",1)</f>
        <v>5</v>
      </c>
      <c r="M346" s="5">
        <f t="shared" si="5"/>
        <v>48417.431192660551</v>
      </c>
    </row>
    <row r="347" spans="1:13" x14ac:dyDescent="0.3">
      <c r="A347" t="s">
        <v>53</v>
      </c>
      <c r="B347" t="s">
        <v>63</v>
      </c>
      <c r="C347">
        <v>50000</v>
      </c>
      <c r="D347" t="s">
        <v>19</v>
      </c>
      <c r="E347" t="s">
        <v>13</v>
      </c>
      <c r="F347" t="s">
        <v>21</v>
      </c>
      <c r="G347" s="2" t="s">
        <v>62</v>
      </c>
      <c r="H347" t="s">
        <v>15</v>
      </c>
      <c r="I347" t="s">
        <v>32</v>
      </c>
      <c r="J347" t="s">
        <v>28</v>
      </c>
      <c r="K347" s="5" t="s">
        <v>25</v>
      </c>
      <c r="L347" s="6" cm="1">
        <f t="array" ref="L347">_xlfn.SWITCH(Table13_2[[#This Row],[Performance Score]],"A",6,"B",5,"C",4,"D",3,"E",2,"F",1)</f>
        <v>3</v>
      </c>
      <c r="M347" s="5">
        <f t="shared" si="5"/>
        <v>50000</v>
      </c>
    </row>
    <row r="348" spans="1:13" x14ac:dyDescent="0.3">
      <c r="A348" t="s">
        <v>61</v>
      </c>
      <c r="B348">
        <v>35</v>
      </c>
      <c r="C348">
        <v>70000</v>
      </c>
      <c r="D348" t="s">
        <v>19</v>
      </c>
      <c r="E348" t="s">
        <v>35</v>
      </c>
      <c r="F348" t="s">
        <v>41</v>
      </c>
      <c r="G348" s="2" t="s">
        <v>50</v>
      </c>
      <c r="H348" t="s">
        <v>15</v>
      </c>
      <c r="I348" t="s">
        <v>39</v>
      </c>
      <c r="J348" t="s">
        <v>24</v>
      </c>
      <c r="K348" s="5" t="s">
        <v>36</v>
      </c>
      <c r="L348" s="6" cm="1">
        <f t="array" ref="L348">_xlfn.SWITCH(Table13_2[[#This Row],[Performance Score]],"A",6,"B",5,"C",4,"D",3,"E",2,"F",1)</f>
        <v>3</v>
      </c>
      <c r="M348" s="5">
        <f t="shared" si="5"/>
        <v>70000</v>
      </c>
    </row>
    <row r="349" spans="1:13" x14ac:dyDescent="0.3">
      <c r="A349" t="s">
        <v>49</v>
      </c>
      <c r="B349">
        <v>40</v>
      </c>
      <c r="C349">
        <v>60000</v>
      </c>
      <c r="D349" t="s">
        <v>34</v>
      </c>
      <c r="E349" t="s">
        <v>20</v>
      </c>
      <c r="F349" t="s">
        <v>37</v>
      </c>
      <c r="G349" s="2" t="s">
        <v>55</v>
      </c>
      <c r="H349" t="s">
        <v>27</v>
      </c>
      <c r="I349" t="s">
        <v>16</v>
      </c>
      <c r="J349" t="s">
        <v>28</v>
      </c>
      <c r="K349" s="5" t="s">
        <v>11</v>
      </c>
      <c r="L349" s="6" cm="1">
        <f t="array" ref="L349">_xlfn.SWITCH(Table13_2[[#This Row],[Performance Score]],"A",6,"B",5,"C",4,"D",3,"E",2,"F",1)</f>
        <v>4</v>
      </c>
      <c r="M349" s="5">
        <f t="shared" si="5"/>
        <v>60000</v>
      </c>
    </row>
    <row r="350" spans="1:13" x14ac:dyDescent="0.3">
      <c r="A350" t="s">
        <v>65</v>
      </c>
      <c r="B350" t="s">
        <v>63</v>
      </c>
      <c r="C350">
        <v>55000</v>
      </c>
      <c r="D350" t="s">
        <v>34</v>
      </c>
      <c r="E350" t="s">
        <v>20</v>
      </c>
      <c r="F350" t="s">
        <v>37</v>
      </c>
      <c r="G350" s="2" t="s">
        <v>62</v>
      </c>
      <c r="H350" t="s">
        <v>27</v>
      </c>
      <c r="I350" t="s">
        <v>23</v>
      </c>
      <c r="J350" t="s">
        <v>17</v>
      </c>
      <c r="K350" s="5" t="s">
        <v>44</v>
      </c>
      <c r="L350" s="6" cm="1">
        <f t="array" ref="L350">_xlfn.SWITCH(Table13_2[[#This Row],[Performance Score]],"A",6,"B",5,"C",4,"D",3,"E",2,"F",1)</f>
        <v>4</v>
      </c>
      <c r="M350" s="5">
        <f t="shared" si="5"/>
        <v>55000</v>
      </c>
    </row>
    <row r="351" spans="1:13" x14ac:dyDescent="0.3">
      <c r="A351" t="s">
        <v>65</v>
      </c>
      <c r="B351">
        <v>50</v>
      </c>
      <c r="C351">
        <v>60000</v>
      </c>
      <c r="D351" t="s">
        <v>12</v>
      </c>
      <c r="E351" t="s">
        <v>30</v>
      </c>
      <c r="F351" t="s">
        <v>14</v>
      </c>
      <c r="G351" s="2" t="s">
        <v>55</v>
      </c>
      <c r="H351" t="s">
        <v>38</v>
      </c>
      <c r="I351" t="s">
        <v>32</v>
      </c>
      <c r="J351" t="s">
        <v>17</v>
      </c>
      <c r="K351" s="5" t="s">
        <v>44</v>
      </c>
      <c r="L351" s="6" cm="1">
        <f t="array" ref="L351">_xlfn.SWITCH(Table13_2[[#This Row],[Performance Score]],"A",6,"B",5,"C",4,"D",3,"E",2,"F",1)</f>
        <v>5</v>
      </c>
      <c r="M351" s="5">
        <f t="shared" si="5"/>
        <v>60000</v>
      </c>
    </row>
    <row r="352" spans="1:13" x14ac:dyDescent="0.3">
      <c r="A352" t="s">
        <v>49</v>
      </c>
      <c r="B352" t="s">
        <v>51</v>
      </c>
      <c r="C352">
        <v>55000</v>
      </c>
      <c r="D352" t="s">
        <v>19</v>
      </c>
      <c r="E352" t="s">
        <v>30</v>
      </c>
      <c r="F352" t="s">
        <v>21</v>
      </c>
      <c r="G352" s="2">
        <v>43881</v>
      </c>
      <c r="H352" t="s">
        <v>27</v>
      </c>
      <c r="I352" t="s">
        <v>23</v>
      </c>
      <c r="J352" t="s">
        <v>42</v>
      </c>
      <c r="K352" s="5" t="s">
        <v>11</v>
      </c>
      <c r="L352" s="6" cm="1">
        <f t="array" ref="L352">_xlfn.SWITCH(Table13_2[[#This Row],[Performance Score]],"A",6,"B",5,"C",4,"D",3,"E",2,"F",1)</f>
        <v>4</v>
      </c>
      <c r="M352" s="5">
        <f t="shared" si="5"/>
        <v>55000</v>
      </c>
    </row>
    <row r="353" spans="1:13" x14ac:dyDescent="0.3">
      <c r="A353" t="s">
        <v>64</v>
      </c>
      <c r="B353">
        <v>35</v>
      </c>
      <c r="C353">
        <v>60000</v>
      </c>
      <c r="D353" t="s">
        <v>19</v>
      </c>
      <c r="E353" t="s">
        <v>13</v>
      </c>
      <c r="F353" t="s">
        <v>41</v>
      </c>
      <c r="G353" s="2" t="s">
        <v>50</v>
      </c>
      <c r="H353" t="s">
        <v>27</v>
      </c>
      <c r="I353" t="s">
        <v>39</v>
      </c>
      <c r="J353" t="s">
        <v>28</v>
      </c>
      <c r="K353" s="5" t="s">
        <v>43</v>
      </c>
      <c r="L353" s="6" cm="1">
        <f t="array" ref="L353">_xlfn.SWITCH(Table13_2[[#This Row],[Performance Score]],"A",6,"B",5,"C",4,"D",3,"E",2,"F",1)</f>
        <v>4</v>
      </c>
      <c r="M353" s="5">
        <f t="shared" si="5"/>
        <v>60000</v>
      </c>
    </row>
    <row r="354" spans="1:13" x14ac:dyDescent="0.3">
      <c r="A354" t="s">
        <v>61</v>
      </c>
      <c r="B354" t="s">
        <v>63</v>
      </c>
      <c r="C354">
        <v>55000</v>
      </c>
      <c r="D354" t="s">
        <v>19</v>
      </c>
      <c r="E354" t="s">
        <v>20</v>
      </c>
      <c r="F354" t="s">
        <v>40</v>
      </c>
      <c r="G354" s="2" t="s">
        <v>55</v>
      </c>
      <c r="H354" t="s">
        <v>27</v>
      </c>
      <c r="I354" t="s">
        <v>32</v>
      </c>
      <c r="J354" t="s">
        <v>28</v>
      </c>
      <c r="K354" s="5" t="s">
        <v>36</v>
      </c>
      <c r="L354" s="6" cm="1">
        <f t="array" ref="L354">_xlfn.SWITCH(Table13_2[[#This Row],[Performance Score]],"A",6,"B",5,"C",4,"D",3,"E",2,"F",1)</f>
        <v>4</v>
      </c>
      <c r="M354" s="5">
        <f t="shared" si="5"/>
        <v>55000</v>
      </c>
    </row>
    <row r="355" spans="1:13" x14ac:dyDescent="0.3">
      <c r="A355" t="s">
        <v>67</v>
      </c>
      <c r="B355">
        <v>35</v>
      </c>
      <c r="C355">
        <v>0</v>
      </c>
      <c r="D355" t="s">
        <v>34</v>
      </c>
      <c r="E355" t="s">
        <v>30</v>
      </c>
      <c r="F355" t="s">
        <v>37</v>
      </c>
      <c r="G355" s="2" t="s">
        <v>62</v>
      </c>
      <c r="H355" t="s">
        <v>15</v>
      </c>
      <c r="I355" t="s">
        <v>32</v>
      </c>
      <c r="J355" t="s">
        <v>42</v>
      </c>
      <c r="K355" s="5" t="s">
        <v>46</v>
      </c>
      <c r="L355" s="6" cm="1">
        <f t="array" ref="L355">_xlfn.SWITCH(Table13_2[[#This Row],[Performance Score]],"A",6,"B",5,"C",4,"D",3,"E",2,"F",1)</f>
        <v>3</v>
      </c>
      <c r="M355" s="5">
        <f t="shared" si="5"/>
        <v>50777.202072538857</v>
      </c>
    </row>
    <row r="356" spans="1:13" x14ac:dyDescent="0.3">
      <c r="A356" t="s">
        <v>59</v>
      </c>
      <c r="B356" t="s">
        <v>63</v>
      </c>
      <c r="C356">
        <v>65000</v>
      </c>
      <c r="D356" t="s">
        <v>19</v>
      </c>
      <c r="E356" t="s">
        <v>35</v>
      </c>
      <c r="F356" t="s">
        <v>41</v>
      </c>
      <c r="G356" s="2">
        <v>43881</v>
      </c>
      <c r="H356" t="s">
        <v>38</v>
      </c>
      <c r="I356" t="s">
        <v>39</v>
      </c>
      <c r="J356" t="s">
        <v>28</v>
      </c>
      <c r="K356" s="5" t="s">
        <v>33</v>
      </c>
      <c r="L356" s="6" cm="1">
        <f t="array" ref="L356">_xlfn.SWITCH(Table13_2[[#This Row],[Performance Score]],"A",6,"B",5,"C",4,"D",3,"E",2,"F",1)</f>
        <v>5</v>
      </c>
      <c r="M356" s="5">
        <f t="shared" si="5"/>
        <v>65000</v>
      </c>
    </row>
    <row r="357" spans="1:13" x14ac:dyDescent="0.3">
      <c r="A357" t="s">
        <v>64</v>
      </c>
      <c r="B357">
        <v>25</v>
      </c>
      <c r="C357">
        <v>55000</v>
      </c>
      <c r="D357" t="s">
        <v>12</v>
      </c>
      <c r="E357" t="s">
        <v>30</v>
      </c>
      <c r="F357" t="s">
        <v>21</v>
      </c>
      <c r="G357" s="2">
        <v>43881</v>
      </c>
      <c r="H357" t="s">
        <v>15</v>
      </c>
      <c r="I357" t="s">
        <v>39</v>
      </c>
      <c r="J357" t="s">
        <v>42</v>
      </c>
      <c r="K357" s="5" t="s">
        <v>43</v>
      </c>
      <c r="L357" s="6" cm="1">
        <f t="array" ref="L357">_xlfn.SWITCH(Table13_2[[#This Row],[Performance Score]],"A",6,"B",5,"C",4,"D",3,"E",2,"F",1)</f>
        <v>3</v>
      </c>
      <c r="M357" s="5">
        <f t="shared" si="5"/>
        <v>55000</v>
      </c>
    </row>
    <row r="358" spans="1:13" x14ac:dyDescent="0.3">
      <c r="A358" t="s">
        <v>59</v>
      </c>
      <c r="B358">
        <v>50</v>
      </c>
      <c r="C358">
        <v>55000</v>
      </c>
      <c r="D358" t="s">
        <v>12</v>
      </c>
      <c r="E358" t="s">
        <v>30</v>
      </c>
      <c r="F358" t="s">
        <v>14</v>
      </c>
      <c r="G358" s="2" t="s">
        <v>62</v>
      </c>
      <c r="H358" t="s">
        <v>22</v>
      </c>
      <c r="I358" t="s">
        <v>32</v>
      </c>
      <c r="J358" t="s">
        <v>24</v>
      </c>
      <c r="K358" s="5" t="s">
        <v>33</v>
      </c>
      <c r="L358" s="6" cm="1">
        <f t="array" ref="L358">_xlfn.SWITCH(Table13_2[[#This Row],[Performance Score]],"A",6,"B",5,"C",4,"D",3,"E",2,"F",1)</f>
        <v>1</v>
      </c>
      <c r="M358" s="5">
        <f t="shared" si="5"/>
        <v>55000</v>
      </c>
    </row>
    <row r="359" spans="1:13" x14ac:dyDescent="0.3">
      <c r="A359" t="s">
        <v>59</v>
      </c>
      <c r="B359">
        <v>35</v>
      </c>
      <c r="C359">
        <v>50000</v>
      </c>
      <c r="D359" t="s">
        <v>34</v>
      </c>
      <c r="E359" t="s">
        <v>20</v>
      </c>
      <c r="F359" t="s">
        <v>37</v>
      </c>
      <c r="G359" s="2" t="s">
        <v>62</v>
      </c>
      <c r="H359" t="s">
        <v>15</v>
      </c>
      <c r="I359" t="s">
        <v>23</v>
      </c>
      <c r="J359" t="s">
        <v>17</v>
      </c>
      <c r="K359" s="5" t="s">
        <v>33</v>
      </c>
      <c r="L359" s="6" cm="1">
        <f t="array" ref="L359">_xlfn.SWITCH(Table13_2[[#This Row],[Performance Score]],"A",6,"B",5,"C",4,"D",3,"E",2,"F",1)</f>
        <v>3</v>
      </c>
      <c r="M359" s="5">
        <f t="shared" si="5"/>
        <v>50000</v>
      </c>
    </row>
    <row r="360" spans="1:13" x14ac:dyDescent="0.3">
      <c r="A360" t="s">
        <v>64</v>
      </c>
      <c r="B360" t="s">
        <v>51</v>
      </c>
      <c r="C360">
        <v>55000</v>
      </c>
      <c r="D360" t="s">
        <v>34</v>
      </c>
      <c r="E360" t="s">
        <v>20</v>
      </c>
      <c r="F360" t="s">
        <v>41</v>
      </c>
      <c r="G360" s="2" t="s">
        <v>55</v>
      </c>
      <c r="H360" t="s">
        <v>22</v>
      </c>
      <c r="I360" t="s">
        <v>16</v>
      </c>
      <c r="J360" t="s">
        <v>17</v>
      </c>
      <c r="K360" s="5" t="s">
        <v>43</v>
      </c>
      <c r="L360" s="6" cm="1">
        <f t="array" ref="L360">_xlfn.SWITCH(Table13_2[[#This Row],[Performance Score]],"A",6,"B",5,"C",4,"D",3,"E",2,"F",1)</f>
        <v>1</v>
      </c>
      <c r="M360" s="5">
        <f t="shared" si="5"/>
        <v>55000</v>
      </c>
    </row>
    <row r="361" spans="1:13" x14ac:dyDescent="0.3">
      <c r="A361" t="s">
        <v>66</v>
      </c>
      <c r="B361" t="s">
        <v>51</v>
      </c>
      <c r="C361">
        <v>50000</v>
      </c>
      <c r="D361" t="s">
        <v>19</v>
      </c>
      <c r="E361" t="s">
        <v>26</v>
      </c>
      <c r="F361" t="s">
        <v>41</v>
      </c>
      <c r="G361" s="2" t="s">
        <v>60</v>
      </c>
      <c r="H361" t="s">
        <v>31</v>
      </c>
      <c r="I361" t="s">
        <v>23</v>
      </c>
      <c r="J361" t="s">
        <v>17</v>
      </c>
      <c r="K361" s="5" t="s">
        <v>45</v>
      </c>
      <c r="L361" s="6" cm="1">
        <f t="array" ref="L361">_xlfn.SWITCH(Table13_2[[#This Row],[Performance Score]],"A",6,"B",5,"C",4,"D",3,"E",2,"F",1)</f>
        <v>6</v>
      </c>
      <c r="M361" s="5">
        <f t="shared" si="5"/>
        <v>50000</v>
      </c>
    </row>
    <row r="362" spans="1:13" x14ac:dyDescent="0.3">
      <c r="A362" t="s">
        <v>52</v>
      </c>
      <c r="B362">
        <v>40</v>
      </c>
      <c r="C362">
        <v>70000</v>
      </c>
      <c r="D362" t="s">
        <v>34</v>
      </c>
      <c r="E362" t="s">
        <v>35</v>
      </c>
      <c r="F362" t="s">
        <v>41</v>
      </c>
      <c r="G362" s="2">
        <v>43881</v>
      </c>
      <c r="H362" t="s">
        <v>31</v>
      </c>
      <c r="I362" t="s">
        <v>39</v>
      </c>
      <c r="J362" t="s">
        <v>28</v>
      </c>
      <c r="K362" s="5" t="s">
        <v>18</v>
      </c>
      <c r="L362" s="6" cm="1">
        <f t="array" ref="L362">_xlfn.SWITCH(Table13_2[[#This Row],[Performance Score]],"A",6,"B",5,"C",4,"D",3,"E",2,"F",1)</f>
        <v>6</v>
      </c>
      <c r="M362" s="5">
        <f t="shared" si="5"/>
        <v>70000</v>
      </c>
    </row>
    <row r="363" spans="1:13" x14ac:dyDescent="0.3">
      <c r="A363" t="s">
        <v>59</v>
      </c>
      <c r="B363" t="s">
        <v>63</v>
      </c>
      <c r="C363">
        <v>0</v>
      </c>
      <c r="D363" t="s">
        <v>12</v>
      </c>
      <c r="E363" t="s">
        <v>20</v>
      </c>
      <c r="F363" t="s">
        <v>21</v>
      </c>
      <c r="G363" s="2" t="s">
        <v>55</v>
      </c>
      <c r="H363" t="s">
        <v>22</v>
      </c>
      <c r="I363" t="s">
        <v>16</v>
      </c>
      <c r="J363" t="s">
        <v>17</v>
      </c>
      <c r="K363" s="5" t="s">
        <v>33</v>
      </c>
      <c r="L363" s="6" cm="1">
        <f t="array" ref="L363">_xlfn.SWITCH(Table13_2[[#This Row],[Performance Score]],"A",6,"B",5,"C",4,"D",3,"E",2,"F",1)</f>
        <v>1</v>
      </c>
      <c r="M363" s="5">
        <f t="shared" si="5"/>
        <v>48417.431192660551</v>
      </c>
    </row>
    <row r="364" spans="1:13" x14ac:dyDescent="0.3">
      <c r="A364" t="s">
        <v>64</v>
      </c>
      <c r="B364">
        <v>35</v>
      </c>
      <c r="C364">
        <v>50000</v>
      </c>
      <c r="D364" t="s">
        <v>19</v>
      </c>
      <c r="E364" t="s">
        <v>13</v>
      </c>
      <c r="F364" t="s">
        <v>21</v>
      </c>
      <c r="G364" s="2" t="s">
        <v>62</v>
      </c>
      <c r="H364" t="s">
        <v>22</v>
      </c>
      <c r="I364" t="s">
        <v>23</v>
      </c>
      <c r="J364" t="s">
        <v>24</v>
      </c>
      <c r="K364" s="5" t="s">
        <v>43</v>
      </c>
      <c r="L364" s="6" cm="1">
        <f t="array" ref="L364">_xlfn.SWITCH(Table13_2[[#This Row],[Performance Score]],"A",6,"B",5,"C",4,"D",3,"E",2,"F",1)</f>
        <v>1</v>
      </c>
      <c r="M364" s="5">
        <f t="shared" si="5"/>
        <v>50000</v>
      </c>
    </row>
    <row r="365" spans="1:13" x14ac:dyDescent="0.3">
      <c r="A365" t="s">
        <v>64</v>
      </c>
      <c r="B365">
        <v>40</v>
      </c>
      <c r="C365">
        <v>65000</v>
      </c>
      <c r="D365" t="s">
        <v>12</v>
      </c>
      <c r="E365" t="s">
        <v>35</v>
      </c>
      <c r="F365" t="s">
        <v>21</v>
      </c>
      <c r="G365" s="2" t="s">
        <v>55</v>
      </c>
      <c r="H365" t="s">
        <v>15</v>
      </c>
      <c r="I365" t="s">
        <v>23</v>
      </c>
      <c r="J365" t="s">
        <v>17</v>
      </c>
      <c r="K365" s="5" t="s">
        <v>43</v>
      </c>
      <c r="L365" s="6" cm="1">
        <f t="array" ref="L365">_xlfn.SWITCH(Table13_2[[#This Row],[Performance Score]],"A",6,"B",5,"C",4,"D",3,"E",2,"F",1)</f>
        <v>3</v>
      </c>
      <c r="M365" s="5">
        <f t="shared" si="5"/>
        <v>65000</v>
      </c>
    </row>
    <row r="366" spans="1:13" x14ac:dyDescent="0.3">
      <c r="A366" t="s">
        <v>56</v>
      </c>
      <c r="B366">
        <v>35</v>
      </c>
      <c r="C366">
        <v>0</v>
      </c>
      <c r="D366" t="s">
        <v>19</v>
      </c>
      <c r="E366" t="s">
        <v>35</v>
      </c>
      <c r="F366" t="s">
        <v>40</v>
      </c>
      <c r="G366" s="2" t="s">
        <v>62</v>
      </c>
      <c r="H366" t="s">
        <v>22</v>
      </c>
      <c r="I366" t="s">
        <v>39</v>
      </c>
      <c r="J366" t="s">
        <v>24</v>
      </c>
      <c r="K366" s="5" t="s">
        <v>29</v>
      </c>
      <c r="L366" s="6" cm="1">
        <f t="array" ref="L366">_xlfn.SWITCH(Table13_2[[#This Row],[Performance Score]],"A",6,"B",5,"C",4,"D",3,"E",2,"F",1)</f>
        <v>1</v>
      </c>
      <c r="M366" s="5">
        <f t="shared" si="5"/>
        <v>49144.385026737968</v>
      </c>
    </row>
    <row r="367" spans="1:13" x14ac:dyDescent="0.3">
      <c r="A367" t="s">
        <v>66</v>
      </c>
      <c r="B367" t="s">
        <v>63</v>
      </c>
      <c r="C367">
        <v>50000</v>
      </c>
      <c r="D367" t="s">
        <v>34</v>
      </c>
      <c r="E367" t="s">
        <v>20</v>
      </c>
      <c r="F367" t="s">
        <v>41</v>
      </c>
      <c r="G367" s="2" t="s">
        <v>50</v>
      </c>
      <c r="H367" t="s">
        <v>38</v>
      </c>
      <c r="I367" t="s">
        <v>39</v>
      </c>
      <c r="J367" t="s">
        <v>24</v>
      </c>
      <c r="K367" s="5" t="s">
        <v>45</v>
      </c>
      <c r="L367" s="6" cm="1">
        <f t="array" ref="L367">_xlfn.SWITCH(Table13_2[[#This Row],[Performance Score]],"A",6,"B",5,"C",4,"D",3,"E",2,"F",1)</f>
        <v>5</v>
      </c>
      <c r="M367" s="5">
        <f t="shared" si="5"/>
        <v>50000</v>
      </c>
    </row>
    <row r="368" spans="1:13" x14ac:dyDescent="0.3">
      <c r="A368" t="s">
        <v>53</v>
      </c>
      <c r="B368" t="s">
        <v>51</v>
      </c>
      <c r="C368">
        <v>0</v>
      </c>
      <c r="D368" t="s">
        <v>19</v>
      </c>
      <c r="E368" t="s">
        <v>35</v>
      </c>
      <c r="F368" t="s">
        <v>37</v>
      </c>
      <c r="G368" s="2" t="s">
        <v>62</v>
      </c>
      <c r="H368" t="s">
        <v>31</v>
      </c>
      <c r="I368" t="s">
        <v>39</v>
      </c>
      <c r="J368" t="s">
        <v>28</v>
      </c>
      <c r="K368" s="5" t="s">
        <v>25</v>
      </c>
      <c r="L368" s="6" cm="1">
        <f t="array" ref="L368">_xlfn.SWITCH(Table13_2[[#This Row],[Performance Score]],"A",6,"B",5,"C",4,"D",3,"E",2,"F",1)</f>
        <v>6</v>
      </c>
      <c r="M368" s="5">
        <f t="shared" si="5"/>
        <v>49144.385026737968</v>
      </c>
    </row>
    <row r="369" spans="1:13" x14ac:dyDescent="0.3">
      <c r="A369" t="s">
        <v>56</v>
      </c>
      <c r="B369">
        <v>25</v>
      </c>
      <c r="C369">
        <v>0</v>
      </c>
      <c r="D369" t="s">
        <v>19</v>
      </c>
      <c r="E369" t="s">
        <v>20</v>
      </c>
      <c r="F369" t="s">
        <v>21</v>
      </c>
      <c r="G369" s="2" t="s">
        <v>62</v>
      </c>
      <c r="H369" t="s">
        <v>31</v>
      </c>
      <c r="I369" t="s">
        <v>16</v>
      </c>
      <c r="J369" t="s">
        <v>24</v>
      </c>
      <c r="K369" s="5" t="s">
        <v>29</v>
      </c>
      <c r="L369" s="6" cm="1">
        <f t="array" ref="L369">_xlfn.SWITCH(Table13_2[[#This Row],[Performance Score]],"A",6,"B",5,"C",4,"D",3,"E",2,"F",1)</f>
        <v>6</v>
      </c>
      <c r="M369" s="5">
        <f t="shared" si="5"/>
        <v>48417.431192660551</v>
      </c>
    </row>
    <row r="370" spans="1:13" x14ac:dyDescent="0.3">
      <c r="A370" t="s">
        <v>56</v>
      </c>
      <c r="B370" t="s">
        <v>51</v>
      </c>
      <c r="C370">
        <v>0</v>
      </c>
      <c r="D370" t="s">
        <v>12</v>
      </c>
      <c r="E370" t="s">
        <v>30</v>
      </c>
      <c r="F370" t="s">
        <v>21</v>
      </c>
      <c r="G370" s="2" t="s">
        <v>62</v>
      </c>
      <c r="H370" t="s">
        <v>22</v>
      </c>
      <c r="I370" t="s">
        <v>39</v>
      </c>
      <c r="J370" t="s">
        <v>17</v>
      </c>
      <c r="K370" s="5" t="s">
        <v>29</v>
      </c>
      <c r="L370" s="6" cm="1">
        <f t="array" ref="L370">_xlfn.SWITCH(Table13_2[[#This Row],[Performance Score]],"A",6,"B",5,"C",4,"D",3,"E",2,"F",1)</f>
        <v>1</v>
      </c>
      <c r="M370" s="5">
        <f t="shared" si="5"/>
        <v>50777.202072538857</v>
      </c>
    </row>
    <row r="371" spans="1:13" x14ac:dyDescent="0.3">
      <c r="A371" t="s">
        <v>49</v>
      </c>
      <c r="B371">
        <v>40</v>
      </c>
      <c r="C371">
        <v>70000</v>
      </c>
      <c r="D371" t="s">
        <v>12</v>
      </c>
      <c r="E371" t="s">
        <v>26</v>
      </c>
      <c r="F371" t="s">
        <v>41</v>
      </c>
      <c r="G371" s="2" t="s">
        <v>60</v>
      </c>
      <c r="H371" t="s">
        <v>27</v>
      </c>
      <c r="I371" t="s">
        <v>39</v>
      </c>
      <c r="J371" t="s">
        <v>17</v>
      </c>
      <c r="K371" s="5" t="s">
        <v>11</v>
      </c>
      <c r="L371" s="6" cm="1">
        <f t="array" ref="L371">_xlfn.SWITCH(Table13_2[[#This Row],[Performance Score]],"A",6,"B",5,"C",4,"D",3,"E",2,"F",1)</f>
        <v>4</v>
      </c>
      <c r="M371" s="5">
        <f t="shared" si="5"/>
        <v>70000</v>
      </c>
    </row>
    <row r="372" spans="1:13" x14ac:dyDescent="0.3">
      <c r="A372" t="s">
        <v>52</v>
      </c>
      <c r="B372">
        <v>50</v>
      </c>
      <c r="C372">
        <v>65000</v>
      </c>
      <c r="D372" t="s">
        <v>19</v>
      </c>
      <c r="E372" t="s">
        <v>30</v>
      </c>
      <c r="F372" t="s">
        <v>21</v>
      </c>
      <c r="G372" s="2" t="s">
        <v>62</v>
      </c>
      <c r="H372" t="s">
        <v>27</v>
      </c>
      <c r="I372" t="s">
        <v>32</v>
      </c>
      <c r="J372" t="s">
        <v>17</v>
      </c>
      <c r="K372" s="5" t="s">
        <v>18</v>
      </c>
      <c r="L372" s="6" cm="1">
        <f t="array" ref="L372">_xlfn.SWITCH(Table13_2[[#This Row],[Performance Score]],"A",6,"B",5,"C",4,"D",3,"E",2,"F",1)</f>
        <v>4</v>
      </c>
      <c r="M372" s="5">
        <f t="shared" si="5"/>
        <v>65000</v>
      </c>
    </row>
    <row r="373" spans="1:13" x14ac:dyDescent="0.3">
      <c r="A373" t="s">
        <v>64</v>
      </c>
      <c r="B373">
        <v>25</v>
      </c>
      <c r="C373">
        <v>60000</v>
      </c>
      <c r="D373" t="s">
        <v>34</v>
      </c>
      <c r="E373" t="s">
        <v>20</v>
      </c>
      <c r="F373" t="s">
        <v>40</v>
      </c>
      <c r="G373" s="2">
        <v>43881</v>
      </c>
      <c r="H373" t="s">
        <v>22</v>
      </c>
      <c r="I373" t="s">
        <v>32</v>
      </c>
      <c r="J373" t="s">
        <v>28</v>
      </c>
      <c r="K373" s="5" t="s">
        <v>43</v>
      </c>
      <c r="L373" s="6" cm="1">
        <f t="array" ref="L373">_xlfn.SWITCH(Table13_2[[#This Row],[Performance Score]],"A",6,"B",5,"C",4,"D",3,"E",2,"F",1)</f>
        <v>1</v>
      </c>
      <c r="M373" s="5">
        <f t="shared" si="5"/>
        <v>60000</v>
      </c>
    </row>
    <row r="374" spans="1:13" x14ac:dyDescent="0.3">
      <c r="A374" t="s">
        <v>52</v>
      </c>
      <c r="B374">
        <v>40</v>
      </c>
      <c r="C374">
        <v>60000</v>
      </c>
      <c r="D374" t="s">
        <v>34</v>
      </c>
      <c r="E374" t="s">
        <v>20</v>
      </c>
      <c r="F374" t="s">
        <v>40</v>
      </c>
      <c r="G374" s="2">
        <v>43881</v>
      </c>
      <c r="H374" t="s">
        <v>38</v>
      </c>
      <c r="I374" t="s">
        <v>16</v>
      </c>
      <c r="J374" t="s">
        <v>17</v>
      </c>
      <c r="K374" s="5" t="s">
        <v>18</v>
      </c>
      <c r="L374" s="6" cm="1">
        <f t="array" ref="L374">_xlfn.SWITCH(Table13_2[[#This Row],[Performance Score]],"A",6,"B",5,"C",4,"D",3,"E",2,"F",1)</f>
        <v>5</v>
      </c>
      <c r="M374" s="5">
        <f t="shared" si="5"/>
        <v>60000</v>
      </c>
    </row>
    <row r="375" spans="1:13" x14ac:dyDescent="0.3">
      <c r="A375" t="s">
        <v>61</v>
      </c>
      <c r="B375" t="s">
        <v>63</v>
      </c>
      <c r="C375">
        <v>50000</v>
      </c>
      <c r="D375" t="s">
        <v>12</v>
      </c>
      <c r="E375" t="s">
        <v>30</v>
      </c>
      <c r="F375" t="s">
        <v>21</v>
      </c>
      <c r="G375" s="2" t="s">
        <v>55</v>
      </c>
      <c r="H375" t="s">
        <v>27</v>
      </c>
      <c r="I375" t="s">
        <v>32</v>
      </c>
      <c r="J375" t="s">
        <v>42</v>
      </c>
      <c r="K375" s="5" t="s">
        <v>36</v>
      </c>
      <c r="L375" s="6" cm="1">
        <f t="array" ref="L375">_xlfn.SWITCH(Table13_2[[#This Row],[Performance Score]],"A",6,"B",5,"C",4,"D",3,"E",2,"F",1)</f>
        <v>4</v>
      </c>
      <c r="M375" s="5">
        <f t="shared" si="5"/>
        <v>50000</v>
      </c>
    </row>
    <row r="376" spans="1:13" x14ac:dyDescent="0.3">
      <c r="A376" t="s">
        <v>49</v>
      </c>
      <c r="B376">
        <v>25</v>
      </c>
      <c r="C376">
        <v>0</v>
      </c>
      <c r="D376" t="s">
        <v>34</v>
      </c>
      <c r="E376" t="s">
        <v>13</v>
      </c>
      <c r="F376" t="s">
        <v>41</v>
      </c>
      <c r="G376" s="2" t="s">
        <v>60</v>
      </c>
      <c r="H376" t="s">
        <v>22</v>
      </c>
      <c r="I376" t="s">
        <v>39</v>
      </c>
      <c r="J376" t="s">
        <v>17</v>
      </c>
      <c r="K376" s="5" t="s">
        <v>11</v>
      </c>
      <c r="L376" s="6" cm="1">
        <f t="array" ref="L376">_xlfn.SWITCH(Table13_2[[#This Row],[Performance Score]],"A",6,"B",5,"C",4,"D",3,"E",2,"F",1)</f>
        <v>1</v>
      </c>
      <c r="M376" s="5">
        <f t="shared" si="5"/>
        <v>51825</v>
      </c>
    </row>
    <row r="377" spans="1:13" x14ac:dyDescent="0.3">
      <c r="A377" t="s">
        <v>53</v>
      </c>
      <c r="B377">
        <v>40</v>
      </c>
      <c r="C377">
        <v>50000</v>
      </c>
      <c r="D377" t="s">
        <v>12</v>
      </c>
      <c r="E377" t="s">
        <v>13</v>
      </c>
      <c r="F377" t="s">
        <v>41</v>
      </c>
      <c r="G377" s="2" t="s">
        <v>55</v>
      </c>
      <c r="H377" t="s">
        <v>38</v>
      </c>
      <c r="I377" t="s">
        <v>16</v>
      </c>
      <c r="J377" t="s">
        <v>42</v>
      </c>
      <c r="K377" s="5" t="s">
        <v>25</v>
      </c>
      <c r="L377" s="6" cm="1">
        <f t="array" ref="L377">_xlfn.SWITCH(Table13_2[[#This Row],[Performance Score]],"A",6,"B",5,"C",4,"D",3,"E",2,"F",1)</f>
        <v>5</v>
      </c>
      <c r="M377" s="5">
        <f t="shared" si="5"/>
        <v>50000</v>
      </c>
    </row>
    <row r="378" spans="1:13" x14ac:dyDescent="0.3">
      <c r="A378" t="s">
        <v>52</v>
      </c>
      <c r="B378" t="s">
        <v>63</v>
      </c>
      <c r="C378">
        <v>70000</v>
      </c>
      <c r="D378" t="s">
        <v>34</v>
      </c>
      <c r="E378" t="s">
        <v>13</v>
      </c>
      <c r="F378" t="s">
        <v>41</v>
      </c>
      <c r="G378" s="2">
        <v>43881</v>
      </c>
      <c r="H378" t="s">
        <v>38</v>
      </c>
      <c r="I378" t="s">
        <v>39</v>
      </c>
      <c r="J378" t="s">
        <v>42</v>
      </c>
      <c r="K378" s="5" t="s">
        <v>18</v>
      </c>
      <c r="L378" s="6" cm="1">
        <f t="array" ref="L378">_xlfn.SWITCH(Table13_2[[#This Row],[Performance Score]],"A",6,"B",5,"C",4,"D",3,"E",2,"F",1)</f>
        <v>5</v>
      </c>
      <c r="M378" s="5">
        <f t="shared" si="5"/>
        <v>70000</v>
      </c>
    </row>
    <row r="379" spans="1:13" x14ac:dyDescent="0.3">
      <c r="A379" t="s">
        <v>65</v>
      </c>
      <c r="B379" t="s">
        <v>51</v>
      </c>
      <c r="C379">
        <v>70000</v>
      </c>
      <c r="D379" t="s">
        <v>19</v>
      </c>
      <c r="E379" t="s">
        <v>20</v>
      </c>
      <c r="F379" t="s">
        <v>14</v>
      </c>
      <c r="G379" s="2">
        <v>43881</v>
      </c>
      <c r="H379" t="s">
        <v>15</v>
      </c>
      <c r="I379" t="s">
        <v>16</v>
      </c>
      <c r="J379" t="s">
        <v>28</v>
      </c>
      <c r="K379" s="5" t="s">
        <v>44</v>
      </c>
      <c r="L379" s="6" cm="1">
        <f t="array" ref="L379">_xlfn.SWITCH(Table13_2[[#This Row],[Performance Score]],"A",6,"B",5,"C",4,"D",3,"E",2,"F",1)</f>
        <v>3</v>
      </c>
      <c r="M379" s="5">
        <f t="shared" si="5"/>
        <v>70000</v>
      </c>
    </row>
    <row r="380" spans="1:13" x14ac:dyDescent="0.3">
      <c r="A380" t="s">
        <v>59</v>
      </c>
      <c r="B380">
        <v>50</v>
      </c>
      <c r="C380">
        <v>55000</v>
      </c>
      <c r="D380" t="s">
        <v>12</v>
      </c>
      <c r="E380" t="s">
        <v>35</v>
      </c>
      <c r="F380" t="s">
        <v>21</v>
      </c>
      <c r="G380" s="2" t="s">
        <v>50</v>
      </c>
      <c r="H380" t="s">
        <v>38</v>
      </c>
      <c r="I380" t="s">
        <v>16</v>
      </c>
      <c r="J380" t="s">
        <v>24</v>
      </c>
      <c r="K380" s="5" t="s">
        <v>33</v>
      </c>
      <c r="L380" s="6" cm="1">
        <f t="array" ref="L380">_xlfn.SWITCH(Table13_2[[#This Row],[Performance Score]],"A",6,"B",5,"C",4,"D",3,"E",2,"F",1)</f>
        <v>5</v>
      </c>
      <c r="M380" s="5">
        <f t="shared" si="5"/>
        <v>55000</v>
      </c>
    </row>
    <row r="381" spans="1:13" x14ac:dyDescent="0.3">
      <c r="A381" t="s">
        <v>61</v>
      </c>
      <c r="B381" t="s">
        <v>63</v>
      </c>
      <c r="C381">
        <v>70000</v>
      </c>
      <c r="D381" t="s">
        <v>12</v>
      </c>
      <c r="E381" t="s">
        <v>20</v>
      </c>
      <c r="F381" t="s">
        <v>41</v>
      </c>
      <c r="G381" s="2" t="s">
        <v>62</v>
      </c>
      <c r="H381" t="s">
        <v>27</v>
      </c>
      <c r="I381" t="s">
        <v>23</v>
      </c>
      <c r="J381" t="s">
        <v>42</v>
      </c>
      <c r="K381" s="5" t="s">
        <v>36</v>
      </c>
      <c r="L381" s="6" cm="1">
        <f t="array" ref="L381">_xlfn.SWITCH(Table13_2[[#This Row],[Performance Score]],"A",6,"B",5,"C",4,"D",3,"E",2,"F",1)</f>
        <v>4</v>
      </c>
      <c r="M381" s="5">
        <f t="shared" si="5"/>
        <v>70000</v>
      </c>
    </row>
    <row r="382" spans="1:13" x14ac:dyDescent="0.3">
      <c r="A382" t="s">
        <v>66</v>
      </c>
      <c r="B382">
        <v>35</v>
      </c>
      <c r="C382">
        <v>55000</v>
      </c>
      <c r="D382" t="s">
        <v>19</v>
      </c>
      <c r="E382" t="s">
        <v>35</v>
      </c>
      <c r="F382" t="s">
        <v>40</v>
      </c>
      <c r="G382" s="2">
        <v>43881</v>
      </c>
      <c r="H382" t="s">
        <v>27</v>
      </c>
      <c r="I382" t="s">
        <v>23</v>
      </c>
      <c r="J382" t="s">
        <v>17</v>
      </c>
      <c r="K382" s="5" t="s">
        <v>45</v>
      </c>
      <c r="L382" s="6" cm="1">
        <f t="array" ref="L382">_xlfn.SWITCH(Table13_2[[#This Row],[Performance Score]],"A",6,"B",5,"C",4,"D",3,"E",2,"F",1)</f>
        <v>4</v>
      </c>
      <c r="M382" s="5">
        <f t="shared" si="5"/>
        <v>55000</v>
      </c>
    </row>
    <row r="383" spans="1:13" x14ac:dyDescent="0.3">
      <c r="A383" t="s">
        <v>53</v>
      </c>
      <c r="B383" t="s">
        <v>63</v>
      </c>
      <c r="C383">
        <v>65000</v>
      </c>
      <c r="D383" t="s">
        <v>12</v>
      </c>
      <c r="E383" t="s">
        <v>30</v>
      </c>
      <c r="F383" t="s">
        <v>37</v>
      </c>
      <c r="G383" s="2" t="s">
        <v>55</v>
      </c>
      <c r="H383" t="s">
        <v>22</v>
      </c>
      <c r="I383" t="s">
        <v>16</v>
      </c>
      <c r="J383" t="s">
        <v>24</v>
      </c>
      <c r="K383" s="5" t="s">
        <v>25</v>
      </c>
      <c r="L383" s="6" cm="1">
        <f t="array" ref="L383">_xlfn.SWITCH(Table13_2[[#This Row],[Performance Score]],"A",6,"B",5,"C",4,"D",3,"E",2,"F",1)</f>
        <v>1</v>
      </c>
      <c r="M383" s="5">
        <f t="shared" si="5"/>
        <v>65000</v>
      </c>
    </row>
    <row r="384" spans="1:13" x14ac:dyDescent="0.3">
      <c r="A384" t="s">
        <v>61</v>
      </c>
      <c r="B384" t="s">
        <v>63</v>
      </c>
      <c r="C384">
        <v>50000</v>
      </c>
      <c r="D384" t="s">
        <v>34</v>
      </c>
      <c r="E384" t="s">
        <v>26</v>
      </c>
      <c r="F384" t="s">
        <v>37</v>
      </c>
      <c r="G384" s="2" t="s">
        <v>55</v>
      </c>
      <c r="H384" t="s">
        <v>22</v>
      </c>
      <c r="I384" t="s">
        <v>32</v>
      </c>
      <c r="J384" t="s">
        <v>17</v>
      </c>
      <c r="K384" s="5" t="s">
        <v>36</v>
      </c>
      <c r="L384" s="6" cm="1">
        <f t="array" ref="L384">_xlfn.SWITCH(Table13_2[[#This Row],[Performance Score]],"A",6,"B",5,"C",4,"D",3,"E",2,"F",1)</f>
        <v>1</v>
      </c>
      <c r="M384" s="5">
        <f t="shared" si="5"/>
        <v>50000</v>
      </c>
    </row>
    <row r="385" spans="1:13" x14ac:dyDescent="0.3">
      <c r="A385" t="s">
        <v>59</v>
      </c>
      <c r="B385">
        <v>50</v>
      </c>
      <c r="C385">
        <v>65000</v>
      </c>
      <c r="D385" t="s">
        <v>34</v>
      </c>
      <c r="E385" t="s">
        <v>35</v>
      </c>
      <c r="F385" t="s">
        <v>41</v>
      </c>
      <c r="G385" s="2" t="s">
        <v>62</v>
      </c>
      <c r="H385" t="s">
        <v>38</v>
      </c>
      <c r="I385" t="s">
        <v>23</v>
      </c>
      <c r="J385" t="s">
        <v>17</v>
      </c>
      <c r="K385" s="5" t="s">
        <v>33</v>
      </c>
      <c r="L385" s="6" cm="1">
        <f t="array" ref="L385">_xlfn.SWITCH(Table13_2[[#This Row],[Performance Score]],"A",6,"B",5,"C",4,"D",3,"E",2,"F",1)</f>
        <v>5</v>
      </c>
      <c r="M385" s="5">
        <f t="shared" si="5"/>
        <v>65000</v>
      </c>
    </row>
    <row r="386" spans="1:13" x14ac:dyDescent="0.3">
      <c r="A386" t="s">
        <v>49</v>
      </c>
      <c r="B386">
        <v>35</v>
      </c>
      <c r="C386">
        <v>70000</v>
      </c>
      <c r="D386" t="s">
        <v>12</v>
      </c>
      <c r="E386" t="s">
        <v>13</v>
      </c>
      <c r="F386" t="s">
        <v>37</v>
      </c>
      <c r="G386" s="2" t="s">
        <v>62</v>
      </c>
      <c r="H386" t="s">
        <v>31</v>
      </c>
      <c r="I386" t="s">
        <v>39</v>
      </c>
      <c r="J386" t="s">
        <v>24</v>
      </c>
      <c r="K386" s="5" t="s">
        <v>11</v>
      </c>
      <c r="L386" s="6" cm="1">
        <f t="array" ref="L386">_xlfn.SWITCH(Table13_2[[#This Row],[Performance Score]],"A",6,"B",5,"C",4,"D",3,"E",2,"F",1)</f>
        <v>6</v>
      </c>
      <c r="M386" s="5">
        <f t="shared" si="5"/>
        <v>70000</v>
      </c>
    </row>
    <row r="387" spans="1:13" x14ac:dyDescent="0.3">
      <c r="A387" t="s">
        <v>59</v>
      </c>
      <c r="B387">
        <v>40</v>
      </c>
      <c r="C387">
        <v>65000</v>
      </c>
      <c r="D387" t="s">
        <v>34</v>
      </c>
      <c r="E387" t="s">
        <v>20</v>
      </c>
      <c r="F387" t="s">
        <v>37</v>
      </c>
      <c r="G387" s="2" t="s">
        <v>50</v>
      </c>
      <c r="H387" t="s">
        <v>15</v>
      </c>
      <c r="I387" t="s">
        <v>39</v>
      </c>
      <c r="J387" t="s">
        <v>24</v>
      </c>
      <c r="K387" s="5" t="s">
        <v>33</v>
      </c>
      <c r="L387" s="6" cm="1">
        <f t="array" ref="L387">_xlfn.SWITCH(Table13_2[[#This Row],[Performance Score]],"A",6,"B",5,"C",4,"D",3,"E",2,"F",1)</f>
        <v>3</v>
      </c>
      <c r="M387" s="5">
        <f t="shared" ref="M387:M450" si="6">IF(C387=0,AVERAGEIF($E$2:$E$1001,E387,$C$2:$C$1001),C387)</f>
        <v>65000</v>
      </c>
    </row>
    <row r="388" spans="1:13" x14ac:dyDescent="0.3">
      <c r="A388" t="s">
        <v>56</v>
      </c>
      <c r="B388">
        <v>40</v>
      </c>
      <c r="C388">
        <v>65000</v>
      </c>
      <c r="D388" t="s">
        <v>12</v>
      </c>
      <c r="E388" t="s">
        <v>30</v>
      </c>
      <c r="F388" t="s">
        <v>14</v>
      </c>
      <c r="G388" s="2" t="s">
        <v>60</v>
      </c>
      <c r="H388" t="s">
        <v>31</v>
      </c>
      <c r="I388" t="s">
        <v>23</v>
      </c>
      <c r="J388" t="s">
        <v>17</v>
      </c>
      <c r="K388" s="5" t="s">
        <v>29</v>
      </c>
      <c r="L388" s="6" cm="1">
        <f t="array" ref="L388">_xlfn.SWITCH(Table13_2[[#This Row],[Performance Score]],"A",6,"B",5,"C",4,"D",3,"E",2,"F",1)</f>
        <v>6</v>
      </c>
      <c r="M388" s="5">
        <f t="shared" si="6"/>
        <v>65000</v>
      </c>
    </row>
    <row r="389" spans="1:13" x14ac:dyDescent="0.3">
      <c r="A389" t="s">
        <v>59</v>
      </c>
      <c r="B389" t="s">
        <v>63</v>
      </c>
      <c r="C389">
        <v>65000</v>
      </c>
      <c r="D389" t="s">
        <v>19</v>
      </c>
      <c r="E389" t="s">
        <v>13</v>
      </c>
      <c r="F389" t="s">
        <v>40</v>
      </c>
      <c r="G389" s="2" t="s">
        <v>55</v>
      </c>
      <c r="H389" t="s">
        <v>38</v>
      </c>
      <c r="I389" t="s">
        <v>16</v>
      </c>
      <c r="J389" t="s">
        <v>28</v>
      </c>
      <c r="K389" s="5" t="s">
        <v>33</v>
      </c>
      <c r="L389" s="6" cm="1">
        <f t="array" ref="L389">_xlfn.SWITCH(Table13_2[[#This Row],[Performance Score]],"A",6,"B",5,"C",4,"D",3,"E",2,"F",1)</f>
        <v>5</v>
      </c>
      <c r="M389" s="5">
        <f t="shared" si="6"/>
        <v>65000</v>
      </c>
    </row>
    <row r="390" spans="1:13" x14ac:dyDescent="0.3">
      <c r="A390" t="s">
        <v>56</v>
      </c>
      <c r="B390">
        <v>35</v>
      </c>
      <c r="C390">
        <v>70000</v>
      </c>
      <c r="D390" t="s">
        <v>12</v>
      </c>
      <c r="E390" t="s">
        <v>30</v>
      </c>
      <c r="F390" t="s">
        <v>40</v>
      </c>
      <c r="G390" s="2" t="s">
        <v>62</v>
      </c>
      <c r="H390" t="s">
        <v>38</v>
      </c>
      <c r="I390" t="s">
        <v>32</v>
      </c>
      <c r="J390" t="s">
        <v>17</v>
      </c>
      <c r="K390" s="5" t="s">
        <v>29</v>
      </c>
      <c r="L390" s="6" cm="1">
        <f t="array" ref="L390">_xlfn.SWITCH(Table13_2[[#This Row],[Performance Score]],"A",6,"B",5,"C",4,"D",3,"E",2,"F",1)</f>
        <v>5</v>
      </c>
      <c r="M390" s="5">
        <f t="shared" si="6"/>
        <v>70000</v>
      </c>
    </row>
    <row r="391" spans="1:13" x14ac:dyDescent="0.3">
      <c r="A391" t="s">
        <v>49</v>
      </c>
      <c r="B391">
        <v>35</v>
      </c>
      <c r="C391">
        <v>0</v>
      </c>
      <c r="D391" t="s">
        <v>19</v>
      </c>
      <c r="E391" t="s">
        <v>26</v>
      </c>
      <c r="F391" t="s">
        <v>14</v>
      </c>
      <c r="G391" s="2" t="s">
        <v>55</v>
      </c>
      <c r="H391" t="s">
        <v>31</v>
      </c>
      <c r="I391" t="s">
        <v>39</v>
      </c>
      <c r="J391" t="s">
        <v>17</v>
      </c>
      <c r="K391" s="5" t="s">
        <v>11</v>
      </c>
      <c r="L391" s="6" cm="1">
        <f t="array" ref="L391">_xlfn.SWITCH(Table13_2[[#This Row],[Performance Score]],"A",6,"B",5,"C",4,"D",3,"E",2,"F",1)</f>
        <v>6</v>
      </c>
      <c r="M391" s="5">
        <f t="shared" si="6"/>
        <v>50742.574257425746</v>
      </c>
    </row>
    <row r="392" spans="1:13" x14ac:dyDescent="0.3">
      <c r="A392" t="s">
        <v>67</v>
      </c>
      <c r="B392">
        <v>50</v>
      </c>
      <c r="C392">
        <v>65000</v>
      </c>
      <c r="D392" t="s">
        <v>34</v>
      </c>
      <c r="E392" t="s">
        <v>20</v>
      </c>
      <c r="F392" t="s">
        <v>14</v>
      </c>
      <c r="G392" s="2" t="s">
        <v>62</v>
      </c>
      <c r="H392" t="s">
        <v>15</v>
      </c>
      <c r="I392" t="s">
        <v>23</v>
      </c>
      <c r="J392" t="s">
        <v>28</v>
      </c>
      <c r="K392" s="5" t="s">
        <v>46</v>
      </c>
      <c r="L392" s="6" cm="1">
        <f t="array" ref="L392">_xlfn.SWITCH(Table13_2[[#This Row],[Performance Score]],"A",6,"B",5,"C",4,"D",3,"E",2,"F",1)</f>
        <v>3</v>
      </c>
      <c r="M392" s="5">
        <f t="shared" si="6"/>
        <v>65000</v>
      </c>
    </row>
    <row r="393" spans="1:13" x14ac:dyDescent="0.3">
      <c r="A393" t="s">
        <v>56</v>
      </c>
      <c r="B393" t="s">
        <v>51</v>
      </c>
      <c r="C393">
        <v>55000</v>
      </c>
      <c r="D393" t="s">
        <v>19</v>
      </c>
      <c r="E393" t="s">
        <v>20</v>
      </c>
      <c r="F393" t="s">
        <v>37</v>
      </c>
      <c r="G393" s="2">
        <v>43881</v>
      </c>
      <c r="H393" t="s">
        <v>31</v>
      </c>
      <c r="I393" t="s">
        <v>32</v>
      </c>
      <c r="J393" t="s">
        <v>24</v>
      </c>
      <c r="K393" s="5" t="s">
        <v>29</v>
      </c>
      <c r="L393" s="6" cm="1">
        <f t="array" ref="L393">_xlfn.SWITCH(Table13_2[[#This Row],[Performance Score]],"A",6,"B",5,"C",4,"D",3,"E",2,"F",1)</f>
        <v>6</v>
      </c>
      <c r="M393" s="5">
        <f t="shared" si="6"/>
        <v>55000</v>
      </c>
    </row>
    <row r="394" spans="1:13" x14ac:dyDescent="0.3">
      <c r="A394" t="s">
        <v>66</v>
      </c>
      <c r="B394">
        <v>40</v>
      </c>
      <c r="C394">
        <v>70000</v>
      </c>
      <c r="D394" t="s">
        <v>34</v>
      </c>
      <c r="E394" t="s">
        <v>26</v>
      </c>
      <c r="F394" t="s">
        <v>21</v>
      </c>
      <c r="G394" s="2" t="s">
        <v>55</v>
      </c>
      <c r="H394" t="s">
        <v>22</v>
      </c>
      <c r="I394" t="s">
        <v>32</v>
      </c>
      <c r="J394" t="s">
        <v>17</v>
      </c>
      <c r="K394" s="5" t="s">
        <v>45</v>
      </c>
      <c r="L394" s="6" cm="1">
        <f t="array" ref="L394">_xlfn.SWITCH(Table13_2[[#This Row],[Performance Score]],"A",6,"B",5,"C",4,"D",3,"E",2,"F",1)</f>
        <v>1</v>
      </c>
      <c r="M394" s="5">
        <f t="shared" si="6"/>
        <v>70000</v>
      </c>
    </row>
    <row r="395" spans="1:13" x14ac:dyDescent="0.3">
      <c r="A395" t="s">
        <v>59</v>
      </c>
      <c r="B395">
        <v>50</v>
      </c>
      <c r="C395">
        <v>65000</v>
      </c>
      <c r="D395" t="s">
        <v>12</v>
      </c>
      <c r="E395" t="s">
        <v>20</v>
      </c>
      <c r="F395" t="s">
        <v>37</v>
      </c>
      <c r="G395" s="2">
        <v>43881</v>
      </c>
      <c r="H395" t="s">
        <v>27</v>
      </c>
      <c r="I395" t="s">
        <v>32</v>
      </c>
      <c r="J395" t="s">
        <v>17</v>
      </c>
      <c r="K395" s="5" t="s">
        <v>33</v>
      </c>
      <c r="L395" s="6" cm="1">
        <f t="array" ref="L395">_xlfn.SWITCH(Table13_2[[#This Row],[Performance Score]],"A",6,"B",5,"C",4,"D",3,"E",2,"F",1)</f>
        <v>4</v>
      </c>
      <c r="M395" s="5">
        <f t="shared" si="6"/>
        <v>65000</v>
      </c>
    </row>
    <row r="396" spans="1:13" x14ac:dyDescent="0.3">
      <c r="A396" t="s">
        <v>59</v>
      </c>
      <c r="B396">
        <v>25</v>
      </c>
      <c r="C396">
        <v>0</v>
      </c>
      <c r="D396" t="s">
        <v>34</v>
      </c>
      <c r="E396" t="s">
        <v>35</v>
      </c>
      <c r="F396" t="s">
        <v>14</v>
      </c>
      <c r="G396" s="2" t="s">
        <v>55</v>
      </c>
      <c r="H396" t="s">
        <v>22</v>
      </c>
      <c r="I396" t="s">
        <v>16</v>
      </c>
      <c r="J396" t="s">
        <v>17</v>
      </c>
      <c r="K396" s="5" t="s">
        <v>33</v>
      </c>
      <c r="L396" s="6" cm="1">
        <f t="array" ref="L396">_xlfn.SWITCH(Table13_2[[#This Row],[Performance Score]],"A",6,"B",5,"C",4,"D",3,"E",2,"F",1)</f>
        <v>1</v>
      </c>
      <c r="M396" s="5">
        <f t="shared" si="6"/>
        <v>49144.385026737968</v>
      </c>
    </row>
    <row r="397" spans="1:13" x14ac:dyDescent="0.3">
      <c r="A397" t="s">
        <v>66</v>
      </c>
      <c r="B397">
        <v>40</v>
      </c>
      <c r="C397">
        <v>70000</v>
      </c>
      <c r="D397" t="s">
        <v>12</v>
      </c>
      <c r="E397" t="s">
        <v>30</v>
      </c>
      <c r="F397" t="s">
        <v>40</v>
      </c>
      <c r="G397" s="2" t="s">
        <v>60</v>
      </c>
      <c r="H397" t="s">
        <v>27</v>
      </c>
      <c r="I397" t="s">
        <v>39</v>
      </c>
      <c r="J397" t="s">
        <v>28</v>
      </c>
      <c r="K397" s="5" t="s">
        <v>45</v>
      </c>
      <c r="L397" s="6" cm="1">
        <f t="array" ref="L397">_xlfn.SWITCH(Table13_2[[#This Row],[Performance Score]],"A",6,"B",5,"C",4,"D",3,"E",2,"F",1)</f>
        <v>4</v>
      </c>
      <c r="M397" s="5">
        <f t="shared" si="6"/>
        <v>70000</v>
      </c>
    </row>
    <row r="398" spans="1:13" x14ac:dyDescent="0.3">
      <c r="A398" t="s">
        <v>65</v>
      </c>
      <c r="B398">
        <v>50</v>
      </c>
      <c r="C398">
        <v>60000</v>
      </c>
      <c r="D398" t="s">
        <v>12</v>
      </c>
      <c r="E398" t="s">
        <v>13</v>
      </c>
      <c r="F398" t="s">
        <v>37</v>
      </c>
      <c r="G398" s="2" t="s">
        <v>50</v>
      </c>
      <c r="H398" t="s">
        <v>38</v>
      </c>
      <c r="I398" t="s">
        <v>32</v>
      </c>
      <c r="J398" t="s">
        <v>17</v>
      </c>
      <c r="K398" s="5" t="s">
        <v>44</v>
      </c>
      <c r="L398" s="6" cm="1">
        <f t="array" ref="L398">_xlfn.SWITCH(Table13_2[[#This Row],[Performance Score]],"A",6,"B",5,"C",4,"D",3,"E",2,"F",1)</f>
        <v>5</v>
      </c>
      <c r="M398" s="5">
        <f t="shared" si="6"/>
        <v>60000</v>
      </c>
    </row>
    <row r="399" spans="1:13" x14ac:dyDescent="0.3">
      <c r="A399" t="s">
        <v>64</v>
      </c>
      <c r="B399">
        <v>40</v>
      </c>
      <c r="C399">
        <v>0</v>
      </c>
      <c r="D399" t="s">
        <v>19</v>
      </c>
      <c r="E399" t="s">
        <v>26</v>
      </c>
      <c r="F399" t="s">
        <v>21</v>
      </c>
      <c r="G399" s="2">
        <v>43881</v>
      </c>
      <c r="H399" t="s">
        <v>15</v>
      </c>
      <c r="I399" t="s">
        <v>39</v>
      </c>
      <c r="J399" t="s">
        <v>28</v>
      </c>
      <c r="K399" s="5" t="s">
        <v>43</v>
      </c>
      <c r="L399" s="6" cm="1">
        <f t="array" ref="L399">_xlfn.SWITCH(Table13_2[[#This Row],[Performance Score]],"A",6,"B",5,"C",4,"D",3,"E",2,"F",1)</f>
        <v>3</v>
      </c>
      <c r="M399" s="5">
        <f t="shared" si="6"/>
        <v>50742.574257425746</v>
      </c>
    </row>
    <row r="400" spans="1:13" x14ac:dyDescent="0.3">
      <c r="A400" t="s">
        <v>67</v>
      </c>
      <c r="B400" t="s">
        <v>51</v>
      </c>
      <c r="C400">
        <v>55000</v>
      </c>
      <c r="D400" t="s">
        <v>19</v>
      </c>
      <c r="E400" t="s">
        <v>35</v>
      </c>
      <c r="F400" t="s">
        <v>37</v>
      </c>
      <c r="G400" s="2" t="s">
        <v>62</v>
      </c>
      <c r="H400" t="s">
        <v>31</v>
      </c>
      <c r="I400" t="s">
        <v>23</v>
      </c>
      <c r="J400" t="s">
        <v>24</v>
      </c>
      <c r="K400" s="5" t="s">
        <v>46</v>
      </c>
      <c r="L400" s="6" cm="1">
        <f t="array" ref="L400">_xlfn.SWITCH(Table13_2[[#This Row],[Performance Score]],"A",6,"B",5,"C",4,"D",3,"E",2,"F",1)</f>
        <v>6</v>
      </c>
      <c r="M400" s="5">
        <f t="shared" si="6"/>
        <v>55000</v>
      </c>
    </row>
    <row r="401" spans="1:13" x14ac:dyDescent="0.3">
      <c r="A401" t="s">
        <v>53</v>
      </c>
      <c r="B401">
        <v>25</v>
      </c>
      <c r="C401">
        <v>65000</v>
      </c>
      <c r="D401" t="s">
        <v>19</v>
      </c>
      <c r="E401" t="s">
        <v>13</v>
      </c>
      <c r="F401" t="s">
        <v>41</v>
      </c>
      <c r="G401" s="2" t="s">
        <v>60</v>
      </c>
      <c r="H401" t="s">
        <v>15</v>
      </c>
      <c r="I401" t="s">
        <v>39</v>
      </c>
      <c r="J401" t="s">
        <v>28</v>
      </c>
      <c r="K401" s="5" t="s">
        <v>25</v>
      </c>
      <c r="L401" s="6" cm="1">
        <f t="array" ref="L401">_xlfn.SWITCH(Table13_2[[#This Row],[Performance Score]],"A",6,"B",5,"C",4,"D",3,"E",2,"F",1)</f>
        <v>3</v>
      </c>
      <c r="M401" s="5">
        <f t="shared" si="6"/>
        <v>65000</v>
      </c>
    </row>
    <row r="402" spans="1:13" x14ac:dyDescent="0.3">
      <c r="A402" t="s">
        <v>56</v>
      </c>
      <c r="B402" t="s">
        <v>51</v>
      </c>
      <c r="C402">
        <v>60000</v>
      </c>
      <c r="D402" t="s">
        <v>19</v>
      </c>
      <c r="E402" t="s">
        <v>13</v>
      </c>
      <c r="F402" t="s">
        <v>37</v>
      </c>
      <c r="G402" s="2" t="s">
        <v>55</v>
      </c>
      <c r="H402" t="s">
        <v>31</v>
      </c>
      <c r="I402" t="s">
        <v>16</v>
      </c>
      <c r="J402" t="s">
        <v>28</v>
      </c>
      <c r="K402" s="5" t="s">
        <v>29</v>
      </c>
      <c r="L402" s="6" cm="1">
        <f t="array" ref="L402">_xlfn.SWITCH(Table13_2[[#This Row],[Performance Score]],"A",6,"B",5,"C",4,"D",3,"E",2,"F",1)</f>
        <v>6</v>
      </c>
      <c r="M402" s="5">
        <f t="shared" si="6"/>
        <v>60000</v>
      </c>
    </row>
    <row r="403" spans="1:13" x14ac:dyDescent="0.3">
      <c r="A403" t="s">
        <v>66</v>
      </c>
      <c r="B403">
        <v>25</v>
      </c>
      <c r="C403">
        <v>60000</v>
      </c>
      <c r="D403" t="s">
        <v>34</v>
      </c>
      <c r="E403" t="s">
        <v>26</v>
      </c>
      <c r="F403" t="s">
        <v>14</v>
      </c>
      <c r="G403" s="2">
        <v>43881</v>
      </c>
      <c r="H403" t="s">
        <v>22</v>
      </c>
      <c r="I403" t="s">
        <v>16</v>
      </c>
      <c r="J403" t="s">
        <v>17</v>
      </c>
      <c r="K403" s="5" t="s">
        <v>45</v>
      </c>
      <c r="L403" s="6" cm="1">
        <f t="array" ref="L403">_xlfn.SWITCH(Table13_2[[#This Row],[Performance Score]],"A",6,"B",5,"C",4,"D",3,"E",2,"F",1)</f>
        <v>1</v>
      </c>
      <c r="M403" s="5">
        <f t="shared" si="6"/>
        <v>60000</v>
      </c>
    </row>
    <row r="404" spans="1:13" x14ac:dyDescent="0.3">
      <c r="A404" t="s">
        <v>49</v>
      </c>
      <c r="B404" t="s">
        <v>63</v>
      </c>
      <c r="C404">
        <v>70000</v>
      </c>
      <c r="D404" t="s">
        <v>34</v>
      </c>
      <c r="E404" t="s">
        <v>35</v>
      </c>
      <c r="F404" t="s">
        <v>40</v>
      </c>
      <c r="G404" s="2" t="s">
        <v>55</v>
      </c>
      <c r="H404" t="s">
        <v>22</v>
      </c>
      <c r="I404" t="s">
        <v>39</v>
      </c>
      <c r="J404" t="s">
        <v>17</v>
      </c>
      <c r="K404" s="5" t="s">
        <v>11</v>
      </c>
      <c r="L404" s="6" cm="1">
        <f t="array" ref="L404">_xlfn.SWITCH(Table13_2[[#This Row],[Performance Score]],"A",6,"B",5,"C",4,"D",3,"E",2,"F",1)</f>
        <v>1</v>
      </c>
      <c r="M404" s="5">
        <f t="shared" si="6"/>
        <v>70000</v>
      </c>
    </row>
    <row r="405" spans="1:13" x14ac:dyDescent="0.3">
      <c r="A405" t="s">
        <v>56</v>
      </c>
      <c r="B405">
        <v>50</v>
      </c>
      <c r="C405">
        <v>60000</v>
      </c>
      <c r="D405" t="s">
        <v>34</v>
      </c>
      <c r="E405" t="s">
        <v>13</v>
      </c>
      <c r="F405" t="s">
        <v>40</v>
      </c>
      <c r="G405" s="2" t="s">
        <v>55</v>
      </c>
      <c r="H405" t="s">
        <v>31</v>
      </c>
      <c r="I405" t="s">
        <v>39</v>
      </c>
      <c r="J405" t="s">
        <v>17</v>
      </c>
      <c r="K405" s="5" t="s">
        <v>29</v>
      </c>
      <c r="L405" s="6" cm="1">
        <f t="array" ref="L405">_xlfn.SWITCH(Table13_2[[#This Row],[Performance Score]],"A",6,"B",5,"C",4,"D",3,"E",2,"F",1)</f>
        <v>6</v>
      </c>
      <c r="M405" s="5">
        <f t="shared" si="6"/>
        <v>60000</v>
      </c>
    </row>
    <row r="406" spans="1:13" x14ac:dyDescent="0.3">
      <c r="A406" t="s">
        <v>64</v>
      </c>
      <c r="B406">
        <v>25</v>
      </c>
      <c r="C406">
        <v>55000</v>
      </c>
      <c r="D406" t="s">
        <v>12</v>
      </c>
      <c r="E406" t="s">
        <v>13</v>
      </c>
      <c r="F406" t="s">
        <v>14</v>
      </c>
      <c r="G406" s="2" t="s">
        <v>55</v>
      </c>
      <c r="H406" t="s">
        <v>15</v>
      </c>
      <c r="I406" t="s">
        <v>16</v>
      </c>
      <c r="J406" t="s">
        <v>42</v>
      </c>
      <c r="K406" s="5" t="s">
        <v>43</v>
      </c>
      <c r="L406" s="6" cm="1">
        <f t="array" ref="L406">_xlfn.SWITCH(Table13_2[[#This Row],[Performance Score]],"A",6,"B",5,"C",4,"D",3,"E",2,"F",1)</f>
        <v>3</v>
      </c>
      <c r="M406" s="5">
        <f t="shared" si="6"/>
        <v>55000</v>
      </c>
    </row>
    <row r="407" spans="1:13" x14ac:dyDescent="0.3">
      <c r="A407" t="s">
        <v>49</v>
      </c>
      <c r="B407" t="s">
        <v>51</v>
      </c>
      <c r="C407">
        <v>55000</v>
      </c>
      <c r="D407" t="s">
        <v>34</v>
      </c>
      <c r="E407" t="s">
        <v>35</v>
      </c>
      <c r="F407" t="s">
        <v>41</v>
      </c>
      <c r="G407" s="2" t="s">
        <v>50</v>
      </c>
      <c r="H407" t="s">
        <v>31</v>
      </c>
      <c r="I407" t="s">
        <v>16</v>
      </c>
      <c r="J407" t="s">
        <v>28</v>
      </c>
      <c r="K407" s="5" t="s">
        <v>11</v>
      </c>
      <c r="L407" s="6" cm="1">
        <f t="array" ref="L407">_xlfn.SWITCH(Table13_2[[#This Row],[Performance Score]],"A",6,"B",5,"C",4,"D",3,"E",2,"F",1)</f>
        <v>6</v>
      </c>
      <c r="M407" s="5">
        <f t="shared" si="6"/>
        <v>55000</v>
      </c>
    </row>
    <row r="408" spans="1:13" x14ac:dyDescent="0.3">
      <c r="A408" t="s">
        <v>61</v>
      </c>
      <c r="B408">
        <v>40</v>
      </c>
      <c r="C408">
        <v>50000</v>
      </c>
      <c r="D408" t="s">
        <v>34</v>
      </c>
      <c r="E408" t="s">
        <v>20</v>
      </c>
      <c r="F408" t="s">
        <v>14</v>
      </c>
      <c r="G408" s="2" t="s">
        <v>50</v>
      </c>
      <c r="H408" t="s">
        <v>38</v>
      </c>
      <c r="I408" t="s">
        <v>39</v>
      </c>
      <c r="J408" t="s">
        <v>42</v>
      </c>
      <c r="K408" s="5" t="s">
        <v>36</v>
      </c>
      <c r="L408" s="6" cm="1">
        <f t="array" ref="L408">_xlfn.SWITCH(Table13_2[[#This Row],[Performance Score]],"A",6,"B",5,"C",4,"D",3,"E",2,"F",1)</f>
        <v>5</v>
      </c>
      <c r="M408" s="5">
        <f t="shared" si="6"/>
        <v>50000</v>
      </c>
    </row>
    <row r="409" spans="1:13" x14ac:dyDescent="0.3">
      <c r="A409" t="s">
        <v>59</v>
      </c>
      <c r="B409">
        <v>25</v>
      </c>
      <c r="C409">
        <v>55000</v>
      </c>
      <c r="D409" t="s">
        <v>34</v>
      </c>
      <c r="E409" t="s">
        <v>13</v>
      </c>
      <c r="F409" t="s">
        <v>37</v>
      </c>
      <c r="G409" s="2" t="s">
        <v>62</v>
      </c>
      <c r="H409" t="s">
        <v>22</v>
      </c>
      <c r="I409" t="s">
        <v>16</v>
      </c>
      <c r="J409" t="s">
        <v>17</v>
      </c>
      <c r="K409" s="5" t="s">
        <v>33</v>
      </c>
      <c r="L409" s="6" cm="1">
        <f t="array" ref="L409">_xlfn.SWITCH(Table13_2[[#This Row],[Performance Score]],"A",6,"B",5,"C",4,"D",3,"E",2,"F",1)</f>
        <v>1</v>
      </c>
      <c r="M409" s="5">
        <f t="shared" si="6"/>
        <v>55000</v>
      </c>
    </row>
    <row r="410" spans="1:13" x14ac:dyDescent="0.3">
      <c r="A410" t="s">
        <v>61</v>
      </c>
      <c r="B410">
        <v>50</v>
      </c>
      <c r="C410">
        <v>0</v>
      </c>
      <c r="D410" t="s">
        <v>19</v>
      </c>
      <c r="E410" t="s">
        <v>30</v>
      </c>
      <c r="F410" t="s">
        <v>14</v>
      </c>
      <c r="G410" s="2">
        <v>43881</v>
      </c>
      <c r="H410" t="s">
        <v>38</v>
      </c>
      <c r="I410" t="s">
        <v>39</v>
      </c>
      <c r="J410" t="s">
        <v>17</v>
      </c>
      <c r="K410" s="5" t="s">
        <v>36</v>
      </c>
      <c r="L410" s="6" cm="1">
        <f t="array" ref="L410">_xlfn.SWITCH(Table13_2[[#This Row],[Performance Score]],"A",6,"B",5,"C",4,"D",3,"E",2,"F",1)</f>
        <v>5</v>
      </c>
      <c r="M410" s="5">
        <f t="shared" si="6"/>
        <v>50777.202072538857</v>
      </c>
    </row>
    <row r="411" spans="1:13" x14ac:dyDescent="0.3">
      <c r="A411" t="s">
        <v>56</v>
      </c>
      <c r="B411">
        <v>25</v>
      </c>
      <c r="C411">
        <v>60000</v>
      </c>
      <c r="D411" t="s">
        <v>34</v>
      </c>
      <c r="E411" t="s">
        <v>35</v>
      </c>
      <c r="F411" t="s">
        <v>14</v>
      </c>
      <c r="G411" s="2" t="s">
        <v>60</v>
      </c>
      <c r="H411" t="s">
        <v>22</v>
      </c>
      <c r="I411" t="s">
        <v>39</v>
      </c>
      <c r="J411" t="s">
        <v>17</v>
      </c>
      <c r="K411" s="5" t="s">
        <v>29</v>
      </c>
      <c r="L411" s="6" cm="1">
        <f t="array" ref="L411">_xlfn.SWITCH(Table13_2[[#This Row],[Performance Score]],"A",6,"B",5,"C",4,"D",3,"E",2,"F",1)</f>
        <v>1</v>
      </c>
      <c r="M411" s="5">
        <f t="shared" si="6"/>
        <v>60000</v>
      </c>
    </row>
    <row r="412" spans="1:13" x14ac:dyDescent="0.3">
      <c r="A412" t="s">
        <v>64</v>
      </c>
      <c r="B412">
        <v>35</v>
      </c>
      <c r="C412">
        <v>55000</v>
      </c>
      <c r="D412" t="s">
        <v>12</v>
      </c>
      <c r="E412" t="s">
        <v>13</v>
      </c>
      <c r="F412" t="s">
        <v>41</v>
      </c>
      <c r="G412" s="2" t="s">
        <v>60</v>
      </c>
      <c r="H412" t="s">
        <v>22</v>
      </c>
      <c r="I412" t="s">
        <v>39</v>
      </c>
      <c r="J412" t="s">
        <v>17</v>
      </c>
      <c r="K412" s="5" t="s">
        <v>43</v>
      </c>
      <c r="L412" s="6" cm="1">
        <f t="array" ref="L412">_xlfn.SWITCH(Table13_2[[#This Row],[Performance Score]],"A",6,"B",5,"C",4,"D",3,"E",2,"F",1)</f>
        <v>1</v>
      </c>
      <c r="M412" s="5">
        <f t="shared" si="6"/>
        <v>55000</v>
      </c>
    </row>
    <row r="413" spans="1:13" x14ac:dyDescent="0.3">
      <c r="A413" t="s">
        <v>67</v>
      </c>
      <c r="B413">
        <v>40</v>
      </c>
      <c r="C413">
        <v>70000</v>
      </c>
      <c r="D413" t="s">
        <v>19</v>
      </c>
      <c r="E413" t="s">
        <v>26</v>
      </c>
      <c r="F413" t="s">
        <v>37</v>
      </c>
      <c r="G413" s="2" t="s">
        <v>60</v>
      </c>
      <c r="H413" t="s">
        <v>27</v>
      </c>
      <c r="I413" t="s">
        <v>23</v>
      </c>
      <c r="J413" t="s">
        <v>17</v>
      </c>
      <c r="K413" s="5" t="s">
        <v>46</v>
      </c>
      <c r="L413" s="6" cm="1">
        <f t="array" ref="L413">_xlfn.SWITCH(Table13_2[[#This Row],[Performance Score]],"A",6,"B",5,"C",4,"D",3,"E",2,"F",1)</f>
        <v>4</v>
      </c>
      <c r="M413" s="5">
        <f t="shared" si="6"/>
        <v>70000</v>
      </c>
    </row>
    <row r="414" spans="1:13" x14ac:dyDescent="0.3">
      <c r="A414" t="s">
        <v>56</v>
      </c>
      <c r="B414">
        <v>50</v>
      </c>
      <c r="C414">
        <v>50000</v>
      </c>
      <c r="D414" t="s">
        <v>12</v>
      </c>
      <c r="E414" t="s">
        <v>30</v>
      </c>
      <c r="F414" t="s">
        <v>21</v>
      </c>
      <c r="G414" s="2" t="s">
        <v>55</v>
      </c>
      <c r="H414" t="s">
        <v>38</v>
      </c>
      <c r="I414" t="s">
        <v>39</v>
      </c>
      <c r="J414" t="s">
        <v>24</v>
      </c>
      <c r="K414" s="5" t="s">
        <v>29</v>
      </c>
      <c r="L414" s="6" cm="1">
        <f t="array" ref="L414">_xlfn.SWITCH(Table13_2[[#This Row],[Performance Score]],"A",6,"B",5,"C",4,"D",3,"E",2,"F",1)</f>
        <v>5</v>
      </c>
      <c r="M414" s="5">
        <f t="shared" si="6"/>
        <v>50000</v>
      </c>
    </row>
    <row r="415" spans="1:13" x14ac:dyDescent="0.3">
      <c r="A415" t="s">
        <v>66</v>
      </c>
      <c r="B415">
        <v>50</v>
      </c>
      <c r="C415">
        <v>60000</v>
      </c>
      <c r="D415" t="s">
        <v>34</v>
      </c>
      <c r="E415" t="s">
        <v>13</v>
      </c>
      <c r="F415" t="s">
        <v>21</v>
      </c>
      <c r="G415" s="2" t="s">
        <v>50</v>
      </c>
      <c r="H415" t="s">
        <v>38</v>
      </c>
      <c r="I415" t="s">
        <v>39</v>
      </c>
      <c r="J415" t="s">
        <v>28</v>
      </c>
      <c r="K415" s="5" t="s">
        <v>45</v>
      </c>
      <c r="L415" s="6" cm="1">
        <f t="array" ref="L415">_xlfn.SWITCH(Table13_2[[#This Row],[Performance Score]],"A",6,"B",5,"C",4,"D",3,"E",2,"F",1)</f>
        <v>5</v>
      </c>
      <c r="M415" s="5">
        <f t="shared" si="6"/>
        <v>60000</v>
      </c>
    </row>
    <row r="416" spans="1:13" x14ac:dyDescent="0.3">
      <c r="A416" t="s">
        <v>52</v>
      </c>
      <c r="B416" t="s">
        <v>63</v>
      </c>
      <c r="C416">
        <v>50000</v>
      </c>
      <c r="D416" t="s">
        <v>19</v>
      </c>
      <c r="E416" t="s">
        <v>30</v>
      </c>
      <c r="F416" t="s">
        <v>40</v>
      </c>
      <c r="G416" s="2">
        <v>43881</v>
      </c>
      <c r="H416" t="s">
        <v>27</v>
      </c>
      <c r="I416" t="s">
        <v>23</v>
      </c>
      <c r="J416" t="s">
        <v>17</v>
      </c>
      <c r="K416" s="5" t="s">
        <v>18</v>
      </c>
      <c r="L416" s="6" cm="1">
        <f t="array" ref="L416">_xlfn.SWITCH(Table13_2[[#This Row],[Performance Score]],"A",6,"B",5,"C",4,"D",3,"E",2,"F",1)</f>
        <v>4</v>
      </c>
      <c r="M416" s="5">
        <f t="shared" si="6"/>
        <v>50000</v>
      </c>
    </row>
    <row r="417" spans="1:13" x14ac:dyDescent="0.3">
      <c r="A417" t="s">
        <v>56</v>
      </c>
      <c r="B417" t="s">
        <v>51</v>
      </c>
      <c r="C417">
        <v>60000</v>
      </c>
      <c r="D417" t="s">
        <v>12</v>
      </c>
      <c r="E417" t="s">
        <v>30</v>
      </c>
      <c r="F417" t="s">
        <v>14</v>
      </c>
      <c r="G417" s="2" t="s">
        <v>55</v>
      </c>
      <c r="H417" t="s">
        <v>15</v>
      </c>
      <c r="I417" t="s">
        <v>32</v>
      </c>
      <c r="J417" t="s">
        <v>17</v>
      </c>
      <c r="K417" s="5" t="s">
        <v>29</v>
      </c>
      <c r="L417" s="6" cm="1">
        <f t="array" ref="L417">_xlfn.SWITCH(Table13_2[[#This Row],[Performance Score]],"A",6,"B",5,"C",4,"D",3,"E",2,"F",1)</f>
        <v>3</v>
      </c>
      <c r="M417" s="5">
        <f t="shared" si="6"/>
        <v>60000</v>
      </c>
    </row>
    <row r="418" spans="1:13" x14ac:dyDescent="0.3">
      <c r="A418" t="s">
        <v>59</v>
      </c>
      <c r="B418" t="s">
        <v>63</v>
      </c>
      <c r="C418">
        <v>70000</v>
      </c>
      <c r="D418" t="s">
        <v>34</v>
      </c>
      <c r="E418" t="s">
        <v>20</v>
      </c>
      <c r="F418" t="s">
        <v>40</v>
      </c>
      <c r="G418" s="2" t="s">
        <v>50</v>
      </c>
      <c r="H418" t="s">
        <v>38</v>
      </c>
      <c r="I418" t="s">
        <v>16</v>
      </c>
      <c r="J418" t="s">
        <v>17</v>
      </c>
      <c r="K418" s="5" t="s">
        <v>33</v>
      </c>
      <c r="L418" s="6" cm="1">
        <f t="array" ref="L418">_xlfn.SWITCH(Table13_2[[#This Row],[Performance Score]],"A",6,"B",5,"C",4,"D",3,"E",2,"F",1)</f>
        <v>5</v>
      </c>
      <c r="M418" s="5">
        <f t="shared" si="6"/>
        <v>70000</v>
      </c>
    </row>
    <row r="419" spans="1:13" x14ac:dyDescent="0.3">
      <c r="A419" t="s">
        <v>59</v>
      </c>
      <c r="B419">
        <v>50</v>
      </c>
      <c r="C419">
        <v>50000</v>
      </c>
      <c r="D419" t="s">
        <v>12</v>
      </c>
      <c r="E419" t="s">
        <v>30</v>
      </c>
      <c r="F419" t="s">
        <v>41</v>
      </c>
      <c r="G419" s="2" t="s">
        <v>50</v>
      </c>
      <c r="H419" t="s">
        <v>31</v>
      </c>
      <c r="I419" t="s">
        <v>39</v>
      </c>
      <c r="J419" t="s">
        <v>17</v>
      </c>
      <c r="K419" s="5" t="s">
        <v>33</v>
      </c>
      <c r="L419" s="6" cm="1">
        <f t="array" ref="L419">_xlfn.SWITCH(Table13_2[[#This Row],[Performance Score]],"A",6,"B",5,"C",4,"D",3,"E",2,"F",1)</f>
        <v>6</v>
      </c>
      <c r="M419" s="5">
        <f t="shared" si="6"/>
        <v>50000</v>
      </c>
    </row>
    <row r="420" spans="1:13" x14ac:dyDescent="0.3">
      <c r="A420" t="s">
        <v>56</v>
      </c>
      <c r="B420">
        <v>40</v>
      </c>
      <c r="C420">
        <v>65000</v>
      </c>
      <c r="D420" t="s">
        <v>12</v>
      </c>
      <c r="E420" t="s">
        <v>20</v>
      </c>
      <c r="F420" t="s">
        <v>21</v>
      </c>
      <c r="G420" s="2">
        <v>43881</v>
      </c>
      <c r="H420" t="s">
        <v>27</v>
      </c>
      <c r="I420" t="s">
        <v>16</v>
      </c>
      <c r="J420" t="s">
        <v>17</v>
      </c>
      <c r="K420" s="5" t="s">
        <v>29</v>
      </c>
      <c r="L420" s="6" cm="1">
        <f t="array" ref="L420">_xlfn.SWITCH(Table13_2[[#This Row],[Performance Score]],"A",6,"B",5,"C",4,"D",3,"E",2,"F",1)</f>
        <v>4</v>
      </c>
      <c r="M420" s="5">
        <f t="shared" si="6"/>
        <v>65000</v>
      </c>
    </row>
    <row r="421" spans="1:13" x14ac:dyDescent="0.3">
      <c r="A421" t="s">
        <v>49</v>
      </c>
      <c r="B421">
        <v>25</v>
      </c>
      <c r="C421">
        <v>0</v>
      </c>
      <c r="D421" t="s">
        <v>12</v>
      </c>
      <c r="E421" t="s">
        <v>35</v>
      </c>
      <c r="F421" t="s">
        <v>14</v>
      </c>
      <c r="G421" s="2">
        <v>43881</v>
      </c>
      <c r="H421" t="s">
        <v>38</v>
      </c>
      <c r="I421" t="s">
        <v>39</v>
      </c>
      <c r="J421" t="s">
        <v>42</v>
      </c>
      <c r="K421" s="5" t="s">
        <v>11</v>
      </c>
      <c r="L421" s="6" cm="1">
        <f t="array" ref="L421">_xlfn.SWITCH(Table13_2[[#This Row],[Performance Score]],"A",6,"B",5,"C",4,"D",3,"E",2,"F",1)</f>
        <v>5</v>
      </c>
      <c r="M421" s="5">
        <f t="shared" si="6"/>
        <v>49144.385026737968</v>
      </c>
    </row>
    <row r="422" spans="1:13" x14ac:dyDescent="0.3">
      <c r="A422" t="s">
        <v>52</v>
      </c>
      <c r="B422">
        <v>25</v>
      </c>
      <c r="C422">
        <v>0</v>
      </c>
      <c r="D422" t="s">
        <v>34</v>
      </c>
      <c r="E422" t="s">
        <v>20</v>
      </c>
      <c r="F422" t="s">
        <v>41</v>
      </c>
      <c r="G422" s="2">
        <v>43881</v>
      </c>
      <c r="H422" t="s">
        <v>15</v>
      </c>
      <c r="I422" t="s">
        <v>16</v>
      </c>
      <c r="J422" t="s">
        <v>28</v>
      </c>
      <c r="K422" s="5" t="s">
        <v>18</v>
      </c>
      <c r="L422" s="6" cm="1">
        <f t="array" ref="L422">_xlfn.SWITCH(Table13_2[[#This Row],[Performance Score]],"A",6,"B",5,"C",4,"D",3,"E",2,"F",1)</f>
        <v>3</v>
      </c>
      <c r="M422" s="5">
        <f t="shared" si="6"/>
        <v>48417.431192660551</v>
      </c>
    </row>
    <row r="423" spans="1:13" x14ac:dyDescent="0.3">
      <c r="A423" t="s">
        <v>66</v>
      </c>
      <c r="B423">
        <v>40</v>
      </c>
      <c r="C423">
        <v>60000</v>
      </c>
      <c r="D423" t="s">
        <v>34</v>
      </c>
      <c r="E423" t="s">
        <v>26</v>
      </c>
      <c r="F423" t="s">
        <v>41</v>
      </c>
      <c r="G423" s="2" t="s">
        <v>55</v>
      </c>
      <c r="H423" t="s">
        <v>38</v>
      </c>
      <c r="I423" t="s">
        <v>23</v>
      </c>
      <c r="J423" t="s">
        <v>28</v>
      </c>
      <c r="K423" s="5" t="s">
        <v>45</v>
      </c>
      <c r="L423" s="6" cm="1">
        <f t="array" ref="L423">_xlfn.SWITCH(Table13_2[[#This Row],[Performance Score]],"A",6,"B",5,"C",4,"D",3,"E",2,"F",1)</f>
        <v>5</v>
      </c>
      <c r="M423" s="5">
        <f t="shared" si="6"/>
        <v>60000</v>
      </c>
    </row>
    <row r="424" spans="1:13" x14ac:dyDescent="0.3">
      <c r="A424" t="s">
        <v>56</v>
      </c>
      <c r="B424">
        <v>50</v>
      </c>
      <c r="C424">
        <v>65000</v>
      </c>
      <c r="D424" t="s">
        <v>12</v>
      </c>
      <c r="E424" t="s">
        <v>13</v>
      </c>
      <c r="F424" t="s">
        <v>14</v>
      </c>
      <c r="G424" s="2" t="s">
        <v>62</v>
      </c>
      <c r="H424" t="s">
        <v>22</v>
      </c>
      <c r="I424" t="s">
        <v>16</v>
      </c>
      <c r="J424" t="s">
        <v>24</v>
      </c>
      <c r="K424" s="5" t="s">
        <v>29</v>
      </c>
      <c r="L424" s="6" cm="1">
        <f t="array" ref="L424">_xlfn.SWITCH(Table13_2[[#This Row],[Performance Score]],"A",6,"B",5,"C",4,"D",3,"E",2,"F",1)</f>
        <v>1</v>
      </c>
      <c r="M424" s="5">
        <f t="shared" si="6"/>
        <v>65000</v>
      </c>
    </row>
    <row r="425" spans="1:13" x14ac:dyDescent="0.3">
      <c r="A425" t="s">
        <v>49</v>
      </c>
      <c r="B425">
        <v>25</v>
      </c>
      <c r="C425">
        <v>50000</v>
      </c>
      <c r="D425" t="s">
        <v>19</v>
      </c>
      <c r="E425" t="s">
        <v>35</v>
      </c>
      <c r="F425" t="s">
        <v>41</v>
      </c>
      <c r="G425" s="2">
        <v>43881</v>
      </c>
      <c r="H425" t="s">
        <v>31</v>
      </c>
      <c r="I425" t="s">
        <v>16</v>
      </c>
      <c r="J425" t="s">
        <v>24</v>
      </c>
      <c r="K425" s="5" t="s">
        <v>11</v>
      </c>
      <c r="L425" s="6" cm="1">
        <f t="array" ref="L425">_xlfn.SWITCH(Table13_2[[#This Row],[Performance Score]],"A",6,"B",5,"C",4,"D",3,"E",2,"F",1)</f>
        <v>6</v>
      </c>
      <c r="M425" s="5">
        <f t="shared" si="6"/>
        <v>50000</v>
      </c>
    </row>
    <row r="426" spans="1:13" x14ac:dyDescent="0.3">
      <c r="A426" t="s">
        <v>59</v>
      </c>
      <c r="B426">
        <v>25</v>
      </c>
      <c r="C426">
        <v>65000</v>
      </c>
      <c r="D426" t="s">
        <v>19</v>
      </c>
      <c r="E426" t="s">
        <v>35</v>
      </c>
      <c r="F426" t="s">
        <v>14</v>
      </c>
      <c r="G426" s="2" t="s">
        <v>62</v>
      </c>
      <c r="H426" t="s">
        <v>27</v>
      </c>
      <c r="I426" t="s">
        <v>16</v>
      </c>
      <c r="J426" t="s">
        <v>24</v>
      </c>
      <c r="K426" s="5" t="s">
        <v>33</v>
      </c>
      <c r="L426" s="6" cm="1">
        <f t="array" ref="L426">_xlfn.SWITCH(Table13_2[[#This Row],[Performance Score]],"A",6,"B",5,"C",4,"D",3,"E",2,"F",1)</f>
        <v>4</v>
      </c>
      <c r="M426" s="5">
        <f t="shared" si="6"/>
        <v>65000</v>
      </c>
    </row>
    <row r="427" spans="1:13" x14ac:dyDescent="0.3">
      <c r="A427" t="s">
        <v>59</v>
      </c>
      <c r="B427">
        <v>25</v>
      </c>
      <c r="C427">
        <v>65000</v>
      </c>
      <c r="D427" t="s">
        <v>34</v>
      </c>
      <c r="E427" t="s">
        <v>26</v>
      </c>
      <c r="F427" t="s">
        <v>14</v>
      </c>
      <c r="G427" s="2" t="s">
        <v>55</v>
      </c>
      <c r="H427" t="s">
        <v>22</v>
      </c>
      <c r="I427" t="s">
        <v>32</v>
      </c>
      <c r="J427" t="s">
        <v>28</v>
      </c>
      <c r="K427" s="5" t="s">
        <v>33</v>
      </c>
      <c r="L427" s="6" cm="1">
        <f t="array" ref="L427">_xlfn.SWITCH(Table13_2[[#This Row],[Performance Score]],"A",6,"B",5,"C",4,"D",3,"E",2,"F",1)</f>
        <v>1</v>
      </c>
      <c r="M427" s="5">
        <f t="shared" si="6"/>
        <v>65000</v>
      </c>
    </row>
    <row r="428" spans="1:13" x14ac:dyDescent="0.3">
      <c r="A428" t="s">
        <v>64</v>
      </c>
      <c r="B428" t="s">
        <v>51</v>
      </c>
      <c r="C428">
        <v>50000</v>
      </c>
      <c r="D428" t="s">
        <v>34</v>
      </c>
      <c r="E428" t="s">
        <v>20</v>
      </c>
      <c r="F428" t="s">
        <v>37</v>
      </c>
      <c r="G428" s="2" t="s">
        <v>62</v>
      </c>
      <c r="H428" t="s">
        <v>15</v>
      </c>
      <c r="I428" t="s">
        <v>32</v>
      </c>
      <c r="J428" t="s">
        <v>42</v>
      </c>
      <c r="K428" s="5" t="s">
        <v>43</v>
      </c>
      <c r="L428" s="6" cm="1">
        <f t="array" ref="L428">_xlfn.SWITCH(Table13_2[[#This Row],[Performance Score]],"A",6,"B",5,"C",4,"D",3,"E",2,"F",1)</f>
        <v>3</v>
      </c>
      <c r="M428" s="5">
        <f t="shared" si="6"/>
        <v>50000</v>
      </c>
    </row>
    <row r="429" spans="1:13" x14ac:dyDescent="0.3">
      <c r="A429" t="s">
        <v>56</v>
      </c>
      <c r="B429" t="s">
        <v>51</v>
      </c>
      <c r="C429">
        <v>70000</v>
      </c>
      <c r="D429" t="s">
        <v>34</v>
      </c>
      <c r="E429" t="s">
        <v>13</v>
      </c>
      <c r="F429" t="s">
        <v>40</v>
      </c>
      <c r="G429" s="2" t="s">
        <v>60</v>
      </c>
      <c r="H429" t="s">
        <v>22</v>
      </c>
      <c r="I429" t="s">
        <v>39</v>
      </c>
      <c r="J429" t="s">
        <v>28</v>
      </c>
      <c r="K429" s="5" t="s">
        <v>29</v>
      </c>
      <c r="L429" s="6" cm="1">
        <f t="array" ref="L429">_xlfn.SWITCH(Table13_2[[#This Row],[Performance Score]],"A",6,"B",5,"C",4,"D",3,"E",2,"F",1)</f>
        <v>1</v>
      </c>
      <c r="M429" s="5">
        <f t="shared" si="6"/>
        <v>70000</v>
      </c>
    </row>
    <row r="430" spans="1:13" x14ac:dyDescent="0.3">
      <c r="A430" t="s">
        <v>52</v>
      </c>
      <c r="B430">
        <v>35</v>
      </c>
      <c r="C430">
        <v>65000</v>
      </c>
      <c r="D430" t="s">
        <v>34</v>
      </c>
      <c r="E430" t="s">
        <v>20</v>
      </c>
      <c r="F430" t="s">
        <v>41</v>
      </c>
      <c r="G430" s="2" t="s">
        <v>62</v>
      </c>
      <c r="H430" t="s">
        <v>22</v>
      </c>
      <c r="I430" t="s">
        <v>23</v>
      </c>
      <c r="J430" t="s">
        <v>28</v>
      </c>
      <c r="K430" s="5" t="s">
        <v>18</v>
      </c>
      <c r="L430" s="6" cm="1">
        <f t="array" ref="L430">_xlfn.SWITCH(Table13_2[[#This Row],[Performance Score]],"A",6,"B",5,"C",4,"D",3,"E",2,"F",1)</f>
        <v>1</v>
      </c>
      <c r="M430" s="5">
        <f t="shared" si="6"/>
        <v>65000</v>
      </c>
    </row>
    <row r="431" spans="1:13" x14ac:dyDescent="0.3">
      <c r="A431" t="s">
        <v>65</v>
      </c>
      <c r="B431" t="s">
        <v>63</v>
      </c>
      <c r="C431">
        <v>65000</v>
      </c>
      <c r="D431" t="s">
        <v>34</v>
      </c>
      <c r="E431" t="s">
        <v>30</v>
      </c>
      <c r="F431" t="s">
        <v>41</v>
      </c>
      <c r="G431" s="2">
        <v>43881</v>
      </c>
      <c r="H431" t="s">
        <v>15</v>
      </c>
      <c r="I431" t="s">
        <v>16</v>
      </c>
      <c r="J431" t="s">
        <v>28</v>
      </c>
      <c r="K431" s="5" t="s">
        <v>44</v>
      </c>
      <c r="L431" s="6" cm="1">
        <f t="array" ref="L431">_xlfn.SWITCH(Table13_2[[#This Row],[Performance Score]],"A",6,"B",5,"C",4,"D",3,"E",2,"F",1)</f>
        <v>3</v>
      </c>
      <c r="M431" s="5">
        <f t="shared" si="6"/>
        <v>65000</v>
      </c>
    </row>
    <row r="432" spans="1:13" x14ac:dyDescent="0.3">
      <c r="A432" t="s">
        <v>52</v>
      </c>
      <c r="B432">
        <v>40</v>
      </c>
      <c r="C432">
        <v>70000</v>
      </c>
      <c r="D432" t="s">
        <v>19</v>
      </c>
      <c r="E432" t="s">
        <v>20</v>
      </c>
      <c r="F432" t="s">
        <v>37</v>
      </c>
      <c r="G432" s="2" t="s">
        <v>55</v>
      </c>
      <c r="H432" t="s">
        <v>22</v>
      </c>
      <c r="I432" t="s">
        <v>16</v>
      </c>
      <c r="J432" t="s">
        <v>28</v>
      </c>
      <c r="K432" s="5" t="s">
        <v>18</v>
      </c>
      <c r="L432" s="6" cm="1">
        <f t="array" ref="L432">_xlfn.SWITCH(Table13_2[[#This Row],[Performance Score]],"A",6,"B",5,"C",4,"D",3,"E",2,"F",1)</f>
        <v>1</v>
      </c>
      <c r="M432" s="5">
        <f t="shared" si="6"/>
        <v>70000</v>
      </c>
    </row>
    <row r="433" spans="1:13" x14ac:dyDescent="0.3">
      <c r="A433" t="s">
        <v>59</v>
      </c>
      <c r="B433">
        <v>40</v>
      </c>
      <c r="C433">
        <v>65000</v>
      </c>
      <c r="D433" t="s">
        <v>34</v>
      </c>
      <c r="E433" t="s">
        <v>35</v>
      </c>
      <c r="F433" t="s">
        <v>37</v>
      </c>
      <c r="G433" s="2">
        <v>43881</v>
      </c>
      <c r="H433" t="s">
        <v>27</v>
      </c>
      <c r="I433" t="s">
        <v>16</v>
      </c>
      <c r="J433" t="s">
        <v>42</v>
      </c>
      <c r="K433" s="5" t="s">
        <v>33</v>
      </c>
      <c r="L433" s="6" cm="1">
        <f t="array" ref="L433">_xlfn.SWITCH(Table13_2[[#This Row],[Performance Score]],"A",6,"B",5,"C",4,"D",3,"E",2,"F",1)</f>
        <v>4</v>
      </c>
      <c r="M433" s="5">
        <f t="shared" si="6"/>
        <v>65000</v>
      </c>
    </row>
    <row r="434" spans="1:13" x14ac:dyDescent="0.3">
      <c r="A434" t="s">
        <v>59</v>
      </c>
      <c r="B434">
        <v>40</v>
      </c>
      <c r="C434">
        <v>65000</v>
      </c>
      <c r="D434" t="s">
        <v>12</v>
      </c>
      <c r="E434" t="s">
        <v>13</v>
      </c>
      <c r="F434" t="s">
        <v>37</v>
      </c>
      <c r="G434" s="2" t="s">
        <v>60</v>
      </c>
      <c r="H434" t="s">
        <v>38</v>
      </c>
      <c r="I434" t="s">
        <v>16</v>
      </c>
      <c r="J434" t="s">
        <v>24</v>
      </c>
      <c r="K434" s="5" t="s">
        <v>33</v>
      </c>
      <c r="L434" s="6" cm="1">
        <f t="array" ref="L434">_xlfn.SWITCH(Table13_2[[#This Row],[Performance Score]],"A",6,"B",5,"C",4,"D",3,"E",2,"F",1)</f>
        <v>5</v>
      </c>
      <c r="M434" s="5">
        <f t="shared" si="6"/>
        <v>65000</v>
      </c>
    </row>
    <row r="435" spans="1:13" x14ac:dyDescent="0.3">
      <c r="A435" t="s">
        <v>61</v>
      </c>
      <c r="B435">
        <v>35</v>
      </c>
      <c r="C435">
        <v>65000</v>
      </c>
      <c r="D435" t="s">
        <v>12</v>
      </c>
      <c r="E435" t="s">
        <v>20</v>
      </c>
      <c r="F435" t="s">
        <v>21</v>
      </c>
      <c r="G435" s="2">
        <v>43881</v>
      </c>
      <c r="H435" t="s">
        <v>22</v>
      </c>
      <c r="I435" t="s">
        <v>32</v>
      </c>
      <c r="J435" t="s">
        <v>17</v>
      </c>
      <c r="K435" s="5" t="s">
        <v>36</v>
      </c>
      <c r="L435" s="6" cm="1">
        <f t="array" ref="L435">_xlfn.SWITCH(Table13_2[[#This Row],[Performance Score]],"A",6,"B",5,"C",4,"D",3,"E",2,"F",1)</f>
        <v>1</v>
      </c>
      <c r="M435" s="5">
        <f t="shared" si="6"/>
        <v>65000</v>
      </c>
    </row>
    <row r="436" spans="1:13" x14ac:dyDescent="0.3">
      <c r="A436" t="s">
        <v>59</v>
      </c>
      <c r="B436" t="s">
        <v>51</v>
      </c>
      <c r="C436">
        <v>0</v>
      </c>
      <c r="D436" t="s">
        <v>19</v>
      </c>
      <c r="E436" t="s">
        <v>13</v>
      </c>
      <c r="F436" t="s">
        <v>21</v>
      </c>
      <c r="G436" s="2">
        <v>43881</v>
      </c>
      <c r="H436" t="s">
        <v>27</v>
      </c>
      <c r="I436" t="s">
        <v>39</v>
      </c>
      <c r="J436" t="s">
        <v>24</v>
      </c>
      <c r="K436" s="5" t="s">
        <v>33</v>
      </c>
      <c r="L436" s="6" cm="1">
        <f t="array" ref="L436">_xlfn.SWITCH(Table13_2[[#This Row],[Performance Score]],"A",6,"B",5,"C",4,"D",3,"E",2,"F",1)</f>
        <v>4</v>
      </c>
      <c r="M436" s="5">
        <f t="shared" si="6"/>
        <v>51825</v>
      </c>
    </row>
    <row r="437" spans="1:13" x14ac:dyDescent="0.3">
      <c r="A437" t="s">
        <v>66</v>
      </c>
      <c r="B437">
        <v>50</v>
      </c>
      <c r="C437">
        <v>55000</v>
      </c>
      <c r="D437" t="s">
        <v>12</v>
      </c>
      <c r="E437" t="s">
        <v>13</v>
      </c>
      <c r="F437" t="s">
        <v>21</v>
      </c>
      <c r="G437" s="2">
        <v>43881</v>
      </c>
      <c r="H437" t="s">
        <v>38</v>
      </c>
      <c r="I437" t="s">
        <v>39</v>
      </c>
      <c r="J437" t="s">
        <v>24</v>
      </c>
      <c r="K437" s="5" t="s">
        <v>45</v>
      </c>
      <c r="L437" s="6" cm="1">
        <f t="array" ref="L437">_xlfn.SWITCH(Table13_2[[#This Row],[Performance Score]],"A",6,"B",5,"C",4,"D",3,"E",2,"F",1)</f>
        <v>5</v>
      </c>
      <c r="M437" s="5">
        <f t="shared" si="6"/>
        <v>55000</v>
      </c>
    </row>
    <row r="438" spans="1:13" x14ac:dyDescent="0.3">
      <c r="A438" t="s">
        <v>53</v>
      </c>
      <c r="B438">
        <v>50</v>
      </c>
      <c r="C438">
        <v>70000</v>
      </c>
      <c r="D438" t="s">
        <v>19</v>
      </c>
      <c r="E438" t="s">
        <v>30</v>
      </c>
      <c r="F438" t="s">
        <v>14</v>
      </c>
      <c r="G438" s="2" t="s">
        <v>50</v>
      </c>
      <c r="H438" t="s">
        <v>38</v>
      </c>
      <c r="I438" t="s">
        <v>23</v>
      </c>
      <c r="J438" t="s">
        <v>17</v>
      </c>
      <c r="K438" s="5" t="s">
        <v>25</v>
      </c>
      <c r="L438" s="6" cm="1">
        <f t="array" ref="L438">_xlfn.SWITCH(Table13_2[[#This Row],[Performance Score]],"A",6,"B",5,"C",4,"D",3,"E",2,"F",1)</f>
        <v>5</v>
      </c>
      <c r="M438" s="5">
        <f t="shared" si="6"/>
        <v>70000</v>
      </c>
    </row>
    <row r="439" spans="1:13" x14ac:dyDescent="0.3">
      <c r="A439" t="s">
        <v>56</v>
      </c>
      <c r="B439">
        <v>35</v>
      </c>
      <c r="C439">
        <v>65000</v>
      </c>
      <c r="D439" t="s">
        <v>19</v>
      </c>
      <c r="E439" t="s">
        <v>30</v>
      </c>
      <c r="F439" t="s">
        <v>41</v>
      </c>
      <c r="G439" s="2" t="s">
        <v>60</v>
      </c>
      <c r="H439" t="s">
        <v>22</v>
      </c>
      <c r="I439" t="s">
        <v>16</v>
      </c>
      <c r="J439" t="s">
        <v>28</v>
      </c>
      <c r="K439" s="5" t="s">
        <v>29</v>
      </c>
      <c r="L439" s="6" cm="1">
        <f t="array" ref="L439">_xlfn.SWITCH(Table13_2[[#This Row],[Performance Score]],"A",6,"B",5,"C",4,"D",3,"E",2,"F",1)</f>
        <v>1</v>
      </c>
      <c r="M439" s="5">
        <f t="shared" si="6"/>
        <v>65000</v>
      </c>
    </row>
    <row r="440" spans="1:13" x14ac:dyDescent="0.3">
      <c r="A440" t="s">
        <v>52</v>
      </c>
      <c r="B440">
        <v>50</v>
      </c>
      <c r="C440">
        <v>0</v>
      </c>
      <c r="D440" t="s">
        <v>12</v>
      </c>
      <c r="E440" t="s">
        <v>35</v>
      </c>
      <c r="F440" t="s">
        <v>40</v>
      </c>
      <c r="G440" s="2">
        <v>43881</v>
      </c>
      <c r="H440" t="s">
        <v>27</v>
      </c>
      <c r="I440" t="s">
        <v>39</v>
      </c>
      <c r="J440" t="s">
        <v>42</v>
      </c>
      <c r="K440" s="5" t="s">
        <v>18</v>
      </c>
      <c r="L440" s="6" cm="1">
        <f t="array" ref="L440">_xlfn.SWITCH(Table13_2[[#This Row],[Performance Score]],"A",6,"B",5,"C",4,"D",3,"E",2,"F",1)</f>
        <v>4</v>
      </c>
      <c r="M440" s="5">
        <f t="shared" si="6"/>
        <v>49144.385026737968</v>
      </c>
    </row>
    <row r="441" spans="1:13" x14ac:dyDescent="0.3">
      <c r="A441" t="s">
        <v>53</v>
      </c>
      <c r="B441">
        <v>40</v>
      </c>
      <c r="C441">
        <v>70000</v>
      </c>
      <c r="D441" t="s">
        <v>34</v>
      </c>
      <c r="E441" t="s">
        <v>26</v>
      </c>
      <c r="F441" t="s">
        <v>14</v>
      </c>
      <c r="G441" s="2">
        <v>43881</v>
      </c>
      <c r="H441" t="s">
        <v>22</v>
      </c>
      <c r="I441" t="s">
        <v>39</v>
      </c>
      <c r="J441" t="s">
        <v>42</v>
      </c>
      <c r="K441" s="5" t="s">
        <v>25</v>
      </c>
      <c r="L441" s="6" cm="1">
        <f t="array" ref="L441">_xlfn.SWITCH(Table13_2[[#This Row],[Performance Score]],"A",6,"B",5,"C",4,"D",3,"E",2,"F",1)</f>
        <v>1</v>
      </c>
      <c r="M441" s="5">
        <f t="shared" si="6"/>
        <v>70000</v>
      </c>
    </row>
    <row r="442" spans="1:13" x14ac:dyDescent="0.3">
      <c r="A442" t="s">
        <v>49</v>
      </c>
      <c r="B442" t="s">
        <v>63</v>
      </c>
      <c r="C442">
        <v>60000</v>
      </c>
      <c r="D442" t="s">
        <v>12</v>
      </c>
      <c r="E442" t="s">
        <v>13</v>
      </c>
      <c r="F442" t="s">
        <v>41</v>
      </c>
      <c r="G442" s="2">
        <v>43881</v>
      </c>
      <c r="H442" t="s">
        <v>15</v>
      </c>
      <c r="I442" t="s">
        <v>39</v>
      </c>
      <c r="J442" t="s">
        <v>24</v>
      </c>
      <c r="K442" s="5" t="s">
        <v>11</v>
      </c>
      <c r="L442" s="6" cm="1">
        <f t="array" ref="L442">_xlfn.SWITCH(Table13_2[[#This Row],[Performance Score]],"A",6,"B",5,"C",4,"D",3,"E",2,"F",1)</f>
        <v>3</v>
      </c>
      <c r="M442" s="5">
        <f t="shared" si="6"/>
        <v>60000</v>
      </c>
    </row>
    <row r="443" spans="1:13" x14ac:dyDescent="0.3">
      <c r="A443" t="s">
        <v>65</v>
      </c>
      <c r="B443">
        <v>25</v>
      </c>
      <c r="C443">
        <v>60000</v>
      </c>
      <c r="D443" t="s">
        <v>12</v>
      </c>
      <c r="E443" t="s">
        <v>26</v>
      </c>
      <c r="F443" t="s">
        <v>41</v>
      </c>
      <c r="G443" s="2" t="s">
        <v>55</v>
      </c>
      <c r="H443" t="s">
        <v>38</v>
      </c>
      <c r="I443" t="s">
        <v>32</v>
      </c>
      <c r="J443" t="s">
        <v>17</v>
      </c>
      <c r="K443" s="5" t="s">
        <v>44</v>
      </c>
      <c r="L443" s="6" cm="1">
        <f t="array" ref="L443">_xlfn.SWITCH(Table13_2[[#This Row],[Performance Score]],"A",6,"B",5,"C",4,"D",3,"E",2,"F",1)</f>
        <v>5</v>
      </c>
      <c r="M443" s="5">
        <f t="shared" si="6"/>
        <v>60000</v>
      </c>
    </row>
    <row r="444" spans="1:13" x14ac:dyDescent="0.3">
      <c r="A444" t="s">
        <v>66</v>
      </c>
      <c r="B444" t="s">
        <v>51</v>
      </c>
      <c r="C444">
        <v>65000</v>
      </c>
      <c r="D444" t="s">
        <v>19</v>
      </c>
      <c r="E444" t="s">
        <v>35</v>
      </c>
      <c r="F444" t="s">
        <v>37</v>
      </c>
      <c r="G444" s="2" t="s">
        <v>50</v>
      </c>
      <c r="H444" t="s">
        <v>22</v>
      </c>
      <c r="I444" t="s">
        <v>39</v>
      </c>
      <c r="J444" t="s">
        <v>17</v>
      </c>
      <c r="K444" s="5" t="s">
        <v>45</v>
      </c>
      <c r="L444" s="6" cm="1">
        <f t="array" ref="L444">_xlfn.SWITCH(Table13_2[[#This Row],[Performance Score]],"A",6,"B",5,"C",4,"D",3,"E",2,"F",1)</f>
        <v>1</v>
      </c>
      <c r="M444" s="5">
        <f t="shared" si="6"/>
        <v>65000</v>
      </c>
    </row>
    <row r="445" spans="1:13" x14ac:dyDescent="0.3">
      <c r="A445" t="s">
        <v>52</v>
      </c>
      <c r="B445" t="s">
        <v>51</v>
      </c>
      <c r="C445">
        <v>0</v>
      </c>
      <c r="D445" t="s">
        <v>12</v>
      </c>
      <c r="E445" t="s">
        <v>13</v>
      </c>
      <c r="F445" t="s">
        <v>37</v>
      </c>
      <c r="G445" s="2" t="s">
        <v>55</v>
      </c>
      <c r="H445" t="s">
        <v>38</v>
      </c>
      <c r="I445" t="s">
        <v>39</v>
      </c>
      <c r="J445" t="s">
        <v>28</v>
      </c>
      <c r="K445" s="5" t="s">
        <v>18</v>
      </c>
      <c r="L445" s="6" cm="1">
        <f t="array" ref="L445">_xlfn.SWITCH(Table13_2[[#This Row],[Performance Score]],"A",6,"B",5,"C",4,"D",3,"E",2,"F",1)</f>
        <v>5</v>
      </c>
      <c r="M445" s="5">
        <f t="shared" si="6"/>
        <v>51825</v>
      </c>
    </row>
    <row r="446" spans="1:13" x14ac:dyDescent="0.3">
      <c r="A446" t="s">
        <v>53</v>
      </c>
      <c r="B446">
        <v>35</v>
      </c>
      <c r="C446">
        <v>0</v>
      </c>
      <c r="D446" t="s">
        <v>19</v>
      </c>
      <c r="E446" t="s">
        <v>13</v>
      </c>
      <c r="F446" t="s">
        <v>14</v>
      </c>
      <c r="G446" s="2" t="s">
        <v>50</v>
      </c>
      <c r="H446" t="s">
        <v>27</v>
      </c>
      <c r="I446" t="s">
        <v>32</v>
      </c>
      <c r="J446" t="s">
        <v>24</v>
      </c>
      <c r="K446" s="5" t="s">
        <v>25</v>
      </c>
      <c r="L446" s="6" cm="1">
        <f t="array" ref="L446">_xlfn.SWITCH(Table13_2[[#This Row],[Performance Score]],"A",6,"B",5,"C",4,"D",3,"E",2,"F",1)</f>
        <v>4</v>
      </c>
      <c r="M446" s="5">
        <f t="shared" si="6"/>
        <v>51825</v>
      </c>
    </row>
    <row r="447" spans="1:13" x14ac:dyDescent="0.3">
      <c r="A447" t="s">
        <v>65</v>
      </c>
      <c r="B447" t="s">
        <v>51</v>
      </c>
      <c r="C447">
        <v>70000</v>
      </c>
      <c r="D447" t="s">
        <v>34</v>
      </c>
      <c r="E447" t="s">
        <v>26</v>
      </c>
      <c r="F447" t="s">
        <v>37</v>
      </c>
      <c r="G447" s="2">
        <v>43881</v>
      </c>
      <c r="H447" t="s">
        <v>31</v>
      </c>
      <c r="I447" t="s">
        <v>39</v>
      </c>
      <c r="J447" t="s">
        <v>42</v>
      </c>
      <c r="K447" s="5" t="s">
        <v>44</v>
      </c>
      <c r="L447" s="6" cm="1">
        <f t="array" ref="L447">_xlfn.SWITCH(Table13_2[[#This Row],[Performance Score]],"A",6,"B",5,"C",4,"D",3,"E",2,"F",1)</f>
        <v>6</v>
      </c>
      <c r="M447" s="5">
        <f t="shared" si="6"/>
        <v>70000</v>
      </c>
    </row>
    <row r="448" spans="1:13" x14ac:dyDescent="0.3">
      <c r="A448" t="s">
        <v>61</v>
      </c>
      <c r="B448">
        <v>40</v>
      </c>
      <c r="C448">
        <v>70000</v>
      </c>
      <c r="D448" t="s">
        <v>34</v>
      </c>
      <c r="E448" t="s">
        <v>20</v>
      </c>
      <c r="F448" t="s">
        <v>41</v>
      </c>
      <c r="G448" s="2" t="s">
        <v>60</v>
      </c>
      <c r="H448" t="s">
        <v>22</v>
      </c>
      <c r="I448" t="s">
        <v>39</v>
      </c>
      <c r="J448" t="s">
        <v>17</v>
      </c>
      <c r="K448" s="5" t="s">
        <v>36</v>
      </c>
      <c r="L448" s="6" cm="1">
        <f t="array" ref="L448">_xlfn.SWITCH(Table13_2[[#This Row],[Performance Score]],"A",6,"B",5,"C",4,"D",3,"E",2,"F",1)</f>
        <v>1</v>
      </c>
      <c r="M448" s="5">
        <f t="shared" si="6"/>
        <v>70000</v>
      </c>
    </row>
    <row r="449" spans="1:13" x14ac:dyDescent="0.3">
      <c r="A449" t="s">
        <v>66</v>
      </c>
      <c r="B449">
        <v>50</v>
      </c>
      <c r="C449">
        <v>0</v>
      </c>
      <c r="D449" t="s">
        <v>34</v>
      </c>
      <c r="E449" t="s">
        <v>30</v>
      </c>
      <c r="F449" t="s">
        <v>37</v>
      </c>
      <c r="G449" s="2" t="s">
        <v>62</v>
      </c>
      <c r="H449" t="s">
        <v>22</v>
      </c>
      <c r="I449" t="s">
        <v>39</v>
      </c>
      <c r="J449" t="s">
        <v>17</v>
      </c>
      <c r="K449" s="5" t="s">
        <v>45</v>
      </c>
      <c r="L449" s="6" cm="1">
        <f t="array" ref="L449">_xlfn.SWITCH(Table13_2[[#This Row],[Performance Score]],"A",6,"B",5,"C",4,"D",3,"E",2,"F",1)</f>
        <v>1</v>
      </c>
      <c r="M449" s="5">
        <f t="shared" si="6"/>
        <v>50777.202072538857</v>
      </c>
    </row>
    <row r="450" spans="1:13" x14ac:dyDescent="0.3">
      <c r="A450" t="s">
        <v>66</v>
      </c>
      <c r="B450">
        <v>40</v>
      </c>
      <c r="C450">
        <v>70000</v>
      </c>
      <c r="D450" t="s">
        <v>12</v>
      </c>
      <c r="E450" t="s">
        <v>20</v>
      </c>
      <c r="F450" t="s">
        <v>21</v>
      </c>
      <c r="G450" s="2" t="s">
        <v>62</v>
      </c>
      <c r="H450" t="s">
        <v>38</v>
      </c>
      <c r="I450" t="s">
        <v>32</v>
      </c>
      <c r="J450" t="s">
        <v>24</v>
      </c>
      <c r="K450" s="5" t="s">
        <v>45</v>
      </c>
      <c r="L450" s="6" cm="1">
        <f t="array" ref="L450">_xlfn.SWITCH(Table13_2[[#This Row],[Performance Score]],"A",6,"B",5,"C",4,"D",3,"E",2,"F",1)</f>
        <v>5</v>
      </c>
      <c r="M450" s="5">
        <f t="shared" si="6"/>
        <v>70000</v>
      </c>
    </row>
    <row r="451" spans="1:13" x14ac:dyDescent="0.3">
      <c r="A451" t="s">
        <v>61</v>
      </c>
      <c r="B451">
        <v>35</v>
      </c>
      <c r="C451">
        <v>0</v>
      </c>
      <c r="D451" t="s">
        <v>19</v>
      </c>
      <c r="E451" t="s">
        <v>26</v>
      </c>
      <c r="F451" t="s">
        <v>37</v>
      </c>
      <c r="G451" s="2">
        <v>43881</v>
      </c>
      <c r="H451" t="s">
        <v>27</v>
      </c>
      <c r="I451" t="s">
        <v>16</v>
      </c>
      <c r="J451" t="s">
        <v>17</v>
      </c>
      <c r="K451" s="5" t="s">
        <v>36</v>
      </c>
      <c r="L451" s="6" cm="1">
        <f t="array" ref="L451">_xlfn.SWITCH(Table13_2[[#This Row],[Performance Score]],"A",6,"B",5,"C",4,"D",3,"E",2,"F",1)</f>
        <v>4</v>
      </c>
      <c r="M451" s="5">
        <f t="shared" ref="M451:M514" si="7">IF(C451=0,AVERAGEIF($E$2:$E$1001,E451,$C$2:$C$1001),C451)</f>
        <v>50742.574257425746</v>
      </c>
    </row>
    <row r="452" spans="1:13" x14ac:dyDescent="0.3">
      <c r="A452" t="s">
        <v>56</v>
      </c>
      <c r="B452">
        <v>40</v>
      </c>
      <c r="C452">
        <v>55000</v>
      </c>
      <c r="D452" t="s">
        <v>34</v>
      </c>
      <c r="E452" t="s">
        <v>30</v>
      </c>
      <c r="F452" t="s">
        <v>41</v>
      </c>
      <c r="G452" s="2" t="s">
        <v>55</v>
      </c>
      <c r="H452" t="s">
        <v>15</v>
      </c>
      <c r="I452" t="s">
        <v>23</v>
      </c>
      <c r="J452" t="s">
        <v>42</v>
      </c>
      <c r="K452" s="5" t="s">
        <v>29</v>
      </c>
      <c r="L452" s="6" cm="1">
        <f t="array" ref="L452">_xlfn.SWITCH(Table13_2[[#This Row],[Performance Score]],"A",6,"B",5,"C",4,"D",3,"E",2,"F",1)</f>
        <v>3</v>
      </c>
      <c r="M452" s="5">
        <f t="shared" si="7"/>
        <v>55000</v>
      </c>
    </row>
    <row r="453" spans="1:13" x14ac:dyDescent="0.3">
      <c r="A453" t="s">
        <v>61</v>
      </c>
      <c r="B453">
        <v>50</v>
      </c>
      <c r="C453">
        <v>0</v>
      </c>
      <c r="D453" t="s">
        <v>19</v>
      </c>
      <c r="E453" t="s">
        <v>20</v>
      </c>
      <c r="F453" t="s">
        <v>14</v>
      </c>
      <c r="G453" s="2" t="s">
        <v>60</v>
      </c>
      <c r="H453" t="s">
        <v>27</v>
      </c>
      <c r="I453" t="s">
        <v>39</v>
      </c>
      <c r="J453" t="s">
        <v>24</v>
      </c>
      <c r="K453" s="5" t="s">
        <v>36</v>
      </c>
      <c r="L453" s="6" cm="1">
        <f t="array" ref="L453">_xlfn.SWITCH(Table13_2[[#This Row],[Performance Score]],"A",6,"B",5,"C",4,"D",3,"E",2,"F",1)</f>
        <v>4</v>
      </c>
      <c r="M453" s="5">
        <f t="shared" si="7"/>
        <v>48417.431192660551</v>
      </c>
    </row>
    <row r="454" spans="1:13" x14ac:dyDescent="0.3">
      <c r="A454" t="s">
        <v>66</v>
      </c>
      <c r="B454" t="s">
        <v>63</v>
      </c>
      <c r="C454">
        <v>60000</v>
      </c>
      <c r="D454" t="s">
        <v>19</v>
      </c>
      <c r="E454" t="s">
        <v>30</v>
      </c>
      <c r="F454" t="s">
        <v>40</v>
      </c>
      <c r="G454" s="2" t="s">
        <v>50</v>
      </c>
      <c r="H454" t="s">
        <v>22</v>
      </c>
      <c r="I454" t="s">
        <v>32</v>
      </c>
      <c r="J454" t="s">
        <v>17</v>
      </c>
      <c r="K454" s="5" t="s">
        <v>45</v>
      </c>
      <c r="L454" s="6" cm="1">
        <f t="array" ref="L454">_xlfn.SWITCH(Table13_2[[#This Row],[Performance Score]],"A",6,"B",5,"C",4,"D",3,"E",2,"F",1)</f>
        <v>1</v>
      </c>
      <c r="M454" s="5">
        <f t="shared" si="7"/>
        <v>60000</v>
      </c>
    </row>
    <row r="455" spans="1:13" x14ac:dyDescent="0.3">
      <c r="A455" t="s">
        <v>66</v>
      </c>
      <c r="B455">
        <v>35</v>
      </c>
      <c r="C455">
        <v>70000</v>
      </c>
      <c r="D455" t="s">
        <v>34</v>
      </c>
      <c r="E455" t="s">
        <v>13</v>
      </c>
      <c r="F455" t="s">
        <v>37</v>
      </c>
      <c r="G455" s="2">
        <v>43881</v>
      </c>
      <c r="H455" t="s">
        <v>15</v>
      </c>
      <c r="I455" t="s">
        <v>39</v>
      </c>
      <c r="J455" t="s">
        <v>17</v>
      </c>
      <c r="K455" s="5" t="s">
        <v>45</v>
      </c>
      <c r="L455" s="6" cm="1">
        <f t="array" ref="L455">_xlfn.SWITCH(Table13_2[[#This Row],[Performance Score]],"A",6,"B",5,"C",4,"D",3,"E",2,"F",1)</f>
        <v>3</v>
      </c>
      <c r="M455" s="5">
        <f t="shared" si="7"/>
        <v>70000</v>
      </c>
    </row>
    <row r="456" spans="1:13" x14ac:dyDescent="0.3">
      <c r="A456" t="s">
        <v>53</v>
      </c>
      <c r="B456" t="s">
        <v>63</v>
      </c>
      <c r="C456">
        <v>0</v>
      </c>
      <c r="D456" t="s">
        <v>34</v>
      </c>
      <c r="E456" t="s">
        <v>20</v>
      </c>
      <c r="F456" t="s">
        <v>41</v>
      </c>
      <c r="G456" s="2" t="s">
        <v>60</v>
      </c>
      <c r="H456" t="s">
        <v>27</v>
      </c>
      <c r="I456" t="s">
        <v>32</v>
      </c>
      <c r="J456" t="s">
        <v>28</v>
      </c>
      <c r="K456" s="5" t="s">
        <v>25</v>
      </c>
      <c r="L456" s="6" cm="1">
        <f t="array" ref="L456">_xlfn.SWITCH(Table13_2[[#This Row],[Performance Score]],"A",6,"B",5,"C",4,"D",3,"E",2,"F",1)</f>
        <v>4</v>
      </c>
      <c r="M456" s="5">
        <f t="shared" si="7"/>
        <v>48417.431192660551</v>
      </c>
    </row>
    <row r="457" spans="1:13" x14ac:dyDescent="0.3">
      <c r="A457" t="s">
        <v>59</v>
      </c>
      <c r="B457">
        <v>25</v>
      </c>
      <c r="C457">
        <v>0</v>
      </c>
      <c r="D457" t="s">
        <v>19</v>
      </c>
      <c r="E457" t="s">
        <v>30</v>
      </c>
      <c r="F457" t="s">
        <v>40</v>
      </c>
      <c r="G457" s="2" t="s">
        <v>60</v>
      </c>
      <c r="H457" t="s">
        <v>31</v>
      </c>
      <c r="I457" t="s">
        <v>23</v>
      </c>
      <c r="J457" t="s">
        <v>42</v>
      </c>
      <c r="K457" s="5" t="s">
        <v>33</v>
      </c>
      <c r="L457" s="6" cm="1">
        <f t="array" ref="L457">_xlfn.SWITCH(Table13_2[[#This Row],[Performance Score]],"A",6,"B",5,"C",4,"D",3,"E",2,"F",1)</f>
        <v>6</v>
      </c>
      <c r="M457" s="5">
        <f t="shared" si="7"/>
        <v>50777.202072538857</v>
      </c>
    </row>
    <row r="458" spans="1:13" x14ac:dyDescent="0.3">
      <c r="A458" t="s">
        <v>65</v>
      </c>
      <c r="B458" t="s">
        <v>63</v>
      </c>
      <c r="C458">
        <v>70000</v>
      </c>
      <c r="D458" t="s">
        <v>34</v>
      </c>
      <c r="E458" t="s">
        <v>30</v>
      </c>
      <c r="F458" t="s">
        <v>40</v>
      </c>
      <c r="G458" s="2" t="s">
        <v>50</v>
      </c>
      <c r="H458" t="s">
        <v>38</v>
      </c>
      <c r="I458" t="s">
        <v>23</v>
      </c>
      <c r="J458" t="s">
        <v>42</v>
      </c>
      <c r="K458" s="5" t="s">
        <v>44</v>
      </c>
      <c r="L458" s="6" cm="1">
        <f t="array" ref="L458">_xlfn.SWITCH(Table13_2[[#This Row],[Performance Score]],"A",6,"B",5,"C",4,"D",3,"E",2,"F",1)</f>
        <v>5</v>
      </c>
      <c r="M458" s="5">
        <f t="shared" si="7"/>
        <v>70000</v>
      </c>
    </row>
    <row r="459" spans="1:13" x14ac:dyDescent="0.3">
      <c r="A459" t="s">
        <v>61</v>
      </c>
      <c r="B459">
        <v>25</v>
      </c>
      <c r="C459">
        <v>55000</v>
      </c>
      <c r="D459" t="s">
        <v>19</v>
      </c>
      <c r="E459" t="s">
        <v>30</v>
      </c>
      <c r="F459" t="s">
        <v>21</v>
      </c>
      <c r="G459" s="2" t="s">
        <v>60</v>
      </c>
      <c r="H459" t="s">
        <v>27</v>
      </c>
      <c r="I459" t="s">
        <v>16</v>
      </c>
      <c r="J459" t="s">
        <v>17</v>
      </c>
      <c r="K459" s="5" t="s">
        <v>36</v>
      </c>
      <c r="L459" s="6" cm="1">
        <f t="array" ref="L459">_xlfn.SWITCH(Table13_2[[#This Row],[Performance Score]],"A",6,"B",5,"C",4,"D",3,"E",2,"F",1)</f>
        <v>4</v>
      </c>
      <c r="M459" s="5">
        <f t="shared" si="7"/>
        <v>55000</v>
      </c>
    </row>
    <row r="460" spans="1:13" x14ac:dyDescent="0.3">
      <c r="A460" t="s">
        <v>65</v>
      </c>
      <c r="B460">
        <v>25</v>
      </c>
      <c r="C460">
        <v>55000</v>
      </c>
      <c r="D460" t="s">
        <v>19</v>
      </c>
      <c r="E460" t="s">
        <v>20</v>
      </c>
      <c r="F460" t="s">
        <v>40</v>
      </c>
      <c r="G460" s="2" t="s">
        <v>55</v>
      </c>
      <c r="H460" t="s">
        <v>27</v>
      </c>
      <c r="I460" t="s">
        <v>16</v>
      </c>
      <c r="J460" t="s">
        <v>24</v>
      </c>
      <c r="K460" s="5" t="s">
        <v>44</v>
      </c>
      <c r="L460" s="6" cm="1">
        <f t="array" ref="L460">_xlfn.SWITCH(Table13_2[[#This Row],[Performance Score]],"A",6,"B",5,"C",4,"D",3,"E",2,"F",1)</f>
        <v>4</v>
      </c>
      <c r="M460" s="5">
        <f t="shared" si="7"/>
        <v>55000</v>
      </c>
    </row>
    <row r="461" spans="1:13" x14ac:dyDescent="0.3">
      <c r="A461" t="s">
        <v>61</v>
      </c>
      <c r="B461" t="s">
        <v>63</v>
      </c>
      <c r="C461">
        <v>70000</v>
      </c>
      <c r="D461" t="s">
        <v>34</v>
      </c>
      <c r="E461" t="s">
        <v>35</v>
      </c>
      <c r="F461" t="s">
        <v>41</v>
      </c>
      <c r="G461" s="2" t="s">
        <v>55</v>
      </c>
      <c r="H461" t="s">
        <v>31</v>
      </c>
      <c r="I461" t="s">
        <v>23</v>
      </c>
      <c r="J461" t="s">
        <v>17</v>
      </c>
      <c r="K461" s="5" t="s">
        <v>36</v>
      </c>
      <c r="L461" s="6" cm="1">
        <f t="array" ref="L461">_xlfn.SWITCH(Table13_2[[#This Row],[Performance Score]],"A",6,"B",5,"C",4,"D",3,"E",2,"F",1)</f>
        <v>6</v>
      </c>
      <c r="M461" s="5">
        <f t="shared" si="7"/>
        <v>70000</v>
      </c>
    </row>
    <row r="462" spans="1:13" x14ac:dyDescent="0.3">
      <c r="A462" t="s">
        <v>49</v>
      </c>
      <c r="B462">
        <v>35</v>
      </c>
      <c r="C462">
        <v>50000</v>
      </c>
      <c r="D462" t="s">
        <v>12</v>
      </c>
      <c r="E462" t="s">
        <v>20</v>
      </c>
      <c r="F462" t="s">
        <v>41</v>
      </c>
      <c r="G462" s="2" t="s">
        <v>55</v>
      </c>
      <c r="H462" t="s">
        <v>22</v>
      </c>
      <c r="I462" t="s">
        <v>39</v>
      </c>
      <c r="J462" t="s">
        <v>17</v>
      </c>
      <c r="K462" s="5" t="s">
        <v>11</v>
      </c>
      <c r="L462" s="6" cm="1">
        <f t="array" ref="L462">_xlfn.SWITCH(Table13_2[[#This Row],[Performance Score]],"A",6,"B",5,"C",4,"D",3,"E",2,"F",1)</f>
        <v>1</v>
      </c>
      <c r="M462" s="5">
        <f t="shared" si="7"/>
        <v>50000</v>
      </c>
    </row>
    <row r="463" spans="1:13" x14ac:dyDescent="0.3">
      <c r="A463" t="s">
        <v>66</v>
      </c>
      <c r="B463">
        <v>50</v>
      </c>
      <c r="C463">
        <v>70000</v>
      </c>
      <c r="D463" t="s">
        <v>34</v>
      </c>
      <c r="E463" t="s">
        <v>26</v>
      </c>
      <c r="F463" t="s">
        <v>37</v>
      </c>
      <c r="G463" s="2" t="s">
        <v>60</v>
      </c>
      <c r="H463" t="s">
        <v>38</v>
      </c>
      <c r="I463" t="s">
        <v>39</v>
      </c>
      <c r="J463" t="s">
        <v>28</v>
      </c>
      <c r="K463" s="5" t="s">
        <v>45</v>
      </c>
      <c r="L463" s="6" cm="1">
        <f t="array" ref="L463">_xlfn.SWITCH(Table13_2[[#This Row],[Performance Score]],"A",6,"B",5,"C",4,"D",3,"E",2,"F",1)</f>
        <v>5</v>
      </c>
      <c r="M463" s="5">
        <f t="shared" si="7"/>
        <v>70000</v>
      </c>
    </row>
    <row r="464" spans="1:13" x14ac:dyDescent="0.3">
      <c r="A464" t="s">
        <v>59</v>
      </c>
      <c r="B464">
        <v>40</v>
      </c>
      <c r="C464">
        <v>70000</v>
      </c>
      <c r="D464" t="s">
        <v>12</v>
      </c>
      <c r="E464" t="s">
        <v>20</v>
      </c>
      <c r="F464" t="s">
        <v>37</v>
      </c>
      <c r="G464" s="2" t="s">
        <v>55</v>
      </c>
      <c r="H464" t="s">
        <v>27</v>
      </c>
      <c r="I464" t="s">
        <v>39</v>
      </c>
      <c r="J464" t="s">
        <v>28</v>
      </c>
      <c r="K464" s="5" t="s">
        <v>33</v>
      </c>
      <c r="L464" s="6" cm="1">
        <f t="array" ref="L464">_xlfn.SWITCH(Table13_2[[#This Row],[Performance Score]],"A",6,"B",5,"C",4,"D",3,"E",2,"F",1)</f>
        <v>4</v>
      </c>
      <c r="M464" s="5">
        <f t="shared" si="7"/>
        <v>70000</v>
      </c>
    </row>
    <row r="465" spans="1:13" x14ac:dyDescent="0.3">
      <c r="A465" t="s">
        <v>53</v>
      </c>
      <c r="B465">
        <v>40</v>
      </c>
      <c r="C465">
        <v>55000</v>
      </c>
      <c r="D465" t="s">
        <v>19</v>
      </c>
      <c r="E465" t="s">
        <v>30</v>
      </c>
      <c r="F465" t="s">
        <v>37</v>
      </c>
      <c r="G465" s="2" t="s">
        <v>50</v>
      </c>
      <c r="H465" t="s">
        <v>15</v>
      </c>
      <c r="I465" t="s">
        <v>16</v>
      </c>
      <c r="J465" t="s">
        <v>28</v>
      </c>
      <c r="K465" s="5" t="s">
        <v>25</v>
      </c>
      <c r="L465" s="6" cm="1">
        <f t="array" ref="L465">_xlfn.SWITCH(Table13_2[[#This Row],[Performance Score]],"A",6,"B",5,"C",4,"D",3,"E",2,"F",1)</f>
        <v>3</v>
      </c>
      <c r="M465" s="5">
        <f t="shared" si="7"/>
        <v>55000</v>
      </c>
    </row>
    <row r="466" spans="1:13" x14ac:dyDescent="0.3">
      <c r="A466" t="s">
        <v>59</v>
      </c>
      <c r="B466">
        <v>50</v>
      </c>
      <c r="C466">
        <v>55000</v>
      </c>
      <c r="D466" t="s">
        <v>19</v>
      </c>
      <c r="E466" t="s">
        <v>13</v>
      </c>
      <c r="F466" t="s">
        <v>40</v>
      </c>
      <c r="G466" s="2" t="s">
        <v>60</v>
      </c>
      <c r="H466" t="s">
        <v>27</v>
      </c>
      <c r="I466" t="s">
        <v>39</v>
      </c>
      <c r="J466" t="s">
        <v>17</v>
      </c>
      <c r="K466" s="5" t="s">
        <v>33</v>
      </c>
      <c r="L466" s="6" cm="1">
        <f t="array" ref="L466">_xlfn.SWITCH(Table13_2[[#This Row],[Performance Score]],"A",6,"B",5,"C",4,"D",3,"E",2,"F",1)</f>
        <v>4</v>
      </c>
      <c r="M466" s="5">
        <f t="shared" si="7"/>
        <v>55000</v>
      </c>
    </row>
    <row r="467" spans="1:13" x14ac:dyDescent="0.3">
      <c r="A467" t="s">
        <v>59</v>
      </c>
      <c r="B467">
        <v>25</v>
      </c>
      <c r="C467">
        <v>70000</v>
      </c>
      <c r="D467" t="s">
        <v>12</v>
      </c>
      <c r="E467" t="s">
        <v>20</v>
      </c>
      <c r="F467" t="s">
        <v>40</v>
      </c>
      <c r="G467" s="2" t="s">
        <v>62</v>
      </c>
      <c r="H467" t="s">
        <v>38</v>
      </c>
      <c r="I467" t="s">
        <v>16</v>
      </c>
      <c r="J467" t="s">
        <v>17</v>
      </c>
      <c r="K467" s="5" t="s">
        <v>33</v>
      </c>
      <c r="L467" s="6" cm="1">
        <f t="array" ref="L467">_xlfn.SWITCH(Table13_2[[#This Row],[Performance Score]],"A",6,"B",5,"C",4,"D",3,"E",2,"F",1)</f>
        <v>5</v>
      </c>
      <c r="M467" s="5">
        <f t="shared" si="7"/>
        <v>70000</v>
      </c>
    </row>
    <row r="468" spans="1:13" x14ac:dyDescent="0.3">
      <c r="A468" t="s">
        <v>59</v>
      </c>
      <c r="B468">
        <v>25</v>
      </c>
      <c r="C468">
        <v>70000</v>
      </c>
      <c r="D468" t="s">
        <v>19</v>
      </c>
      <c r="E468" t="s">
        <v>20</v>
      </c>
      <c r="F468" t="s">
        <v>21</v>
      </c>
      <c r="G468" s="2" t="s">
        <v>60</v>
      </c>
      <c r="H468" t="s">
        <v>27</v>
      </c>
      <c r="I468" t="s">
        <v>23</v>
      </c>
      <c r="J468" t="s">
        <v>42</v>
      </c>
      <c r="K468" s="5" t="s">
        <v>33</v>
      </c>
      <c r="L468" s="6" cm="1">
        <f t="array" ref="L468">_xlfn.SWITCH(Table13_2[[#This Row],[Performance Score]],"A",6,"B",5,"C",4,"D",3,"E",2,"F",1)</f>
        <v>4</v>
      </c>
      <c r="M468" s="5">
        <f t="shared" si="7"/>
        <v>70000</v>
      </c>
    </row>
    <row r="469" spans="1:13" x14ac:dyDescent="0.3">
      <c r="A469" t="s">
        <v>65</v>
      </c>
      <c r="B469">
        <v>35</v>
      </c>
      <c r="C469">
        <v>70000</v>
      </c>
      <c r="D469" t="s">
        <v>12</v>
      </c>
      <c r="E469" t="s">
        <v>30</v>
      </c>
      <c r="F469" t="s">
        <v>37</v>
      </c>
      <c r="G469" s="2" t="s">
        <v>50</v>
      </c>
      <c r="H469" t="s">
        <v>31</v>
      </c>
      <c r="I469" t="s">
        <v>39</v>
      </c>
      <c r="J469" t="s">
        <v>24</v>
      </c>
      <c r="K469" s="5" t="s">
        <v>44</v>
      </c>
      <c r="L469" s="6" cm="1">
        <f t="array" ref="L469">_xlfn.SWITCH(Table13_2[[#This Row],[Performance Score]],"A",6,"B",5,"C",4,"D",3,"E",2,"F",1)</f>
        <v>6</v>
      </c>
      <c r="M469" s="5">
        <f t="shared" si="7"/>
        <v>70000</v>
      </c>
    </row>
    <row r="470" spans="1:13" x14ac:dyDescent="0.3">
      <c r="A470" t="s">
        <v>61</v>
      </c>
      <c r="B470" t="s">
        <v>51</v>
      </c>
      <c r="C470">
        <v>55000</v>
      </c>
      <c r="D470" t="s">
        <v>12</v>
      </c>
      <c r="E470" t="s">
        <v>13</v>
      </c>
      <c r="F470" t="s">
        <v>14</v>
      </c>
      <c r="G470" s="2" t="s">
        <v>62</v>
      </c>
      <c r="H470" t="s">
        <v>27</v>
      </c>
      <c r="I470" t="s">
        <v>39</v>
      </c>
      <c r="J470" t="s">
        <v>42</v>
      </c>
      <c r="K470" s="5" t="s">
        <v>36</v>
      </c>
      <c r="L470" s="6" cm="1">
        <f t="array" ref="L470">_xlfn.SWITCH(Table13_2[[#This Row],[Performance Score]],"A",6,"B",5,"C",4,"D",3,"E",2,"F",1)</f>
        <v>4</v>
      </c>
      <c r="M470" s="5">
        <f t="shared" si="7"/>
        <v>55000</v>
      </c>
    </row>
    <row r="471" spans="1:13" x14ac:dyDescent="0.3">
      <c r="A471" t="s">
        <v>67</v>
      </c>
      <c r="B471" t="s">
        <v>63</v>
      </c>
      <c r="C471">
        <v>70000</v>
      </c>
      <c r="D471" t="s">
        <v>19</v>
      </c>
      <c r="E471" t="s">
        <v>13</v>
      </c>
      <c r="F471" t="s">
        <v>21</v>
      </c>
      <c r="G471" s="2" t="s">
        <v>60</v>
      </c>
      <c r="H471" t="s">
        <v>27</v>
      </c>
      <c r="I471" t="s">
        <v>23</v>
      </c>
      <c r="J471" t="s">
        <v>17</v>
      </c>
      <c r="K471" s="5" t="s">
        <v>46</v>
      </c>
      <c r="L471" s="6" cm="1">
        <f t="array" ref="L471">_xlfn.SWITCH(Table13_2[[#This Row],[Performance Score]],"A",6,"B",5,"C",4,"D",3,"E",2,"F",1)</f>
        <v>4</v>
      </c>
      <c r="M471" s="5">
        <f t="shared" si="7"/>
        <v>70000</v>
      </c>
    </row>
    <row r="472" spans="1:13" x14ac:dyDescent="0.3">
      <c r="A472" t="s">
        <v>49</v>
      </c>
      <c r="B472">
        <v>25</v>
      </c>
      <c r="C472">
        <v>70000</v>
      </c>
      <c r="D472" t="s">
        <v>12</v>
      </c>
      <c r="E472" t="s">
        <v>26</v>
      </c>
      <c r="F472" t="s">
        <v>14</v>
      </c>
      <c r="G472" s="2" t="s">
        <v>55</v>
      </c>
      <c r="H472" t="s">
        <v>15</v>
      </c>
      <c r="I472" t="s">
        <v>39</v>
      </c>
      <c r="J472" t="s">
        <v>42</v>
      </c>
      <c r="K472" s="5" t="s">
        <v>11</v>
      </c>
      <c r="L472" s="6" cm="1">
        <f t="array" ref="L472">_xlfn.SWITCH(Table13_2[[#This Row],[Performance Score]],"A",6,"B",5,"C",4,"D",3,"E",2,"F",1)</f>
        <v>3</v>
      </c>
      <c r="M472" s="5">
        <f t="shared" si="7"/>
        <v>70000</v>
      </c>
    </row>
    <row r="473" spans="1:13" x14ac:dyDescent="0.3">
      <c r="A473" t="s">
        <v>52</v>
      </c>
      <c r="B473">
        <v>40</v>
      </c>
      <c r="C473">
        <v>65000</v>
      </c>
      <c r="D473" t="s">
        <v>34</v>
      </c>
      <c r="E473" t="s">
        <v>20</v>
      </c>
      <c r="F473" t="s">
        <v>40</v>
      </c>
      <c r="G473" s="2">
        <v>43881</v>
      </c>
      <c r="H473" t="s">
        <v>31</v>
      </c>
      <c r="I473" t="s">
        <v>39</v>
      </c>
      <c r="J473" t="s">
        <v>17</v>
      </c>
      <c r="K473" s="5" t="s">
        <v>18</v>
      </c>
      <c r="L473" s="6" cm="1">
        <f t="array" ref="L473">_xlfn.SWITCH(Table13_2[[#This Row],[Performance Score]],"A",6,"B",5,"C",4,"D",3,"E",2,"F",1)</f>
        <v>6</v>
      </c>
      <c r="M473" s="5">
        <f t="shared" si="7"/>
        <v>65000</v>
      </c>
    </row>
    <row r="474" spans="1:13" x14ac:dyDescent="0.3">
      <c r="A474" t="s">
        <v>59</v>
      </c>
      <c r="B474">
        <v>35</v>
      </c>
      <c r="C474">
        <v>50000</v>
      </c>
      <c r="D474" t="s">
        <v>34</v>
      </c>
      <c r="E474" t="s">
        <v>13</v>
      </c>
      <c r="F474" t="s">
        <v>21</v>
      </c>
      <c r="G474" s="2">
        <v>43881</v>
      </c>
      <c r="H474" t="s">
        <v>31</v>
      </c>
      <c r="I474" t="s">
        <v>32</v>
      </c>
      <c r="J474" t="s">
        <v>28</v>
      </c>
      <c r="K474" s="5" t="s">
        <v>33</v>
      </c>
      <c r="L474" s="6" cm="1">
        <f t="array" ref="L474">_xlfn.SWITCH(Table13_2[[#This Row],[Performance Score]],"A",6,"B",5,"C",4,"D",3,"E",2,"F",1)</f>
        <v>6</v>
      </c>
      <c r="M474" s="5">
        <f t="shared" si="7"/>
        <v>50000</v>
      </c>
    </row>
    <row r="475" spans="1:13" x14ac:dyDescent="0.3">
      <c r="A475" t="s">
        <v>56</v>
      </c>
      <c r="B475" t="s">
        <v>63</v>
      </c>
      <c r="C475">
        <v>60000</v>
      </c>
      <c r="D475" t="s">
        <v>19</v>
      </c>
      <c r="E475" t="s">
        <v>13</v>
      </c>
      <c r="F475" t="s">
        <v>21</v>
      </c>
      <c r="G475" s="2" t="s">
        <v>55</v>
      </c>
      <c r="H475" t="s">
        <v>27</v>
      </c>
      <c r="I475" t="s">
        <v>16</v>
      </c>
      <c r="J475" t="s">
        <v>17</v>
      </c>
      <c r="K475" s="5" t="s">
        <v>29</v>
      </c>
      <c r="L475" s="6" cm="1">
        <f t="array" ref="L475">_xlfn.SWITCH(Table13_2[[#This Row],[Performance Score]],"A",6,"B",5,"C",4,"D",3,"E",2,"F",1)</f>
        <v>4</v>
      </c>
      <c r="M475" s="5">
        <f t="shared" si="7"/>
        <v>60000</v>
      </c>
    </row>
    <row r="476" spans="1:13" x14ac:dyDescent="0.3">
      <c r="A476" t="s">
        <v>65</v>
      </c>
      <c r="B476">
        <v>35</v>
      </c>
      <c r="C476">
        <v>50000</v>
      </c>
      <c r="D476" t="s">
        <v>19</v>
      </c>
      <c r="E476" t="s">
        <v>35</v>
      </c>
      <c r="F476" t="s">
        <v>41</v>
      </c>
      <c r="G476" s="2">
        <v>43881</v>
      </c>
      <c r="H476" t="s">
        <v>15</v>
      </c>
      <c r="I476" t="s">
        <v>39</v>
      </c>
      <c r="J476" t="s">
        <v>17</v>
      </c>
      <c r="K476" s="5" t="s">
        <v>44</v>
      </c>
      <c r="L476" s="6" cm="1">
        <f t="array" ref="L476">_xlfn.SWITCH(Table13_2[[#This Row],[Performance Score]],"A",6,"B",5,"C",4,"D",3,"E",2,"F",1)</f>
        <v>3</v>
      </c>
      <c r="M476" s="5">
        <f t="shared" si="7"/>
        <v>50000</v>
      </c>
    </row>
    <row r="477" spans="1:13" x14ac:dyDescent="0.3">
      <c r="A477" t="s">
        <v>53</v>
      </c>
      <c r="B477" t="s">
        <v>63</v>
      </c>
      <c r="C477">
        <v>65000</v>
      </c>
      <c r="D477" t="s">
        <v>12</v>
      </c>
      <c r="E477" t="s">
        <v>35</v>
      </c>
      <c r="F477" t="s">
        <v>40</v>
      </c>
      <c r="G477" s="2">
        <v>43881</v>
      </c>
      <c r="H477" t="s">
        <v>27</v>
      </c>
      <c r="I477" t="s">
        <v>23</v>
      </c>
      <c r="J477" t="s">
        <v>42</v>
      </c>
      <c r="K477" s="5" t="s">
        <v>25</v>
      </c>
      <c r="L477" s="6" cm="1">
        <f t="array" ref="L477">_xlfn.SWITCH(Table13_2[[#This Row],[Performance Score]],"A",6,"B",5,"C",4,"D",3,"E",2,"F",1)</f>
        <v>4</v>
      </c>
      <c r="M477" s="5">
        <f t="shared" si="7"/>
        <v>65000</v>
      </c>
    </row>
    <row r="478" spans="1:13" x14ac:dyDescent="0.3">
      <c r="A478" t="s">
        <v>52</v>
      </c>
      <c r="B478" t="s">
        <v>63</v>
      </c>
      <c r="C478">
        <v>60000</v>
      </c>
      <c r="D478" t="s">
        <v>12</v>
      </c>
      <c r="E478" t="s">
        <v>13</v>
      </c>
      <c r="F478" t="s">
        <v>40</v>
      </c>
      <c r="G478" s="2" t="s">
        <v>55</v>
      </c>
      <c r="H478" t="s">
        <v>27</v>
      </c>
      <c r="I478" t="s">
        <v>39</v>
      </c>
      <c r="J478" t="s">
        <v>17</v>
      </c>
      <c r="K478" s="5" t="s">
        <v>18</v>
      </c>
      <c r="L478" s="6" cm="1">
        <f t="array" ref="L478">_xlfn.SWITCH(Table13_2[[#This Row],[Performance Score]],"A",6,"B",5,"C",4,"D",3,"E",2,"F",1)</f>
        <v>4</v>
      </c>
      <c r="M478" s="5">
        <f t="shared" si="7"/>
        <v>60000</v>
      </c>
    </row>
    <row r="479" spans="1:13" x14ac:dyDescent="0.3">
      <c r="A479" t="s">
        <v>67</v>
      </c>
      <c r="B479">
        <v>50</v>
      </c>
      <c r="C479">
        <v>70000</v>
      </c>
      <c r="D479" t="s">
        <v>12</v>
      </c>
      <c r="E479" t="s">
        <v>26</v>
      </c>
      <c r="F479" t="s">
        <v>21</v>
      </c>
      <c r="G479" s="2" t="s">
        <v>55</v>
      </c>
      <c r="H479" t="s">
        <v>38</v>
      </c>
      <c r="I479" t="s">
        <v>39</v>
      </c>
      <c r="J479" t="s">
        <v>42</v>
      </c>
      <c r="K479" s="5" t="s">
        <v>46</v>
      </c>
      <c r="L479" s="6" cm="1">
        <f t="array" ref="L479">_xlfn.SWITCH(Table13_2[[#This Row],[Performance Score]],"A",6,"B",5,"C",4,"D",3,"E",2,"F",1)</f>
        <v>5</v>
      </c>
      <c r="M479" s="5">
        <f t="shared" si="7"/>
        <v>70000</v>
      </c>
    </row>
    <row r="480" spans="1:13" x14ac:dyDescent="0.3">
      <c r="A480" t="s">
        <v>56</v>
      </c>
      <c r="B480">
        <v>25</v>
      </c>
      <c r="C480">
        <v>65000</v>
      </c>
      <c r="D480" t="s">
        <v>12</v>
      </c>
      <c r="E480" t="s">
        <v>13</v>
      </c>
      <c r="F480" t="s">
        <v>40</v>
      </c>
      <c r="G480" s="2" t="s">
        <v>60</v>
      </c>
      <c r="H480" t="s">
        <v>38</v>
      </c>
      <c r="I480" t="s">
        <v>16</v>
      </c>
      <c r="J480" t="s">
        <v>42</v>
      </c>
      <c r="K480" s="5" t="s">
        <v>29</v>
      </c>
      <c r="L480" s="6" cm="1">
        <f t="array" ref="L480">_xlfn.SWITCH(Table13_2[[#This Row],[Performance Score]],"A",6,"B",5,"C",4,"D",3,"E",2,"F",1)</f>
        <v>5</v>
      </c>
      <c r="M480" s="5">
        <f t="shared" si="7"/>
        <v>65000</v>
      </c>
    </row>
    <row r="481" spans="1:13" x14ac:dyDescent="0.3">
      <c r="A481" t="s">
        <v>67</v>
      </c>
      <c r="B481">
        <v>35</v>
      </c>
      <c r="C481">
        <v>70000</v>
      </c>
      <c r="D481" t="s">
        <v>34</v>
      </c>
      <c r="E481" t="s">
        <v>30</v>
      </c>
      <c r="F481" t="s">
        <v>21</v>
      </c>
      <c r="G481" s="2" t="s">
        <v>60</v>
      </c>
      <c r="H481" t="s">
        <v>15</v>
      </c>
      <c r="I481" t="s">
        <v>32</v>
      </c>
      <c r="J481" t="s">
        <v>17</v>
      </c>
      <c r="K481" s="5" t="s">
        <v>46</v>
      </c>
      <c r="L481" s="6" cm="1">
        <f t="array" ref="L481">_xlfn.SWITCH(Table13_2[[#This Row],[Performance Score]],"A",6,"B",5,"C",4,"D",3,"E",2,"F",1)</f>
        <v>3</v>
      </c>
      <c r="M481" s="5">
        <f t="shared" si="7"/>
        <v>70000</v>
      </c>
    </row>
    <row r="482" spans="1:13" x14ac:dyDescent="0.3">
      <c r="A482" t="s">
        <v>52</v>
      </c>
      <c r="B482">
        <v>35</v>
      </c>
      <c r="C482">
        <v>55000</v>
      </c>
      <c r="D482" t="s">
        <v>34</v>
      </c>
      <c r="E482" t="s">
        <v>20</v>
      </c>
      <c r="F482" t="s">
        <v>41</v>
      </c>
      <c r="G482" s="2" t="s">
        <v>55</v>
      </c>
      <c r="H482" t="s">
        <v>22</v>
      </c>
      <c r="I482" t="s">
        <v>16</v>
      </c>
      <c r="J482" t="s">
        <v>42</v>
      </c>
      <c r="K482" s="5" t="s">
        <v>18</v>
      </c>
      <c r="L482" s="6" cm="1">
        <f t="array" ref="L482">_xlfn.SWITCH(Table13_2[[#This Row],[Performance Score]],"A",6,"B",5,"C",4,"D",3,"E",2,"F",1)</f>
        <v>1</v>
      </c>
      <c r="M482" s="5">
        <f t="shared" si="7"/>
        <v>55000</v>
      </c>
    </row>
    <row r="483" spans="1:13" x14ac:dyDescent="0.3">
      <c r="A483" t="s">
        <v>59</v>
      </c>
      <c r="B483">
        <v>50</v>
      </c>
      <c r="C483">
        <v>0</v>
      </c>
      <c r="D483" t="s">
        <v>19</v>
      </c>
      <c r="E483" t="s">
        <v>26</v>
      </c>
      <c r="F483" t="s">
        <v>21</v>
      </c>
      <c r="G483" s="2" t="s">
        <v>50</v>
      </c>
      <c r="H483" t="s">
        <v>38</v>
      </c>
      <c r="I483" t="s">
        <v>39</v>
      </c>
      <c r="J483" t="s">
        <v>28</v>
      </c>
      <c r="K483" s="5" t="s">
        <v>33</v>
      </c>
      <c r="L483" s="6" cm="1">
        <f t="array" ref="L483">_xlfn.SWITCH(Table13_2[[#This Row],[Performance Score]],"A",6,"B",5,"C",4,"D",3,"E",2,"F",1)</f>
        <v>5</v>
      </c>
      <c r="M483" s="5">
        <f t="shared" si="7"/>
        <v>50742.574257425746</v>
      </c>
    </row>
    <row r="484" spans="1:13" x14ac:dyDescent="0.3">
      <c r="A484" t="s">
        <v>56</v>
      </c>
      <c r="B484">
        <v>40</v>
      </c>
      <c r="C484">
        <v>65000</v>
      </c>
      <c r="D484" t="s">
        <v>12</v>
      </c>
      <c r="E484" t="s">
        <v>30</v>
      </c>
      <c r="F484" t="s">
        <v>40</v>
      </c>
      <c r="G484" s="2">
        <v>43881</v>
      </c>
      <c r="H484" t="s">
        <v>22</v>
      </c>
      <c r="I484" t="s">
        <v>39</v>
      </c>
      <c r="J484" t="s">
        <v>42</v>
      </c>
      <c r="K484" s="5" t="s">
        <v>29</v>
      </c>
      <c r="L484" s="6" cm="1">
        <f t="array" ref="L484">_xlfn.SWITCH(Table13_2[[#This Row],[Performance Score]],"A",6,"B",5,"C",4,"D",3,"E",2,"F",1)</f>
        <v>1</v>
      </c>
      <c r="M484" s="5">
        <f t="shared" si="7"/>
        <v>65000</v>
      </c>
    </row>
    <row r="485" spans="1:13" x14ac:dyDescent="0.3">
      <c r="A485" t="s">
        <v>67</v>
      </c>
      <c r="B485">
        <v>40</v>
      </c>
      <c r="C485">
        <v>55000</v>
      </c>
      <c r="D485" t="s">
        <v>12</v>
      </c>
      <c r="E485" t="s">
        <v>26</v>
      </c>
      <c r="F485" t="s">
        <v>40</v>
      </c>
      <c r="G485" s="2" t="s">
        <v>60</v>
      </c>
      <c r="H485" t="s">
        <v>31</v>
      </c>
      <c r="I485" t="s">
        <v>39</v>
      </c>
      <c r="J485" t="s">
        <v>28</v>
      </c>
      <c r="K485" s="5" t="s">
        <v>46</v>
      </c>
      <c r="L485" s="6" cm="1">
        <f t="array" ref="L485">_xlfn.SWITCH(Table13_2[[#This Row],[Performance Score]],"A",6,"B",5,"C",4,"D",3,"E",2,"F",1)</f>
        <v>6</v>
      </c>
      <c r="M485" s="5">
        <f t="shared" si="7"/>
        <v>55000</v>
      </c>
    </row>
    <row r="486" spans="1:13" x14ac:dyDescent="0.3">
      <c r="A486" t="s">
        <v>53</v>
      </c>
      <c r="B486">
        <v>25</v>
      </c>
      <c r="C486">
        <v>65000</v>
      </c>
      <c r="D486" t="s">
        <v>19</v>
      </c>
      <c r="E486" t="s">
        <v>30</v>
      </c>
      <c r="F486" t="s">
        <v>21</v>
      </c>
      <c r="G486" s="2">
        <v>43881</v>
      </c>
      <c r="H486" t="s">
        <v>38</v>
      </c>
      <c r="I486" t="s">
        <v>39</v>
      </c>
      <c r="J486" t="s">
        <v>17</v>
      </c>
      <c r="K486" s="5" t="s">
        <v>25</v>
      </c>
      <c r="L486" s="6" cm="1">
        <f t="array" ref="L486">_xlfn.SWITCH(Table13_2[[#This Row],[Performance Score]],"A",6,"B",5,"C",4,"D",3,"E",2,"F",1)</f>
        <v>5</v>
      </c>
      <c r="M486" s="5">
        <f t="shared" si="7"/>
        <v>65000</v>
      </c>
    </row>
    <row r="487" spans="1:13" x14ac:dyDescent="0.3">
      <c r="A487" t="s">
        <v>61</v>
      </c>
      <c r="B487">
        <v>25</v>
      </c>
      <c r="C487">
        <v>65000</v>
      </c>
      <c r="D487" t="s">
        <v>12</v>
      </c>
      <c r="E487" t="s">
        <v>20</v>
      </c>
      <c r="F487" t="s">
        <v>21</v>
      </c>
      <c r="G487" s="2" t="s">
        <v>62</v>
      </c>
      <c r="H487" t="s">
        <v>38</v>
      </c>
      <c r="I487" t="s">
        <v>23</v>
      </c>
      <c r="J487" t="s">
        <v>17</v>
      </c>
      <c r="K487" s="5" t="s">
        <v>36</v>
      </c>
      <c r="L487" s="6" cm="1">
        <f t="array" ref="L487">_xlfn.SWITCH(Table13_2[[#This Row],[Performance Score]],"A",6,"B",5,"C",4,"D",3,"E",2,"F",1)</f>
        <v>5</v>
      </c>
      <c r="M487" s="5">
        <f t="shared" si="7"/>
        <v>65000</v>
      </c>
    </row>
    <row r="488" spans="1:13" x14ac:dyDescent="0.3">
      <c r="A488" t="s">
        <v>66</v>
      </c>
      <c r="B488" t="s">
        <v>51</v>
      </c>
      <c r="C488">
        <v>55000</v>
      </c>
      <c r="D488" t="s">
        <v>12</v>
      </c>
      <c r="E488" t="s">
        <v>20</v>
      </c>
      <c r="F488" t="s">
        <v>21</v>
      </c>
      <c r="G488" s="2" t="s">
        <v>55</v>
      </c>
      <c r="H488" t="s">
        <v>15</v>
      </c>
      <c r="I488" t="s">
        <v>32</v>
      </c>
      <c r="J488" t="s">
        <v>28</v>
      </c>
      <c r="K488" s="5" t="s">
        <v>45</v>
      </c>
      <c r="L488" s="6" cm="1">
        <f t="array" ref="L488">_xlfn.SWITCH(Table13_2[[#This Row],[Performance Score]],"A",6,"B",5,"C",4,"D",3,"E",2,"F",1)</f>
        <v>3</v>
      </c>
      <c r="M488" s="5">
        <f t="shared" si="7"/>
        <v>55000</v>
      </c>
    </row>
    <row r="489" spans="1:13" x14ac:dyDescent="0.3">
      <c r="A489" t="s">
        <v>61</v>
      </c>
      <c r="B489">
        <v>50</v>
      </c>
      <c r="C489">
        <v>60000</v>
      </c>
      <c r="D489" t="s">
        <v>12</v>
      </c>
      <c r="E489" t="s">
        <v>35</v>
      </c>
      <c r="F489" t="s">
        <v>37</v>
      </c>
      <c r="G489" s="2" t="s">
        <v>50</v>
      </c>
      <c r="H489" t="s">
        <v>22</v>
      </c>
      <c r="I489" t="s">
        <v>39</v>
      </c>
      <c r="J489" t="s">
        <v>17</v>
      </c>
      <c r="K489" s="5" t="s">
        <v>36</v>
      </c>
      <c r="L489" s="6" cm="1">
        <f t="array" ref="L489">_xlfn.SWITCH(Table13_2[[#This Row],[Performance Score]],"A",6,"B",5,"C",4,"D",3,"E",2,"F",1)</f>
        <v>1</v>
      </c>
      <c r="M489" s="5">
        <f t="shared" si="7"/>
        <v>60000</v>
      </c>
    </row>
    <row r="490" spans="1:13" x14ac:dyDescent="0.3">
      <c r="A490" t="s">
        <v>52</v>
      </c>
      <c r="B490">
        <v>40</v>
      </c>
      <c r="C490">
        <v>50000</v>
      </c>
      <c r="D490" t="s">
        <v>12</v>
      </c>
      <c r="E490" t="s">
        <v>30</v>
      </c>
      <c r="F490" t="s">
        <v>40</v>
      </c>
      <c r="G490" s="2" t="s">
        <v>62</v>
      </c>
      <c r="H490" t="s">
        <v>38</v>
      </c>
      <c r="I490" t="s">
        <v>39</v>
      </c>
      <c r="J490" t="s">
        <v>17</v>
      </c>
      <c r="K490" s="5" t="s">
        <v>18</v>
      </c>
      <c r="L490" s="6" cm="1">
        <f t="array" ref="L490">_xlfn.SWITCH(Table13_2[[#This Row],[Performance Score]],"A",6,"B",5,"C",4,"D",3,"E",2,"F",1)</f>
        <v>5</v>
      </c>
      <c r="M490" s="5">
        <f t="shared" si="7"/>
        <v>50000</v>
      </c>
    </row>
    <row r="491" spans="1:13" x14ac:dyDescent="0.3">
      <c r="A491" t="s">
        <v>65</v>
      </c>
      <c r="B491" t="s">
        <v>63</v>
      </c>
      <c r="C491">
        <v>70000</v>
      </c>
      <c r="D491" t="s">
        <v>12</v>
      </c>
      <c r="E491" t="s">
        <v>35</v>
      </c>
      <c r="F491" t="s">
        <v>40</v>
      </c>
      <c r="G491" s="2" t="s">
        <v>62</v>
      </c>
      <c r="H491" t="s">
        <v>38</v>
      </c>
      <c r="I491" t="s">
        <v>39</v>
      </c>
      <c r="J491" t="s">
        <v>28</v>
      </c>
      <c r="K491" s="5" t="s">
        <v>44</v>
      </c>
      <c r="L491" s="6" cm="1">
        <f t="array" ref="L491">_xlfn.SWITCH(Table13_2[[#This Row],[Performance Score]],"A",6,"B",5,"C",4,"D",3,"E",2,"F",1)</f>
        <v>5</v>
      </c>
      <c r="M491" s="5">
        <f t="shared" si="7"/>
        <v>70000</v>
      </c>
    </row>
    <row r="492" spans="1:13" x14ac:dyDescent="0.3">
      <c r="A492" t="s">
        <v>66</v>
      </c>
      <c r="B492">
        <v>35</v>
      </c>
      <c r="C492">
        <v>65000</v>
      </c>
      <c r="D492" t="s">
        <v>19</v>
      </c>
      <c r="E492" t="s">
        <v>30</v>
      </c>
      <c r="F492" t="s">
        <v>37</v>
      </c>
      <c r="G492" s="2" t="s">
        <v>62</v>
      </c>
      <c r="H492" t="s">
        <v>15</v>
      </c>
      <c r="I492" t="s">
        <v>32</v>
      </c>
      <c r="J492" t="s">
        <v>17</v>
      </c>
      <c r="K492" s="5" t="s">
        <v>45</v>
      </c>
      <c r="L492" s="6" cm="1">
        <f t="array" ref="L492">_xlfn.SWITCH(Table13_2[[#This Row],[Performance Score]],"A",6,"B",5,"C",4,"D",3,"E",2,"F",1)</f>
        <v>3</v>
      </c>
      <c r="M492" s="5">
        <f t="shared" si="7"/>
        <v>65000</v>
      </c>
    </row>
    <row r="493" spans="1:13" x14ac:dyDescent="0.3">
      <c r="A493" t="s">
        <v>49</v>
      </c>
      <c r="B493">
        <v>25</v>
      </c>
      <c r="C493">
        <v>70000</v>
      </c>
      <c r="D493" t="s">
        <v>12</v>
      </c>
      <c r="E493" t="s">
        <v>35</v>
      </c>
      <c r="F493" t="s">
        <v>21</v>
      </c>
      <c r="G493" s="2" t="s">
        <v>55</v>
      </c>
      <c r="H493" t="s">
        <v>15</v>
      </c>
      <c r="I493" t="s">
        <v>16</v>
      </c>
      <c r="J493" t="s">
        <v>24</v>
      </c>
      <c r="K493" s="5" t="s">
        <v>11</v>
      </c>
      <c r="L493" s="6" cm="1">
        <f t="array" ref="L493">_xlfn.SWITCH(Table13_2[[#This Row],[Performance Score]],"A",6,"B",5,"C",4,"D",3,"E",2,"F",1)</f>
        <v>3</v>
      </c>
      <c r="M493" s="5">
        <f t="shared" si="7"/>
        <v>70000</v>
      </c>
    </row>
    <row r="494" spans="1:13" x14ac:dyDescent="0.3">
      <c r="A494" t="s">
        <v>53</v>
      </c>
      <c r="B494">
        <v>35</v>
      </c>
      <c r="C494">
        <v>0</v>
      </c>
      <c r="D494" t="s">
        <v>19</v>
      </c>
      <c r="E494" t="s">
        <v>20</v>
      </c>
      <c r="F494" t="s">
        <v>41</v>
      </c>
      <c r="G494" s="2" t="s">
        <v>60</v>
      </c>
      <c r="H494" t="s">
        <v>22</v>
      </c>
      <c r="I494" t="s">
        <v>32</v>
      </c>
      <c r="J494" t="s">
        <v>17</v>
      </c>
      <c r="K494" s="5" t="s">
        <v>25</v>
      </c>
      <c r="L494" s="6" cm="1">
        <f t="array" ref="L494">_xlfn.SWITCH(Table13_2[[#This Row],[Performance Score]],"A",6,"B",5,"C",4,"D",3,"E",2,"F",1)</f>
        <v>1</v>
      </c>
      <c r="M494" s="5">
        <f t="shared" si="7"/>
        <v>48417.431192660551</v>
      </c>
    </row>
    <row r="495" spans="1:13" x14ac:dyDescent="0.3">
      <c r="A495" t="s">
        <v>49</v>
      </c>
      <c r="B495">
        <v>35</v>
      </c>
      <c r="C495">
        <v>55000</v>
      </c>
      <c r="D495" t="s">
        <v>12</v>
      </c>
      <c r="E495" t="s">
        <v>26</v>
      </c>
      <c r="F495" t="s">
        <v>21</v>
      </c>
      <c r="G495" s="2" t="s">
        <v>55</v>
      </c>
      <c r="H495" t="s">
        <v>31</v>
      </c>
      <c r="I495" t="s">
        <v>32</v>
      </c>
      <c r="J495" t="s">
        <v>17</v>
      </c>
      <c r="K495" s="5" t="s">
        <v>11</v>
      </c>
      <c r="L495" s="6" cm="1">
        <f t="array" ref="L495">_xlfn.SWITCH(Table13_2[[#This Row],[Performance Score]],"A",6,"B",5,"C",4,"D",3,"E",2,"F",1)</f>
        <v>6</v>
      </c>
      <c r="M495" s="5">
        <f t="shared" si="7"/>
        <v>55000</v>
      </c>
    </row>
    <row r="496" spans="1:13" x14ac:dyDescent="0.3">
      <c r="A496" t="s">
        <v>56</v>
      </c>
      <c r="B496" t="s">
        <v>51</v>
      </c>
      <c r="C496">
        <v>70000</v>
      </c>
      <c r="D496" t="s">
        <v>34</v>
      </c>
      <c r="E496" t="s">
        <v>35</v>
      </c>
      <c r="F496" t="s">
        <v>21</v>
      </c>
      <c r="G496" s="2" t="s">
        <v>60</v>
      </c>
      <c r="H496" t="s">
        <v>31</v>
      </c>
      <c r="I496" t="s">
        <v>32</v>
      </c>
      <c r="J496" t="s">
        <v>17</v>
      </c>
      <c r="K496" s="5" t="s">
        <v>29</v>
      </c>
      <c r="L496" s="6" cm="1">
        <f t="array" ref="L496">_xlfn.SWITCH(Table13_2[[#This Row],[Performance Score]],"A",6,"B",5,"C",4,"D",3,"E",2,"F",1)</f>
        <v>6</v>
      </c>
      <c r="M496" s="5">
        <f t="shared" si="7"/>
        <v>70000</v>
      </c>
    </row>
    <row r="497" spans="1:13" x14ac:dyDescent="0.3">
      <c r="A497" t="s">
        <v>66</v>
      </c>
      <c r="B497">
        <v>40</v>
      </c>
      <c r="C497">
        <v>55000</v>
      </c>
      <c r="D497" t="s">
        <v>34</v>
      </c>
      <c r="E497" t="s">
        <v>30</v>
      </c>
      <c r="F497" t="s">
        <v>37</v>
      </c>
      <c r="G497" s="2" t="s">
        <v>62</v>
      </c>
      <c r="H497" t="s">
        <v>27</v>
      </c>
      <c r="I497" t="s">
        <v>39</v>
      </c>
      <c r="J497" t="s">
        <v>17</v>
      </c>
      <c r="K497" s="5" t="s">
        <v>45</v>
      </c>
      <c r="L497" s="6" cm="1">
        <f t="array" ref="L497">_xlfn.SWITCH(Table13_2[[#This Row],[Performance Score]],"A",6,"B",5,"C",4,"D",3,"E",2,"F",1)</f>
        <v>4</v>
      </c>
      <c r="M497" s="5">
        <f t="shared" si="7"/>
        <v>55000</v>
      </c>
    </row>
    <row r="498" spans="1:13" x14ac:dyDescent="0.3">
      <c r="A498" t="s">
        <v>49</v>
      </c>
      <c r="B498">
        <v>25</v>
      </c>
      <c r="C498">
        <v>70000</v>
      </c>
      <c r="D498" t="s">
        <v>34</v>
      </c>
      <c r="E498" t="s">
        <v>30</v>
      </c>
      <c r="F498" t="s">
        <v>40</v>
      </c>
      <c r="G498" s="2" t="s">
        <v>62</v>
      </c>
      <c r="H498" t="s">
        <v>38</v>
      </c>
      <c r="I498" t="s">
        <v>39</v>
      </c>
      <c r="J498" t="s">
        <v>42</v>
      </c>
      <c r="K498" s="5" t="s">
        <v>11</v>
      </c>
      <c r="L498" s="6" cm="1">
        <f t="array" ref="L498">_xlfn.SWITCH(Table13_2[[#This Row],[Performance Score]],"A",6,"B",5,"C",4,"D",3,"E",2,"F",1)</f>
        <v>5</v>
      </c>
      <c r="M498" s="5">
        <f t="shared" si="7"/>
        <v>70000</v>
      </c>
    </row>
    <row r="499" spans="1:13" x14ac:dyDescent="0.3">
      <c r="A499" t="s">
        <v>49</v>
      </c>
      <c r="B499">
        <v>35</v>
      </c>
      <c r="C499">
        <v>50000</v>
      </c>
      <c r="D499" t="s">
        <v>34</v>
      </c>
      <c r="E499" t="s">
        <v>20</v>
      </c>
      <c r="F499" t="s">
        <v>21</v>
      </c>
      <c r="G499" s="2" t="s">
        <v>50</v>
      </c>
      <c r="H499" t="s">
        <v>22</v>
      </c>
      <c r="I499" t="s">
        <v>23</v>
      </c>
      <c r="J499" t="s">
        <v>17</v>
      </c>
      <c r="K499" s="5" t="s">
        <v>11</v>
      </c>
      <c r="L499" s="6" cm="1">
        <f t="array" ref="L499">_xlfn.SWITCH(Table13_2[[#This Row],[Performance Score]],"A",6,"B",5,"C",4,"D",3,"E",2,"F",1)</f>
        <v>1</v>
      </c>
      <c r="M499" s="5">
        <f t="shared" si="7"/>
        <v>50000</v>
      </c>
    </row>
    <row r="500" spans="1:13" x14ac:dyDescent="0.3">
      <c r="A500" t="s">
        <v>67</v>
      </c>
      <c r="B500">
        <v>25</v>
      </c>
      <c r="C500">
        <v>50000</v>
      </c>
      <c r="D500" t="s">
        <v>19</v>
      </c>
      <c r="E500" t="s">
        <v>30</v>
      </c>
      <c r="F500" t="s">
        <v>40</v>
      </c>
      <c r="G500" s="2" t="s">
        <v>60</v>
      </c>
      <c r="H500" t="s">
        <v>38</v>
      </c>
      <c r="I500" t="s">
        <v>16</v>
      </c>
      <c r="J500" t="s">
        <v>17</v>
      </c>
      <c r="K500" s="5" t="s">
        <v>46</v>
      </c>
      <c r="L500" s="6" cm="1">
        <f t="array" ref="L500">_xlfn.SWITCH(Table13_2[[#This Row],[Performance Score]],"A",6,"B",5,"C",4,"D",3,"E",2,"F",1)</f>
        <v>5</v>
      </c>
      <c r="M500" s="5">
        <f t="shared" si="7"/>
        <v>50000</v>
      </c>
    </row>
    <row r="501" spans="1:13" x14ac:dyDescent="0.3">
      <c r="A501" t="s">
        <v>61</v>
      </c>
      <c r="B501" t="s">
        <v>63</v>
      </c>
      <c r="C501">
        <v>50000</v>
      </c>
      <c r="D501" t="s">
        <v>19</v>
      </c>
      <c r="E501" t="s">
        <v>13</v>
      </c>
      <c r="F501" t="s">
        <v>14</v>
      </c>
      <c r="G501" s="2" t="s">
        <v>62</v>
      </c>
      <c r="H501" t="s">
        <v>22</v>
      </c>
      <c r="I501" t="s">
        <v>39</v>
      </c>
      <c r="J501" t="s">
        <v>28</v>
      </c>
      <c r="K501" s="5" t="s">
        <v>36</v>
      </c>
      <c r="L501" s="6" cm="1">
        <f t="array" ref="L501">_xlfn.SWITCH(Table13_2[[#This Row],[Performance Score]],"A",6,"B",5,"C",4,"D",3,"E",2,"F",1)</f>
        <v>1</v>
      </c>
      <c r="M501" s="5">
        <f t="shared" si="7"/>
        <v>50000</v>
      </c>
    </row>
    <row r="502" spans="1:13" x14ac:dyDescent="0.3">
      <c r="A502" t="s">
        <v>67</v>
      </c>
      <c r="B502" t="s">
        <v>51</v>
      </c>
      <c r="C502">
        <v>50000</v>
      </c>
      <c r="D502" t="s">
        <v>12</v>
      </c>
      <c r="E502" t="s">
        <v>26</v>
      </c>
      <c r="F502" t="s">
        <v>40</v>
      </c>
      <c r="G502" s="2">
        <v>43881</v>
      </c>
      <c r="H502" t="s">
        <v>22</v>
      </c>
      <c r="I502" t="s">
        <v>32</v>
      </c>
      <c r="J502" t="s">
        <v>24</v>
      </c>
      <c r="K502" s="5" t="s">
        <v>46</v>
      </c>
      <c r="L502" s="6" cm="1">
        <f t="array" ref="L502">_xlfn.SWITCH(Table13_2[[#This Row],[Performance Score]],"A",6,"B",5,"C",4,"D",3,"E",2,"F",1)</f>
        <v>1</v>
      </c>
      <c r="M502" s="5">
        <f t="shared" si="7"/>
        <v>50000</v>
      </c>
    </row>
    <row r="503" spans="1:13" x14ac:dyDescent="0.3">
      <c r="A503" t="s">
        <v>66</v>
      </c>
      <c r="B503" t="s">
        <v>63</v>
      </c>
      <c r="C503">
        <v>50000</v>
      </c>
      <c r="D503" t="s">
        <v>34</v>
      </c>
      <c r="E503" t="s">
        <v>35</v>
      </c>
      <c r="F503" t="s">
        <v>41</v>
      </c>
      <c r="G503" s="2" t="s">
        <v>50</v>
      </c>
      <c r="H503" t="s">
        <v>22</v>
      </c>
      <c r="I503" t="s">
        <v>16</v>
      </c>
      <c r="J503" t="s">
        <v>42</v>
      </c>
      <c r="K503" s="5" t="s">
        <v>45</v>
      </c>
      <c r="L503" s="6" cm="1">
        <f t="array" ref="L503">_xlfn.SWITCH(Table13_2[[#This Row],[Performance Score]],"A",6,"B",5,"C",4,"D",3,"E",2,"F",1)</f>
        <v>1</v>
      </c>
      <c r="M503" s="5">
        <f t="shared" si="7"/>
        <v>50000</v>
      </c>
    </row>
    <row r="504" spans="1:13" x14ac:dyDescent="0.3">
      <c r="A504" t="s">
        <v>66</v>
      </c>
      <c r="B504">
        <v>25</v>
      </c>
      <c r="C504">
        <v>50000</v>
      </c>
      <c r="D504" t="s">
        <v>19</v>
      </c>
      <c r="E504" t="s">
        <v>26</v>
      </c>
      <c r="F504" t="s">
        <v>41</v>
      </c>
      <c r="G504" s="2" t="s">
        <v>55</v>
      </c>
      <c r="H504" t="s">
        <v>38</v>
      </c>
      <c r="I504" t="s">
        <v>16</v>
      </c>
      <c r="J504" t="s">
        <v>28</v>
      </c>
      <c r="K504" s="5" t="s">
        <v>45</v>
      </c>
      <c r="L504" s="6" cm="1">
        <f t="array" ref="L504">_xlfn.SWITCH(Table13_2[[#This Row],[Performance Score]],"A",6,"B",5,"C",4,"D",3,"E",2,"F",1)</f>
        <v>5</v>
      </c>
      <c r="M504" s="5">
        <f t="shared" si="7"/>
        <v>50000</v>
      </c>
    </row>
    <row r="505" spans="1:13" x14ac:dyDescent="0.3">
      <c r="A505" t="s">
        <v>52</v>
      </c>
      <c r="B505">
        <v>25</v>
      </c>
      <c r="C505">
        <v>55000</v>
      </c>
      <c r="D505" t="s">
        <v>12</v>
      </c>
      <c r="E505" t="s">
        <v>20</v>
      </c>
      <c r="F505" t="s">
        <v>21</v>
      </c>
      <c r="G505" s="2" t="s">
        <v>50</v>
      </c>
      <c r="H505" t="s">
        <v>15</v>
      </c>
      <c r="I505" t="s">
        <v>23</v>
      </c>
      <c r="J505" t="s">
        <v>24</v>
      </c>
      <c r="K505" s="5" t="s">
        <v>18</v>
      </c>
      <c r="L505" s="6" cm="1">
        <f t="array" ref="L505">_xlfn.SWITCH(Table13_2[[#This Row],[Performance Score]],"A",6,"B",5,"C",4,"D",3,"E",2,"F",1)</f>
        <v>3</v>
      </c>
      <c r="M505" s="5">
        <f t="shared" si="7"/>
        <v>55000</v>
      </c>
    </row>
    <row r="506" spans="1:13" x14ac:dyDescent="0.3">
      <c r="A506" t="s">
        <v>67</v>
      </c>
      <c r="B506">
        <v>40</v>
      </c>
      <c r="C506">
        <v>65000</v>
      </c>
      <c r="D506" t="s">
        <v>12</v>
      </c>
      <c r="E506" t="s">
        <v>35</v>
      </c>
      <c r="F506" t="s">
        <v>40</v>
      </c>
      <c r="G506" s="2">
        <v>43881</v>
      </c>
      <c r="H506" t="s">
        <v>38</v>
      </c>
      <c r="I506" t="s">
        <v>39</v>
      </c>
      <c r="J506" t="s">
        <v>24</v>
      </c>
      <c r="K506" s="5" t="s">
        <v>46</v>
      </c>
      <c r="L506" s="6" cm="1">
        <f t="array" ref="L506">_xlfn.SWITCH(Table13_2[[#This Row],[Performance Score]],"A",6,"B",5,"C",4,"D",3,"E",2,"F",1)</f>
        <v>5</v>
      </c>
      <c r="M506" s="5">
        <f t="shared" si="7"/>
        <v>65000</v>
      </c>
    </row>
    <row r="507" spans="1:13" x14ac:dyDescent="0.3">
      <c r="A507" t="s">
        <v>64</v>
      </c>
      <c r="B507">
        <v>35</v>
      </c>
      <c r="C507">
        <v>70000</v>
      </c>
      <c r="D507" t="s">
        <v>19</v>
      </c>
      <c r="E507" t="s">
        <v>35</v>
      </c>
      <c r="F507" t="s">
        <v>21</v>
      </c>
      <c r="G507" s="2" t="s">
        <v>60</v>
      </c>
      <c r="H507" t="s">
        <v>22</v>
      </c>
      <c r="I507" t="s">
        <v>32</v>
      </c>
      <c r="J507" t="s">
        <v>24</v>
      </c>
      <c r="K507" s="5" t="s">
        <v>43</v>
      </c>
      <c r="L507" s="6" cm="1">
        <f t="array" ref="L507">_xlfn.SWITCH(Table13_2[[#This Row],[Performance Score]],"A",6,"B",5,"C",4,"D",3,"E",2,"F",1)</f>
        <v>1</v>
      </c>
      <c r="M507" s="5">
        <f t="shared" si="7"/>
        <v>70000</v>
      </c>
    </row>
    <row r="508" spans="1:13" x14ac:dyDescent="0.3">
      <c r="A508" t="s">
        <v>61</v>
      </c>
      <c r="B508">
        <v>35</v>
      </c>
      <c r="C508">
        <v>50000</v>
      </c>
      <c r="D508" t="s">
        <v>34</v>
      </c>
      <c r="E508" t="s">
        <v>13</v>
      </c>
      <c r="F508" t="s">
        <v>37</v>
      </c>
      <c r="G508" s="2" t="s">
        <v>55</v>
      </c>
      <c r="H508" t="s">
        <v>27</v>
      </c>
      <c r="I508" t="s">
        <v>39</v>
      </c>
      <c r="J508" t="s">
        <v>28</v>
      </c>
      <c r="K508" s="5" t="s">
        <v>36</v>
      </c>
      <c r="L508" s="6" cm="1">
        <f t="array" ref="L508">_xlfn.SWITCH(Table13_2[[#This Row],[Performance Score]],"A",6,"B",5,"C",4,"D",3,"E",2,"F",1)</f>
        <v>4</v>
      </c>
      <c r="M508" s="5">
        <f t="shared" si="7"/>
        <v>50000</v>
      </c>
    </row>
    <row r="509" spans="1:13" x14ac:dyDescent="0.3">
      <c r="A509" t="s">
        <v>66</v>
      </c>
      <c r="B509" t="s">
        <v>63</v>
      </c>
      <c r="C509">
        <v>55000</v>
      </c>
      <c r="D509" t="s">
        <v>12</v>
      </c>
      <c r="E509" t="s">
        <v>20</v>
      </c>
      <c r="F509" t="s">
        <v>41</v>
      </c>
      <c r="G509" s="2" t="s">
        <v>55</v>
      </c>
      <c r="H509" t="s">
        <v>31</v>
      </c>
      <c r="I509" t="s">
        <v>23</v>
      </c>
      <c r="J509" t="s">
        <v>42</v>
      </c>
      <c r="K509" s="5" t="s">
        <v>45</v>
      </c>
      <c r="L509" s="6" cm="1">
        <f t="array" ref="L509">_xlfn.SWITCH(Table13_2[[#This Row],[Performance Score]],"A",6,"B",5,"C",4,"D",3,"E",2,"F",1)</f>
        <v>6</v>
      </c>
      <c r="M509" s="5">
        <f t="shared" si="7"/>
        <v>55000</v>
      </c>
    </row>
    <row r="510" spans="1:13" x14ac:dyDescent="0.3">
      <c r="A510" t="s">
        <v>52</v>
      </c>
      <c r="B510" t="s">
        <v>51</v>
      </c>
      <c r="C510">
        <v>55000</v>
      </c>
      <c r="D510" t="s">
        <v>34</v>
      </c>
      <c r="E510" t="s">
        <v>30</v>
      </c>
      <c r="F510" t="s">
        <v>21</v>
      </c>
      <c r="G510" s="2" t="s">
        <v>60</v>
      </c>
      <c r="H510" t="s">
        <v>22</v>
      </c>
      <c r="I510" t="s">
        <v>39</v>
      </c>
      <c r="J510" t="s">
        <v>42</v>
      </c>
      <c r="K510" s="5" t="s">
        <v>18</v>
      </c>
      <c r="L510" s="6" cm="1">
        <f t="array" ref="L510">_xlfn.SWITCH(Table13_2[[#This Row],[Performance Score]],"A",6,"B",5,"C",4,"D",3,"E",2,"F",1)</f>
        <v>1</v>
      </c>
      <c r="M510" s="5">
        <f t="shared" si="7"/>
        <v>55000</v>
      </c>
    </row>
    <row r="511" spans="1:13" x14ac:dyDescent="0.3">
      <c r="A511" t="s">
        <v>67</v>
      </c>
      <c r="B511">
        <v>50</v>
      </c>
      <c r="C511">
        <v>55000</v>
      </c>
      <c r="D511" t="s">
        <v>34</v>
      </c>
      <c r="E511" t="s">
        <v>13</v>
      </c>
      <c r="F511" t="s">
        <v>37</v>
      </c>
      <c r="G511" s="2" t="s">
        <v>50</v>
      </c>
      <c r="H511" t="s">
        <v>27</v>
      </c>
      <c r="I511" t="s">
        <v>16</v>
      </c>
      <c r="J511" t="s">
        <v>24</v>
      </c>
      <c r="K511" s="5" t="s">
        <v>46</v>
      </c>
      <c r="L511" s="6" cm="1">
        <f t="array" ref="L511">_xlfn.SWITCH(Table13_2[[#This Row],[Performance Score]],"A",6,"B",5,"C",4,"D",3,"E",2,"F",1)</f>
        <v>4</v>
      </c>
      <c r="M511" s="5">
        <f t="shared" si="7"/>
        <v>55000</v>
      </c>
    </row>
    <row r="512" spans="1:13" x14ac:dyDescent="0.3">
      <c r="A512" t="s">
        <v>61</v>
      </c>
      <c r="B512">
        <v>35</v>
      </c>
      <c r="C512">
        <v>65000</v>
      </c>
      <c r="D512" t="s">
        <v>34</v>
      </c>
      <c r="E512" t="s">
        <v>13</v>
      </c>
      <c r="F512" t="s">
        <v>21</v>
      </c>
      <c r="G512" s="2" t="s">
        <v>62</v>
      </c>
      <c r="H512" t="s">
        <v>15</v>
      </c>
      <c r="I512" t="s">
        <v>32</v>
      </c>
      <c r="J512" t="s">
        <v>28</v>
      </c>
      <c r="K512" s="5" t="s">
        <v>36</v>
      </c>
      <c r="L512" s="6" cm="1">
        <f t="array" ref="L512">_xlfn.SWITCH(Table13_2[[#This Row],[Performance Score]],"A",6,"B",5,"C",4,"D",3,"E",2,"F",1)</f>
        <v>3</v>
      </c>
      <c r="M512" s="5">
        <f t="shared" si="7"/>
        <v>65000</v>
      </c>
    </row>
    <row r="513" spans="1:13" x14ac:dyDescent="0.3">
      <c r="A513" t="s">
        <v>67</v>
      </c>
      <c r="B513">
        <v>40</v>
      </c>
      <c r="C513">
        <v>70000</v>
      </c>
      <c r="D513" t="s">
        <v>12</v>
      </c>
      <c r="E513" t="s">
        <v>26</v>
      </c>
      <c r="F513" t="s">
        <v>40</v>
      </c>
      <c r="G513" s="2" t="s">
        <v>50</v>
      </c>
      <c r="H513" t="s">
        <v>22</v>
      </c>
      <c r="I513" t="s">
        <v>39</v>
      </c>
      <c r="J513" t="s">
        <v>24</v>
      </c>
      <c r="K513" s="5" t="s">
        <v>46</v>
      </c>
      <c r="L513" s="6" cm="1">
        <f t="array" ref="L513">_xlfn.SWITCH(Table13_2[[#This Row],[Performance Score]],"A",6,"B",5,"C",4,"D",3,"E",2,"F",1)</f>
        <v>1</v>
      </c>
      <c r="M513" s="5">
        <f t="shared" si="7"/>
        <v>70000</v>
      </c>
    </row>
    <row r="514" spans="1:13" x14ac:dyDescent="0.3">
      <c r="A514" t="s">
        <v>49</v>
      </c>
      <c r="B514" t="s">
        <v>63</v>
      </c>
      <c r="C514">
        <v>65000</v>
      </c>
      <c r="D514" t="s">
        <v>34</v>
      </c>
      <c r="E514" t="s">
        <v>26</v>
      </c>
      <c r="F514" t="s">
        <v>40</v>
      </c>
      <c r="G514" s="2">
        <v>43881</v>
      </c>
      <c r="H514" t="s">
        <v>27</v>
      </c>
      <c r="I514" t="s">
        <v>23</v>
      </c>
      <c r="J514" t="s">
        <v>17</v>
      </c>
      <c r="K514" s="5" t="s">
        <v>11</v>
      </c>
      <c r="L514" s="6" cm="1">
        <f t="array" ref="L514">_xlfn.SWITCH(Table13_2[[#This Row],[Performance Score]],"A",6,"B",5,"C",4,"D",3,"E",2,"F",1)</f>
        <v>4</v>
      </c>
      <c r="M514" s="5">
        <f t="shared" si="7"/>
        <v>65000</v>
      </c>
    </row>
    <row r="515" spans="1:13" x14ac:dyDescent="0.3">
      <c r="A515" t="s">
        <v>52</v>
      </c>
      <c r="B515" t="s">
        <v>63</v>
      </c>
      <c r="C515">
        <v>60000</v>
      </c>
      <c r="D515" t="s">
        <v>12</v>
      </c>
      <c r="E515" t="s">
        <v>26</v>
      </c>
      <c r="F515" t="s">
        <v>40</v>
      </c>
      <c r="G515" s="2" t="s">
        <v>62</v>
      </c>
      <c r="H515" t="s">
        <v>22</v>
      </c>
      <c r="I515" t="s">
        <v>39</v>
      </c>
      <c r="J515" t="s">
        <v>42</v>
      </c>
      <c r="K515" s="5" t="s">
        <v>18</v>
      </c>
      <c r="L515" s="6" cm="1">
        <f t="array" ref="L515">_xlfn.SWITCH(Table13_2[[#This Row],[Performance Score]],"A",6,"B",5,"C",4,"D",3,"E",2,"F",1)</f>
        <v>1</v>
      </c>
      <c r="M515" s="5">
        <f t="shared" ref="M515:M578" si="8">IF(C515=0,AVERAGEIF($E$2:$E$1001,E515,$C$2:$C$1001),C515)</f>
        <v>60000</v>
      </c>
    </row>
    <row r="516" spans="1:13" x14ac:dyDescent="0.3">
      <c r="A516" t="s">
        <v>61</v>
      </c>
      <c r="B516">
        <v>50</v>
      </c>
      <c r="C516">
        <v>55000</v>
      </c>
      <c r="D516" t="s">
        <v>34</v>
      </c>
      <c r="E516" t="s">
        <v>13</v>
      </c>
      <c r="F516" t="s">
        <v>40</v>
      </c>
      <c r="G516" s="2" t="s">
        <v>50</v>
      </c>
      <c r="H516" t="s">
        <v>38</v>
      </c>
      <c r="I516" t="s">
        <v>16</v>
      </c>
      <c r="J516" t="s">
        <v>17</v>
      </c>
      <c r="K516" s="5" t="s">
        <v>36</v>
      </c>
      <c r="L516" s="6" cm="1">
        <f t="array" ref="L516">_xlfn.SWITCH(Table13_2[[#This Row],[Performance Score]],"A",6,"B",5,"C",4,"D",3,"E",2,"F",1)</f>
        <v>5</v>
      </c>
      <c r="M516" s="5">
        <f t="shared" si="8"/>
        <v>55000</v>
      </c>
    </row>
    <row r="517" spans="1:13" x14ac:dyDescent="0.3">
      <c r="A517" t="s">
        <v>59</v>
      </c>
      <c r="B517">
        <v>40</v>
      </c>
      <c r="C517">
        <v>60000</v>
      </c>
      <c r="D517" t="s">
        <v>12</v>
      </c>
      <c r="E517" t="s">
        <v>30</v>
      </c>
      <c r="F517" t="s">
        <v>14</v>
      </c>
      <c r="G517" s="2" t="s">
        <v>60</v>
      </c>
      <c r="H517" t="s">
        <v>27</v>
      </c>
      <c r="I517" t="s">
        <v>32</v>
      </c>
      <c r="J517" t="s">
        <v>24</v>
      </c>
      <c r="K517" s="5" t="s">
        <v>33</v>
      </c>
      <c r="L517" s="6" cm="1">
        <f t="array" ref="L517">_xlfn.SWITCH(Table13_2[[#This Row],[Performance Score]],"A",6,"B",5,"C",4,"D",3,"E",2,"F",1)</f>
        <v>4</v>
      </c>
      <c r="M517" s="5">
        <f t="shared" si="8"/>
        <v>60000</v>
      </c>
    </row>
    <row r="518" spans="1:13" x14ac:dyDescent="0.3">
      <c r="A518" t="s">
        <v>56</v>
      </c>
      <c r="B518" t="s">
        <v>51</v>
      </c>
      <c r="C518">
        <v>0</v>
      </c>
      <c r="D518" t="s">
        <v>34</v>
      </c>
      <c r="E518" t="s">
        <v>35</v>
      </c>
      <c r="F518" t="s">
        <v>37</v>
      </c>
      <c r="G518" s="2">
        <v>43881</v>
      </c>
      <c r="H518" t="s">
        <v>38</v>
      </c>
      <c r="I518" t="s">
        <v>39</v>
      </c>
      <c r="J518" t="s">
        <v>17</v>
      </c>
      <c r="K518" s="5" t="s">
        <v>29</v>
      </c>
      <c r="L518" s="6" cm="1">
        <f t="array" ref="L518">_xlfn.SWITCH(Table13_2[[#This Row],[Performance Score]],"A",6,"B",5,"C",4,"D",3,"E",2,"F",1)</f>
        <v>5</v>
      </c>
      <c r="M518" s="5">
        <f t="shared" si="8"/>
        <v>49144.385026737968</v>
      </c>
    </row>
    <row r="519" spans="1:13" x14ac:dyDescent="0.3">
      <c r="A519" t="s">
        <v>56</v>
      </c>
      <c r="B519">
        <v>40</v>
      </c>
      <c r="C519">
        <v>50000</v>
      </c>
      <c r="D519" t="s">
        <v>19</v>
      </c>
      <c r="E519" t="s">
        <v>26</v>
      </c>
      <c r="F519" t="s">
        <v>37</v>
      </c>
      <c r="G519" s="2">
        <v>43881</v>
      </c>
      <c r="H519" t="s">
        <v>38</v>
      </c>
      <c r="I519" t="s">
        <v>39</v>
      </c>
      <c r="J519" t="s">
        <v>42</v>
      </c>
      <c r="K519" s="5" t="s">
        <v>29</v>
      </c>
      <c r="L519" s="6" cm="1">
        <f t="array" ref="L519">_xlfn.SWITCH(Table13_2[[#This Row],[Performance Score]],"A",6,"B",5,"C",4,"D",3,"E",2,"F",1)</f>
        <v>5</v>
      </c>
      <c r="M519" s="5">
        <f t="shared" si="8"/>
        <v>50000</v>
      </c>
    </row>
    <row r="520" spans="1:13" x14ac:dyDescent="0.3">
      <c r="A520" t="s">
        <v>61</v>
      </c>
      <c r="B520" t="s">
        <v>51</v>
      </c>
      <c r="C520">
        <v>50000</v>
      </c>
      <c r="D520" t="s">
        <v>34</v>
      </c>
      <c r="E520" t="s">
        <v>30</v>
      </c>
      <c r="F520" t="s">
        <v>40</v>
      </c>
      <c r="G520" s="2">
        <v>43881</v>
      </c>
      <c r="H520" t="s">
        <v>27</v>
      </c>
      <c r="I520" t="s">
        <v>16</v>
      </c>
      <c r="J520" t="s">
        <v>28</v>
      </c>
      <c r="K520" s="5" t="s">
        <v>36</v>
      </c>
      <c r="L520" s="6" cm="1">
        <f t="array" ref="L520">_xlfn.SWITCH(Table13_2[[#This Row],[Performance Score]],"A",6,"B",5,"C",4,"D",3,"E",2,"F",1)</f>
        <v>4</v>
      </c>
      <c r="M520" s="5">
        <f t="shared" si="8"/>
        <v>50000</v>
      </c>
    </row>
    <row r="521" spans="1:13" x14ac:dyDescent="0.3">
      <c r="A521" t="s">
        <v>67</v>
      </c>
      <c r="B521">
        <v>40</v>
      </c>
      <c r="C521">
        <v>65000</v>
      </c>
      <c r="D521" t="s">
        <v>34</v>
      </c>
      <c r="E521" t="s">
        <v>20</v>
      </c>
      <c r="F521" t="s">
        <v>14</v>
      </c>
      <c r="G521" s="2" t="s">
        <v>62</v>
      </c>
      <c r="H521" t="s">
        <v>31</v>
      </c>
      <c r="I521" t="s">
        <v>39</v>
      </c>
      <c r="J521" t="s">
        <v>42</v>
      </c>
      <c r="K521" s="5" t="s">
        <v>46</v>
      </c>
      <c r="L521" s="6" cm="1">
        <f t="array" ref="L521">_xlfn.SWITCH(Table13_2[[#This Row],[Performance Score]],"A",6,"B",5,"C",4,"D",3,"E",2,"F",1)</f>
        <v>6</v>
      </c>
      <c r="M521" s="5">
        <f t="shared" si="8"/>
        <v>65000</v>
      </c>
    </row>
    <row r="522" spans="1:13" x14ac:dyDescent="0.3">
      <c r="A522" t="s">
        <v>52</v>
      </c>
      <c r="B522">
        <v>40</v>
      </c>
      <c r="C522">
        <v>70000</v>
      </c>
      <c r="D522" t="s">
        <v>12</v>
      </c>
      <c r="E522" t="s">
        <v>26</v>
      </c>
      <c r="F522" t="s">
        <v>40</v>
      </c>
      <c r="G522" s="2" t="s">
        <v>55</v>
      </c>
      <c r="H522" t="s">
        <v>27</v>
      </c>
      <c r="I522" t="s">
        <v>23</v>
      </c>
      <c r="J522" t="s">
        <v>28</v>
      </c>
      <c r="K522" s="5" t="s">
        <v>18</v>
      </c>
      <c r="L522" s="6" cm="1">
        <f t="array" ref="L522">_xlfn.SWITCH(Table13_2[[#This Row],[Performance Score]],"A",6,"B",5,"C",4,"D",3,"E",2,"F",1)</f>
        <v>4</v>
      </c>
      <c r="M522" s="5">
        <f t="shared" si="8"/>
        <v>70000</v>
      </c>
    </row>
    <row r="523" spans="1:13" x14ac:dyDescent="0.3">
      <c r="A523" t="s">
        <v>56</v>
      </c>
      <c r="B523">
        <v>25</v>
      </c>
      <c r="C523">
        <v>60000</v>
      </c>
      <c r="D523" t="s">
        <v>12</v>
      </c>
      <c r="E523" t="s">
        <v>35</v>
      </c>
      <c r="F523" t="s">
        <v>14</v>
      </c>
      <c r="G523" s="2" t="s">
        <v>62</v>
      </c>
      <c r="H523" t="s">
        <v>31</v>
      </c>
      <c r="I523" t="s">
        <v>39</v>
      </c>
      <c r="J523" t="s">
        <v>28</v>
      </c>
      <c r="K523" s="5" t="s">
        <v>29</v>
      </c>
      <c r="L523" s="6" cm="1">
        <f t="array" ref="L523">_xlfn.SWITCH(Table13_2[[#This Row],[Performance Score]],"A",6,"B",5,"C",4,"D",3,"E",2,"F",1)</f>
        <v>6</v>
      </c>
      <c r="M523" s="5">
        <f t="shared" si="8"/>
        <v>60000</v>
      </c>
    </row>
    <row r="524" spans="1:13" x14ac:dyDescent="0.3">
      <c r="A524" t="s">
        <v>52</v>
      </c>
      <c r="B524" t="s">
        <v>63</v>
      </c>
      <c r="C524">
        <v>70000</v>
      </c>
      <c r="D524" t="s">
        <v>34</v>
      </c>
      <c r="E524" t="s">
        <v>20</v>
      </c>
      <c r="F524" t="s">
        <v>40</v>
      </c>
      <c r="G524" s="2" t="s">
        <v>50</v>
      </c>
      <c r="H524" t="s">
        <v>22</v>
      </c>
      <c r="I524" t="s">
        <v>39</v>
      </c>
      <c r="J524" t="s">
        <v>24</v>
      </c>
      <c r="K524" s="5" t="s">
        <v>18</v>
      </c>
      <c r="L524" s="6" cm="1">
        <f t="array" ref="L524">_xlfn.SWITCH(Table13_2[[#This Row],[Performance Score]],"A",6,"B",5,"C",4,"D",3,"E",2,"F",1)</f>
        <v>1</v>
      </c>
      <c r="M524" s="5">
        <f t="shared" si="8"/>
        <v>70000</v>
      </c>
    </row>
    <row r="525" spans="1:13" x14ac:dyDescent="0.3">
      <c r="A525" t="s">
        <v>56</v>
      </c>
      <c r="B525">
        <v>40</v>
      </c>
      <c r="C525">
        <v>65000</v>
      </c>
      <c r="D525" t="s">
        <v>19</v>
      </c>
      <c r="E525" t="s">
        <v>20</v>
      </c>
      <c r="F525" t="s">
        <v>41</v>
      </c>
      <c r="G525" s="2" t="s">
        <v>55</v>
      </c>
      <c r="H525" t="s">
        <v>22</v>
      </c>
      <c r="I525" t="s">
        <v>39</v>
      </c>
      <c r="J525" t="s">
        <v>24</v>
      </c>
      <c r="K525" s="5" t="s">
        <v>29</v>
      </c>
      <c r="L525" s="6" cm="1">
        <f t="array" ref="L525">_xlfn.SWITCH(Table13_2[[#This Row],[Performance Score]],"A",6,"B",5,"C",4,"D",3,"E",2,"F",1)</f>
        <v>1</v>
      </c>
      <c r="M525" s="5">
        <f t="shared" si="8"/>
        <v>65000</v>
      </c>
    </row>
    <row r="526" spans="1:13" x14ac:dyDescent="0.3">
      <c r="A526" t="s">
        <v>49</v>
      </c>
      <c r="B526">
        <v>50</v>
      </c>
      <c r="C526">
        <v>50000</v>
      </c>
      <c r="D526" t="s">
        <v>19</v>
      </c>
      <c r="E526" t="s">
        <v>35</v>
      </c>
      <c r="F526" t="s">
        <v>41</v>
      </c>
      <c r="G526" s="2" t="s">
        <v>50</v>
      </c>
      <c r="H526" t="s">
        <v>27</v>
      </c>
      <c r="I526" t="s">
        <v>16</v>
      </c>
      <c r="J526" t="s">
        <v>42</v>
      </c>
      <c r="K526" s="5" t="s">
        <v>11</v>
      </c>
      <c r="L526" s="6" cm="1">
        <f t="array" ref="L526">_xlfn.SWITCH(Table13_2[[#This Row],[Performance Score]],"A",6,"B",5,"C",4,"D",3,"E",2,"F",1)</f>
        <v>4</v>
      </c>
      <c r="M526" s="5">
        <f t="shared" si="8"/>
        <v>50000</v>
      </c>
    </row>
    <row r="527" spans="1:13" x14ac:dyDescent="0.3">
      <c r="A527" t="s">
        <v>67</v>
      </c>
      <c r="B527">
        <v>40</v>
      </c>
      <c r="C527">
        <v>70000</v>
      </c>
      <c r="D527" t="s">
        <v>12</v>
      </c>
      <c r="E527" t="s">
        <v>26</v>
      </c>
      <c r="F527" t="s">
        <v>21</v>
      </c>
      <c r="G527" s="2" t="s">
        <v>55</v>
      </c>
      <c r="H527" t="s">
        <v>22</v>
      </c>
      <c r="I527" t="s">
        <v>16</v>
      </c>
      <c r="J527" t="s">
        <v>17</v>
      </c>
      <c r="K527" s="5" t="s">
        <v>46</v>
      </c>
      <c r="L527" s="6" cm="1">
        <f t="array" ref="L527">_xlfn.SWITCH(Table13_2[[#This Row],[Performance Score]],"A",6,"B",5,"C",4,"D",3,"E",2,"F",1)</f>
        <v>1</v>
      </c>
      <c r="M527" s="5">
        <f t="shared" si="8"/>
        <v>70000</v>
      </c>
    </row>
    <row r="528" spans="1:13" x14ac:dyDescent="0.3">
      <c r="A528" t="s">
        <v>49</v>
      </c>
      <c r="B528">
        <v>35</v>
      </c>
      <c r="C528">
        <v>70000</v>
      </c>
      <c r="D528" t="s">
        <v>19</v>
      </c>
      <c r="E528" t="s">
        <v>13</v>
      </c>
      <c r="F528" t="s">
        <v>40</v>
      </c>
      <c r="G528" s="2" t="s">
        <v>62</v>
      </c>
      <c r="H528" t="s">
        <v>15</v>
      </c>
      <c r="I528" t="s">
        <v>23</v>
      </c>
      <c r="J528" t="s">
        <v>42</v>
      </c>
      <c r="K528" s="5" t="s">
        <v>11</v>
      </c>
      <c r="L528" s="6" cm="1">
        <f t="array" ref="L528">_xlfn.SWITCH(Table13_2[[#This Row],[Performance Score]],"A",6,"B",5,"C",4,"D",3,"E",2,"F",1)</f>
        <v>3</v>
      </c>
      <c r="M528" s="5">
        <f t="shared" si="8"/>
        <v>70000</v>
      </c>
    </row>
    <row r="529" spans="1:13" x14ac:dyDescent="0.3">
      <c r="A529" t="s">
        <v>56</v>
      </c>
      <c r="B529" t="s">
        <v>63</v>
      </c>
      <c r="C529">
        <v>50000</v>
      </c>
      <c r="D529" t="s">
        <v>34</v>
      </c>
      <c r="E529" t="s">
        <v>35</v>
      </c>
      <c r="F529" t="s">
        <v>37</v>
      </c>
      <c r="G529" s="2">
        <v>43881</v>
      </c>
      <c r="H529" t="s">
        <v>38</v>
      </c>
      <c r="I529" t="s">
        <v>39</v>
      </c>
      <c r="J529" t="s">
        <v>17</v>
      </c>
      <c r="K529" s="5" t="s">
        <v>29</v>
      </c>
      <c r="L529" s="6" cm="1">
        <f t="array" ref="L529">_xlfn.SWITCH(Table13_2[[#This Row],[Performance Score]],"A",6,"B",5,"C",4,"D",3,"E",2,"F",1)</f>
        <v>5</v>
      </c>
      <c r="M529" s="5">
        <f t="shared" si="8"/>
        <v>50000</v>
      </c>
    </row>
    <row r="530" spans="1:13" x14ac:dyDescent="0.3">
      <c r="A530" t="s">
        <v>59</v>
      </c>
      <c r="B530">
        <v>35</v>
      </c>
      <c r="C530">
        <v>60000</v>
      </c>
      <c r="D530" t="s">
        <v>12</v>
      </c>
      <c r="E530" t="s">
        <v>35</v>
      </c>
      <c r="F530" t="s">
        <v>21</v>
      </c>
      <c r="G530" s="2" t="s">
        <v>60</v>
      </c>
      <c r="H530" t="s">
        <v>38</v>
      </c>
      <c r="I530" t="s">
        <v>16</v>
      </c>
      <c r="J530" t="s">
        <v>28</v>
      </c>
      <c r="K530" s="5" t="s">
        <v>33</v>
      </c>
      <c r="L530" s="6" cm="1">
        <f t="array" ref="L530">_xlfn.SWITCH(Table13_2[[#This Row],[Performance Score]],"A",6,"B",5,"C",4,"D",3,"E",2,"F",1)</f>
        <v>5</v>
      </c>
      <c r="M530" s="5">
        <f t="shared" si="8"/>
        <v>60000</v>
      </c>
    </row>
    <row r="531" spans="1:13" x14ac:dyDescent="0.3">
      <c r="A531" t="s">
        <v>59</v>
      </c>
      <c r="B531" t="s">
        <v>63</v>
      </c>
      <c r="C531">
        <v>50000</v>
      </c>
      <c r="D531" t="s">
        <v>34</v>
      </c>
      <c r="E531" t="s">
        <v>35</v>
      </c>
      <c r="F531" t="s">
        <v>41</v>
      </c>
      <c r="G531" s="2">
        <v>43881</v>
      </c>
      <c r="H531" t="s">
        <v>31</v>
      </c>
      <c r="I531" t="s">
        <v>23</v>
      </c>
      <c r="J531" t="s">
        <v>28</v>
      </c>
      <c r="K531" s="5" t="s">
        <v>33</v>
      </c>
      <c r="L531" s="6" cm="1">
        <f t="array" ref="L531">_xlfn.SWITCH(Table13_2[[#This Row],[Performance Score]],"A",6,"B",5,"C",4,"D",3,"E",2,"F",1)</f>
        <v>6</v>
      </c>
      <c r="M531" s="5">
        <f t="shared" si="8"/>
        <v>50000</v>
      </c>
    </row>
    <row r="532" spans="1:13" x14ac:dyDescent="0.3">
      <c r="A532" t="s">
        <v>49</v>
      </c>
      <c r="B532">
        <v>35</v>
      </c>
      <c r="C532">
        <v>70000</v>
      </c>
      <c r="D532" t="s">
        <v>12</v>
      </c>
      <c r="E532" t="s">
        <v>20</v>
      </c>
      <c r="F532" t="s">
        <v>40</v>
      </c>
      <c r="G532" s="2" t="s">
        <v>62</v>
      </c>
      <c r="H532" t="s">
        <v>22</v>
      </c>
      <c r="I532" t="s">
        <v>23</v>
      </c>
      <c r="J532" t="s">
        <v>24</v>
      </c>
      <c r="K532" s="5" t="s">
        <v>11</v>
      </c>
      <c r="L532" s="6" cm="1">
        <f t="array" ref="L532">_xlfn.SWITCH(Table13_2[[#This Row],[Performance Score]],"A",6,"B",5,"C",4,"D",3,"E",2,"F",1)</f>
        <v>1</v>
      </c>
      <c r="M532" s="5">
        <f t="shared" si="8"/>
        <v>70000</v>
      </c>
    </row>
    <row r="533" spans="1:13" x14ac:dyDescent="0.3">
      <c r="A533" t="s">
        <v>59</v>
      </c>
      <c r="B533">
        <v>40</v>
      </c>
      <c r="C533">
        <v>60000</v>
      </c>
      <c r="D533" t="s">
        <v>12</v>
      </c>
      <c r="E533" t="s">
        <v>30</v>
      </c>
      <c r="F533" t="s">
        <v>21</v>
      </c>
      <c r="G533" s="2" t="s">
        <v>55</v>
      </c>
      <c r="H533" t="s">
        <v>31</v>
      </c>
      <c r="I533" t="s">
        <v>39</v>
      </c>
      <c r="J533" t="s">
        <v>17</v>
      </c>
      <c r="K533" s="5" t="s">
        <v>33</v>
      </c>
      <c r="L533" s="6" cm="1">
        <f t="array" ref="L533">_xlfn.SWITCH(Table13_2[[#This Row],[Performance Score]],"A",6,"B",5,"C",4,"D",3,"E",2,"F",1)</f>
        <v>6</v>
      </c>
      <c r="M533" s="5">
        <f t="shared" si="8"/>
        <v>60000</v>
      </c>
    </row>
    <row r="534" spans="1:13" x14ac:dyDescent="0.3">
      <c r="A534" t="s">
        <v>56</v>
      </c>
      <c r="B534">
        <v>40</v>
      </c>
      <c r="C534">
        <v>60000</v>
      </c>
      <c r="D534" t="s">
        <v>12</v>
      </c>
      <c r="E534" t="s">
        <v>13</v>
      </c>
      <c r="F534" t="s">
        <v>40</v>
      </c>
      <c r="G534" s="2">
        <v>43881</v>
      </c>
      <c r="H534" t="s">
        <v>38</v>
      </c>
      <c r="I534" t="s">
        <v>32</v>
      </c>
      <c r="J534" t="s">
        <v>24</v>
      </c>
      <c r="K534" s="5" t="s">
        <v>29</v>
      </c>
      <c r="L534" s="6" cm="1">
        <f t="array" ref="L534">_xlfn.SWITCH(Table13_2[[#This Row],[Performance Score]],"A",6,"B",5,"C",4,"D",3,"E",2,"F",1)</f>
        <v>5</v>
      </c>
      <c r="M534" s="5">
        <f t="shared" si="8"/>
        <v>60000</v>
      </c>
    </row>
    <row r="535" spans="1:13" x14ac:dyDescent="0.3">
      <c r="A535" t="s">
        <v>61</v>
      </c>
      <c r="B535">
        <v>25</v>
      </c>
      <c r="C535">
        <v>50000</v>
      </c>
      <c r="D535" t="s">
        <v>12</v>
      </c>
      <c r="E535" t="s">
        <v>26</v>
      </c>
      <c r="F535" t="s">
        <v>41</v>
      </c>
      <c r="G535" s="2" t="s">
        <v>62</v>
      </c>
      <c r="H535" t="s">
        <v>38</v>
      </c>
      <c r="I535" t="s">
        <v>39</v>
      </c>
      <c r="J535" t="s">
        <v>17</v>
      </c>
      <c r="K535" s="5" t="s">
        <v>36</v>
      </c>
      <c r="L535" s="6" cm="1">
        <f t="array" ref="L535">_xlfn.SWITCH(Table13_2[[#This Row],[Performance Score]],"A",6,"B",5,"C",4,"D",3,"E",2,"F",1)</f>
        <v>5</v>
      </c>
      <c r="M535" s="5">
        <f t="shared" si="8"/>
        <v>50000</v>
      </c>
    </row>
    <row r="536" spans="1:13" x14ac:dyDescent="0.3">
      <c r="A536" t="s">
        <v>49</v>
      </c>
      <c r="B536">
        <v>50</v>
      </c>
      <c r="C536">
        <v>70000</v>
      </c>
      <c r="D536" t="s">
        <v>19</v>
      </c>
      <c r="E536" t="s">
        <v>26</v>
      </c>
      <c r="F536" t="s">
        <v>21</v>
      </c>
      <c r="G536" s="2" t="s">
        <v>50</v>
      </c>
      <c r="H536" t="s">
        <v>22</v>
      </c>
      <c r="I536" t="s">
        <v>32</v>
      </c>
      <c r="J536" t="s">
        <v>42</v>
      </c>
      <c r="K536" s="5" t="s">
        <v>11</v>
      </c>
      <c r="L536" s="6" cm="1">
        <f t="array" ref="L536">_xlfn.SWITCH(Table13_2[[#This Row],[Performance Score]],"A",6,"B",5,"C",4,"D",3,"E",2,"F",1)</f>
        <v>1</v>
      </c>
      <c r="M536" s="5">
        <f t="shared" si="8"/>
        <v>70000</v>
      </c>
    </row>
    <row r="537" spans="1:13" x14ac:dyDescent="0.3">
      <c r="A537" t="s">
        <v>65</v>
      </c>
      <c r="B537">
        <v>35</v>
      </c>
      <c r="C537">
        <v>65000</v>
      </c>
      <c r="D537" t="s">
        <v>34</v>
      </c>
      <c r="E537" t="s">
        <v>30</v>
      </c>
      <c r="F537" t="s">
        <v>41</v>
      </c>
      <c r="G537" s="2" t="s">
        <v>60</v>
      </c>
      <c r="H537" t="s">
        <v>15</v>
      </c>
      <c r="I537" t="s">
        <v>23</v>
      </c>
      <c r="J537" t="s">
        <v>42</v>
      </c>
      <c r="K537" s="5" t="s">
        <v>44</v>
      </c>
      <c r="L537" s="6" cm="1">
        <f t="array" ref="L537">_xlfn.SWITCH(Table13_2[[#This Row],[Performance Score]],"A",6,"B",5,"C",4,"D",3,"E",2,"F",1)</f>
        <v>3</v>
      </c>
      <c r="M537" s="5">
        <f t="shared" si="8"/>
        <v>65000</v>
      </c>
    </row>
    <row r="538" spans="1:13" x14ac:dyDescent="0.3">
      <c r="A538" t="s">
        <v>67</v>
      </c>
      <c r="B538" t="s">
        <v>51</v>
      </c>
      <c r="C538">
        <v>70000</v>
      </c>
      <c r="D538" t="s">
        <v>34</v>
      </c>
      <c r="E538" t="s">
        <v>35</v>
      </c>
      <c r="F538" t="s">
        <v>14</v>
      </c>
      <c r="G538" s="2">
        <v>43881</v>
      </c>
      <c r="H538" t="s">
        <v>15</v>
      </c>
      <c r="I538" t="s">
        <v>16</v>
      </c>
      <c r="J538" t="s">
        <v>17</v>
      </c>
      <c r="K538" s="5" t="s">
        <v>46</v>
      </c>
      <c r="L538" s="6" cm="1">
        <f t="array" ref="L538">_xlfn.SWITCH(Table13_2[[#This Row],[Performance Score]],"A",6,"B",5,"C",4,"D",3,"E",2,"F",1)</f>
        <v>3</v>
      </c>
      <c r="M538" s="5">
        <f t="shared" si="8"/>
        <v>70000</v>
      </c>
    </row>
    <row r="539" spans="1:13" x14ac:dyDescent="0.3">
      <c r="A539" t="s">
        <v>59</v>
      </c>
      <c r="B539">
        <v>25</v>
      </c>
      <c r="C539">
        <v>55000</v>
      </c>
      <c r="D539" t="s">
        <v>34</v>
      </c>
      <c r="E539" t="s">
        <v>13</v>
      </c>
      <c r="F539" t="s">
        <v>41</v>
      </c>
      <c r="G539" s="2" t="s">
        <v>55</v>
      </c>
      <c r="H539" t="s">
        <v>22</v>
      </c>
      <c r="I539" t="s">
        <v>39</v>
      </c>
      <c r="J539" t="s">
        <v>24</v>
      </c>
      <c r="K539" s="5" t="s">
        <v>33</v>
      </c>
      <c r="L539" s="6" cm="1">
        <f t="array" ref="L539">_xlfn.SWITCH(Table13_2[[#This Row],[Performance Score]],"A",6,"B",5,"C",4,"D",3,"E",2,"F",1)</f>
        <v>1</v>
      </c>
      <c r="M539" s="5">
        <f t="shared" si="8"/>
        <v>55000</v>
      </c>
    </row>
    <row r="540" spans="1:13" x14ac:dyDescent="0.3">
      <c r="A540" t="s">
        <v>59</v>
      </c>
      <c r="B540">
        <v>35</v>
      </c>
      <c r="C540">
        <v>0</v>
      </c>
      <c r="D540" t="s">
        <v>12</v>
      </c>
      <c r="E540" t="s">
        <v>26</v>
      </c>
      <c r="F540" t="s">
        <v>40</v>
      </c>
      <c r="G540" s="2" t="s">
        <v>50</v>
      </c>
      <c r="H540" t="s">
        <v>22</v>
      </c>
      <c r="I540" t="s">
        <v>23</v>
      </c>
      <c r="J540" t="s">
        <v>24</v>
      </c>
      <c r="K540" s="5" t="s">
        <v>33</v>
      </c>
      <c r="L540" s="6" cm="1">
        <f t="array" ref="L540">_xlfn.SWITCH(Table13_2[[#This Row],[Performance Score]],"A",6,"B",5,"C",4,"D",3,"E",2,"F",1)</f>
        <v>1</v>
      </c>
      <c r="M540" s="5">
        <f t="shared" si="8"/>
        <v>50742.574257425746</v>
      </c>
    </row>
    <row r="541" spans="1:13" x14ac:dyDescent="0.3">
      <c r="A541" t="s">
        <v>66</v>
      </c>
      <c r="B541">
        <v>35</v>
      </c>
      <c r="C541">
        <v>65000</v>
      </c>
      <c r="D541" t="s">
        <v>19</v>
      </c>
      <c r="E541" t="s">
        <v>26</v>
      </c>
      <c r="F541" t="s">
        <v>37</v>
      </c>
      <c r="G541" s="2" t="s">
        <v>62</v>
      </c>
      <c r="H541" t="s">
        <v>31</v>
      </c>
      <c r="I541" t="s">
        <v>16</v>
      </c>
      <c r="J541" t="s">
        <v>17</v>
      </c>
      <c r="K541" s="5" t="s">
        <v>45</v>
      </c>
      <c r="L541" s="6" cm="1">
        <f t="array" ref="L541">_xlfn.SWITCH(Table13_2[[#This Row],[Performance Score]],"A",6,"B",5,"C",4,"D",3,"E",2,"F",1)</f>
        <v>6</v>
      </c>
      <c r="M541" s="5">
        <f t="shared" si="8"/>
        <v>65000</v>
      </c>
    </row>
    <row r="542" spans="1:13" x14ac:dyDescent="0.3">
      <c r="A542" t="s">
        <v>64</v>
      </c>
      <c r="B542">
        <v>25</v>
      </c>
      <c r="C542">
        <v>60000</v>
      </c>
      <c r="D542" t="s">
        <v>34</v>
      </c>
      <c r="E542" t="s">
        <v>35</v>
      </c>
      <c r="F542" t="s">
        <v>41</v>
      </c>
      <c r="G542" s="2" t="s">
        <v>60</v>
      </c>
      <c r="H542" t="s">
        <v>22</v>
      </c>
      <c r="I542" t="s">
        <v>23</v>
      </c>
      <c r="J542" t="s">
        <v>42</v>
      </c>
      <c r="K542" s="5" t="s">
        <v>43</v>
      </c>
      <c r="L542" s="6" cm="1">
        <f t="array" ref="L542">_xlfn.SWITCH(Table13_2[[#This Row],[Performance Score]],"A",6,"B",5,"C",4,"D",3,"E",2,"F",1)</f>
        <v>1</v>
      </c>
      <c r="M542" s="5">
        <f t="shared" si="8"/>
        <v>60000</v>
      </c>
    </row>
    <row r="543" spans="1:13" x14ac:dyDescent="0.3">
      <c r="A543" t="s">
        <v>49</v>
      </c>
      <c r="B543">
        <v>40</v>
      </c>
      <c r="C543">
        <v>65000</v>
      </c>
      <c r="D543" t="s">
        <v>19</v>
      </c>
      <c r="E543" t="s">
        <v>30</v>
      </c>
      <c r="F543" t="s">
        <v>37</v>
      </c>
      <c r="G543" s="2" t="s">
        <v>55</v>
      </c>
      <c r="H543" t="s">
        <v>15</v>
      </c>
      <c r="I543" t="s">
        <v>39</v>
      </c>
      <c r="J543" t="s">
        <v>24</v>
      </c>
      <c r="K543" s="5" t="s">
        <v>11</v>
      </c>
      <c r="L543" s="6" cm="1">
        <f t="array" ref="L543">_xlfn.SWITCH(Table13_2[[#This Row],[Performance Score]],"A",6,"B",5,"C",4,"D",3,"E",2,"F",1)</f>
        <v>3</v>
      </c>
      <c r="M543" s="5">
        <f t="shared" si="8"/>
        <v>65000</v>
      </c>
    </row>
    <row r="544" spans="1:13" x14ac:dyDescent="0.3">
      <c r="A544" t="s">
        <v>53</v>
      </c>
      <c r="B544">
        <v>35</v>
      </c>
      <c r="C544">
        <v>60000</v>
      </c>
      <c r="D544" t="s">
        <v>12</v>
      </c>
      <c r="E544" t="s">
        <v>13</v>
      </c>
      <c r="F544" t="s">
        <v>14</v>
      </c>
      <c r="G544" s="2" t="s">
        <v>62</v>
      </c>
      <c r="H544" t="s">
        <v>22</v>
      </c>
      <c r="I544" t="s">
        <v>32</v>
      </c>
      <c r="J544" t="s">
        <v>17</v>
      </c>
      <c r="K544" s="5" t="s">
        <v>25</v>
      </c>
      <c r="L544" s="6" cm="1">
        <f t="array" ref="L544">_xlfn.SWITCH(Table13_2[[#This Row],[Performance Score]],"A",6,"B",5,"C",4,"D",3,"E",2,"F",1)</f>
        <v>1</v>
      </c>
      <c r="M544" s="5">
        <f t="shared" si="8"/>
        <v>60000</v>
      </c>
    </row>
    <row r="545" spans="1:13" x14ac:dyDescent="0.3">
      <c r="A545" t="s">
        <v>59</v>
      </c>
      <c r="B545">
        <v>40</v>
      </c>
      <c r="C545">
        <v>60000</v>
      </c>
      <c r="D545" t="s">
        <v>34</v>
      </c>
      <c r="E545" t="s">
        <v>30</v>
      </c>
      <c r="F545" t="s">
        <v>21</v>
      </c>
      <c r="G545" s="2" t="s">
        <v>62</v>
      </c>
      <c r="H545" t="s">
        <v>31</v>
      </c>
      <c r="I545" t="s">
        <v>23</v>
      </c>
      <c r="J545" t="s">
        <v>42</v>
      </c>
      <c r="K545" s="5" t="s">
        <v>33</v>
      </c>
      <c r="L545" s="6" cm="1">
        <f t="array" ref="L545">_xlfn.SWITCH(Table13_2[[#This Row],[Performance Score]],"A",6,"B",5,"C",4,"D",3,"E",2,"F",1)</f>
        <v>6</v>
      </c>
      <c r="M545" s="5">
        <f t="shared" si="8"/>
        <v>60000</v>
      </c>
    </row>
    <row r="546" spans="1:13" x14ac:dyDescent="0.3">
      <c r="A546" t="s">
        <v>67</v>
      </c>
      <c r="B546">
        <v>25</v>
      </c>
      <c r="C546">
        <v>65000</v>
      </c>
      <c r="D546" t="s">
        <v>19</v>
      </c>
      <c r="E546" t="s">
        <v>30</v>
      </c>
      <c r="F546" t="s">
        <v>21</v>
      </c>
      <c r="G546" s="2">
        <v>43881</v>
      </c>
      <c r="H546" t="s">
        <v>31</v>
      </c>
      <c r="I546" t="s">
        <v>16</v>
      </c>
      <c r="J546" t="s">
        <v>17</v>
      </c>
      <c r="K546" s="5" t="s">
        <v>46</v>
      </c>
      <c r="L546" s="6" cm="1">
        <f t="array" ref="L546">_xlfn.SWITCH(Table13_2[[#This Row],[Performance Score]],"A",6,"B",5,"C",4,"D",3,"E",2,"F",1)</f>
        <v>6</v>
      </c>
      <c r="M546" s="5">
        <f t="shared" si="8"/>
        <v>65000</v>
      </c>
    </row>
    <row r="547" spans="1:13" x14ac:dyDescent="0.3">
      <c r="A547" t="s">
        <v>65</v>
      </c>
      <c r="B547">
        <v>40</v>
      </c>
      <c r="C547">
        <v>60000</v>
      </c>
      <c r="D547" t="s">
        <v>12</v>
      </c>
      <c r="E547" t="s">
        <v>13</v>
      </c>
      <c r="F547" t="s">
        <v>37</v>
      </c>
      <c r="G547" s="2">
        <v>43881</v>
      </c>
      <c r="H547" t="s">
        <v>31</v>
      </c>
      <c r="I547" t="s">
        <v>39</v>
      </c>
      <c r="J547" t="s">
        <v>17</v>
      </c>
      <c r="K547" s="5" t="s">
        <v>44</v>
      </c>
      <c r="L547" s="6" cm="1">
        <f t="array" ref="L547">_xlfn.SWITCH(Table13_2[[#This Row],[Performance Score]],"A",6,"B",5,"C",4,"D",3,"E",2,"F",1)</f>
        <v>6</v>
      </c>
      <c r="M547" s="5">
        <f t="shared" si="8"/>
        <v>60000</v>
      </c>
    </row>
    <row r="548" spans="1:13" x14ac:dyDescent="0.3">
      <c r="A548" t="s">
        <v>59</v>
      </c>
      <c r="B548" t="s">
        <v>63</v>
      </c>
      <c r="C548">
        <v>60000</v>
      </c>
      <c r="D548" t="s">
        <v>19</v>
      </c>
      <c r="E548" t="s">
        <v>13</v>
      </c>
      <c r="F548" t="s">
        <v>21</v>
      </c>
      <c r="G548" s="2" t="s">
        <v>55</v>
      </c>
      <c r="H548" t="s">
        <v>31</v>
      </c>
      <c r="I548" t="s">
        <v>39</v>
      </c>
      <c r="J548" t="s">
        <v>28</v>
      </c>
      <c r="K548" s="5" t="s">
        <v>33</v>
      </c>
      <c r="L548" s="6" cm="1">
        <f t="array" ref="L548">_xlfn.SWITCH(Table13_2[[#This Row],[Performance Score]],"A",6,"B",5,"C",4,"D",3,"E",2,"F",1)</f>
        <v>6</v>
      </c>
      <c r="M548" s="5">
        <f t="shared" si="8"/>
        <v>60000</v>
      </c>
    </row>
    <row r="549" spans="1:13" x14ac:dyDescent="0.3">
      <c r="A549" t="s">
        <v>65</v>
      </c>
      <c r="B549" t="s">
        <v>51</v>
      </c>
      <c r="C549">
        <v>55000</v>
      </c>
      <c r="D549" t="s">
        <v>34</v>
      </c>
      <c r="E549" t="s">
        <v>26</v>
      </c>
      <c r="F549" t="s">
        <v>41</v>
      </c>
      <c r="G549" s="2" t="s">
        <v>62</v>
      </c>
      <c r="H549" t="s">
        <v>27</v>
      </c>
      <c r="I549" t="s">
        <v>39</v>
      </c>
      <c r="J549" t="s">
        <v>17</v>
      </c>
      <c r="K549" s="5" t="s">
        <v>44</v>
      </c>
      <c r="L549" s="6" cm="1">
        <f t="array" ref="L549">_xlfn.SWITCH(Table13_2[[#This Row],[Performance Score]],"A",6,"B",5,"C",4,"D",3,"E",2,"F",1)</f>
        <v>4</v>
      </c>
      <c r="M549" s="5">
        <f t="shared" si="8"/>
        <v>55000</v>
      </c>
    </row>
    <row r="550" spans="1:13" x14ac:dyDescent="0.3">
      <c r="A550" t="s">
        <v>56</v>
      </c>
      <c r="B550">
        <v>35</v>
      </c>
      <c r="C550">
        <v>70000</v>
      </c>
      <c r="D550" t="s">
        <v>34</v>
      </c>
      <c r="E550" t="s">
        <v>26</v>
      </c>
      <c r="F550" t="s">
        <v>37</v>
      </c>
      <c r="G550" s="2">
        <v>43881</v>
      </c>
      <c r="H550" t="s">
        <v>22</v>
      </c>
      <c r="I550" t="s">
        <v>32</v>
      </c>
      <c r="J550" t="s">
        <v>17</v>
      </c>
      <c r="K550" s="5" t="s">
        <v>29</v>
      </c>
      <c r="L550" s="6" cm="1">
        <f t="array" ref="L550">_xlfn.SWITCH(Table13_2[[#This Row],[Performance Score]],"A",6,"B",5,"C",4,"D",3,"E",2,"F",1)</f>
        <v>1</v>
      </c>
      <c r="M550" s="5">
        <f t="shared" si="8"/>
        <v>70000</v>
      </c>
    </row>
    <row r="551" spans="1:13" x14ac:dyDescent="0.3">
      <c r="A551" t="s">
        <v>56</v>
      </c>
      <c r="B551">
        <v>50</v>
      </c>
      <c r="C551">
        <v>70000</v>
      </c>
      <c r="D551" t="s">
        <v>12</v>
      </c>
      <c r="E551" t="s">
        <v>13</v>
      </c>
      <c r="F551" t="s">
        <v>40</v>
      </c>
      <c r="G551" s="2" t="s">
        <v>60</v>
      </c>
      <c r="H551" t="s">
        <v>38</v>
      </c>
      <c r="I551" t="s">
        <v>39</v>
      </c>
      <c r="J551" t="s">
        <v>24</v>
      </c>
      <c r="K551" s="5" t="s">
        <v>29</v>
      </c>
      <c r="L551" s="6" cm="1">
        <f t="array" ref="L551">_xlfn.SWITCH(Table13_2[[#This Row],[Performance Score]],"A",6,"B",5,"C",4,"D",3,"E",2,"F",1)</f>
        <v>5</v>
      </c>
      <c r="M551" s="5">
        <f t="shared" si="8"/>
        <v>70000</v>
      </c>
    </row>
    <row r="552" spans="1:13" x14ac:dyDescent="0.3">
      <c r="A552" t="s">
        <v>64</v>
      </c>
      <c r="B552" t="s">
        <v>51</v>
      </c>
      <c r="C552">
        <v>0</v>
      </c>
      <c r="D552" t="s">
        <v>12</v>
      </c>
      <c r="E552" t="s">
        <v>20</v>
      </c>
      <c r="F552" t="s">
        <v>41</v>
      </c>
      <c r="G552" s="2" t="s">
        <v>60</v>
      </c>
      <c r="H552" t="s">
        <v>22</v>
      </c>
      <c r="I552" t="s">
        <v>39</v>
      </c>
      <c r="J552" t="s">
        <v>28</v>
      </c>
      <c r="K552" s="5" t="s">
        <v>43</v>
      </c>
      <c r="L552" s="6" cm="1">
        <f t="array" ref="L552">_xlfn.SWITCH(Table13_2[[#This Row],[Performance Score]],"A",6,"B",5,"C",4,"D",3,"E",2,"F",1)</f>
        <v>1</v>
      </c>
      <c r="M552" s="5">
        <f t="shared" si="8"/>
        <v>48417.431192660551</v>
      </c>
    </row>
    <row r="553" spans="1:13" x14ac:dyDescent="0.3">
      <c r="A553" t="s">
        <v>61</v>
      </c>
      <c r="B553">
        <v>40</v>
      </c>
      <c r="C553">
        <v>0</v>
      </c>
      <c r="D553" t="s">
        <v>12</v>
      </c>
      <c r="E553" t="s">
        <v>26</v>
      </c>
      <c r="F553" t="s">
        <v>41</v>
      </c>
      <c r="G553" s="2" t="s">
        <v>62</v>
      </c>
      <c r="H553" t="s">
        <v>27</v>
      </c>
      <c r="I553" t="s">
        <v>16</v>
      </c>
      <c r="J553" t="s">
        <v>17</v>
      </c>
      <c r="K553" s="5" t="s">
        <v>36</v>
      </c>
      <c r="L553" s="6" cm="1">
        <f t="array" ref="L553">_xlfn.SWITCH(Table13_2[[#This Row],[Performance Score]],"A",6,"B",5,"C",4,"D",3,"E",2,"F",1)</f>
        <v>4</v>
      </c>
      <c r="M553" s="5">
        <f t="shared" si="8"/>
        <v>50742.574257425746</v>
      </c>
    </row>
    <row r="554" spans="1:13" x14ac:dyDescent="0.3">
      <c r="A554" t="s">
        <v>53</v>
      </c>
      <c r="B554">
        <v>35</v>
      </c>
      <c r="C554">
        <v>55000</v>
      </c>
      <c r="D554" t="s">
        <v>19</v>
      </c>
      <c r="E554" t="s">
        <v>20</v>
      </c>
      <c r="F554" t="s">
        <v>41</v>
      </c>
      <c r="G554" s="2">
        <v>43881</v>
      </c>
      <c r="H554" t="s">
        <v>31</v>
      </c>
      <c r="I554" t="s">
        <v>23</v>
      </c>
      <c r="J554" t="s">
        <v>24</v>
      </c>
      <c r="K554" s="5" t="s">
        <v>25</v>
      </c>
      <c r="L554" s="6" cm="1">
        <f t="array" ref="L554">_xlfn.SWITCH(Table13_2[[#This Row],[Performance Score]],"A",6,"B",5,"C",4,"D",3,"E",2,"F",1)</f>
        <v>6</v>
      </c>
      <c r="M554" s="5">
        <f t="shared" si="8"/>
        <v>55000</v>
      </c>
    </row>
    <row r="555" spans="1:13" x14ac:dyDescent="0.3">
      <c r="A555" t="s">
        <v>66</v>
      </c>
      <c r="B555">
        <v>40</v>
      </c>
      <c r="C555">
        <v>0</v>
      </c>
      <c r="D555" t="s">
        <v>19</v>
      </c>
      <c r="E555" t="s">
        <v>13</v>
      </c>
      <c r="F555" t="s">
        <v>40</v>
      </c>
      <c r="G555" s="2" t="s">
        <v>55</v>
      </c>
      <c r="H555" t="s">
        <v>27</v>
      </c>
      <c r="I555" t="s">
        <v>32</v>
      </c>
      <c r="J555" t="s">
        <v>28</v>
      </c>
      <c r="K555" s="5" t="s">
        <v>45</v>
      </c>
      <c r="L555" s="6" cm="1">
        <f t="array" ref="L555">_xlfn.SWITCH(Table13_2[[#This Row],[Performance Score]],"A",6,"B",5,"C",4,"D",3,"E",2,"F",1)</f>
        <v>4</v>
      </c>
      <c r="M555" s="5">
        <f t="shared" si="8"/>
        <v>51825</v>
      </c>
    </row>
    <row r="556" spans="1:13" x14ac:dyDescent="0.3">
      <c r="A556" t="s">
        <v>64</v>
      </c>
      <c r="B556" t="s">
        <v>63</v>
      </c>
      <c r="C556">
        <v>65000</v>
      </c>
      <c r="D556" t="s">
        <v>19</v>
      </c>
      <c r="E556" t="s">
        <v>26</v>
      </c>
      <c r="F556" t="s">
        <v>14</v>
      </c>
      <c r="G556" s="2" t="s">
        <v>55</v>
      </c>
      <c r="H556" t="s">
        <v>15</v>
      </c>
      <c r="I556" t="s">
        <v>39</v>
      </c>
      <c r="J556" t="s">
        <v>42</v>
      </c>
      <c r="K556" s="5" t="s">
        <v>43</v>
      </c>
      <c r="L556" s="6" cm="1">
        <f t="array" ref="L556">_xlfn.SWITCH(Table13_2[[#This Row],[Performance Score]],"A",6,"B",5,"C",4,"D",3,"E",2,"F",1)</f>
        <v>3</v>
      </c>
      <c r="M556" s="5">
        <f t="shared" si="8"/>
        <v>65000</v>
      </c>
    </row>
    <row r="557" spans="1:13" x14ac:dyDescent="0.3">
      <c r="A557" t="s">
        <v>52</v>
      </c>
      <c r="B557">
        <v>25</v>
      </c>
      <c r="C557">
        <v>50000</v>
      </c>
      <c r="D557" t="s">
        <v>12</v>
      </c>
      <c r="E557" t="s">
        <v>30</v>
      </c>
      <c r="F557" t="s">
        <v>21</v>
      </c>
      <c r="G557" s="2" t="s">
        <v>55</v>
      </c>
      <c r="H557" t="s">
        <v>15</v>
      </c>
      <c r="I557" t="s">
        <v>32</v>
      </c>
      <c r="J557" t="s">
        <v>24</v>
      </c>
      <c r="K557" s="5" t="s">
        <v>18</v>
      </c>
      <c r="L557" s="6" cm="1">
        <f t="array" ref="L557">_xlfn.SWITCH(Table13_2[[#This Row],[Performance Score]],"A",6,"B",5,"C",4,"D",3,"E",2,"F",1)</f>
        <v>3</v>
      </c>
      <c r="M557" s="5">
        <f t="shared" si="8"/>
        <v>50000</v>
      </c>
    </row>
    <row r="558" spans="1:13" x14ac:dyDescent="0.3">
      <c r="A558" t="s">
        <v>66</v>
      </c>
      <c r="B558">
        <v>35</v>
      </c>
      <c r="C558">
        <v>50000</v>
      </c>
      <c r="D558" t="s">
        <v>34</v>
      </c>
      <c r="E558" t="s">
        <v>13</v>
      </c>
      <c r="F558" t="s">
        <v>37</v>
      </c>
      <c r="G558" s="2" t="s">
        <v>60</v>
      </c>
      <c r="H558" t="s">
        <v>22</v>
      </c>
      <c r="I558" t="s">
        <v>39</v>
      </c>
      <c r="J558" t="s">
        <v>17</v>
      </c>
      <c r="K558" s="5" t="s">
        <v>45</v>
      </c>
      <c r="L558" s="6" cm="1">
        <f t="array" ref="L558">_xlfn.SWITCH(Table13_2[[#This Row],[Performance Score]],"A",6,"B",5,"C",4,"D",3,"E",2,"F",1)</f>
        <v>1</v>
      </c>
      <c r="M558" s="5">
        <f t="shared" si="8"/>
        <v>50000</v>
      </c>
    </row>
    <row r="559" spans="1:13" x14ac:dyDescent="0.3">
      <c r="A559" t="s">
        <v>49</v>
      </c>
      <c r="B559" t="s">
        <v>63</v>
      </c>
      <c r="C559">
        <v>50000</v>
      </c>
      <c r="D559" t="s">
        <v>34</v>
      </c>
      <c r="E559" t="s">
        <v>35</v>
      </c>
      <c r="F559" t="s">
        <v>14</v>
      </c>
      <c r="G559" s="2">
        <v>43881</v>
      </c>
      <c r="H559" t="s">
        <v>22</v>
      </c>
      <c r="I559" t="s">
        <v>32</v>
      </c>
      <c r="J559" t="s">
        <v>17</v>
      </c>
      <c r="K559" s="5" t="s">
        <v>11</v>
      </c>
      <c r="L559" s="6" cm="1">
        <f t="array" ref="L559">_xlfn.SWITCH(Table13_2[[#This Row],[Performance Score]],"A",6,"B",5,"C",4,"D",3,"E",2,"F",1)</f>
        <v>1</v>
      </c>
      <c r="M559" s="5">
        <f t="shared" si="8"/>
        <v>50000</v>
      </c>
    </row>
    <row r="560" spans="1:13" x14ac:dyDescent="0.3">
      <c r="A560" t="s">
        <v>67</v>
      </c>
      <c r="B560" t="s">
        <v>63</v>
      </c>
      <c r="C560">
        <v>55000</v>
      </c>
      <c r="D560" t="s">
        <v>19</v>
      </c>
      <c r="E560" t="s">
        <v>20</v>
      </c>
      <c r="F560" t="s">
        <v>37</v>
      </c>
      <c r="G560" s="2">
        <v>43881</v>
      </c>
      <c r="H560" t="s">
        <v>38</v>
      </c>
      <c r="I560" t="s">
        <v>39</v>
      </c>
      <c r="J560" t="s">
        <v>28</v>
      </c>
      <c r="K560" s="5" t="s">
        <v>46</v>
      </c>
      <c r="L560" s="6" cm="1">
        <f t="array" ref="L560">_xlfn.SWITCH(Table13_2[[#This Row],[Performance Score]],"A",6,"B",5,"C",4,"D",3,"E",2,"F",1)</f>
        <v>5</v>
      </c>
      <c r="M560" s="5">
        <f t="shared" si="8"/>
        <v>55000</v>
      </c>
    </row>
    <row r="561" spans="1:13" x14ac:dyDescent="0.3">
      <c r="A561" t="s">
        <v>52</v>
      </c>
      <c r="B561">
        <v>35</v>
      </c>
      <c r="C561">
        <v>55000</v>
      </c>
      <c r="D561" t="s">
        <v>19</v>
      </c>
      <c r="E561" t="s">
        <v>13</v>
      </c>
      <c r="F561" t="s">
        <v>21</v>
      </c>
      <c r="G561" s="2" t="s">
        <v>60</v>
      </c>
      <c r="H561" t="s">
        <v>38</v>
      </c>
      <c r="I561" t="s">
        <v>23</v>
      </c>
      <c r="J561" t="s">
        <v>24</v>
      </c>
      <c r="K561" s="5" t="s">
        <v>18</v>
      </c>
      <c r="L561" s="6" cm="1">
        <f t="array" ref="L561">_xlfn.SWITCH(Table13_2[[#This Row],[Performance Score]],"A",6,"B",5,"C",4,"D",3,"E",2,"F",1)</f>
        <v>5</v>
      </c>
      <c r="M561" s="5">
        <f t="shared" si="8"/>
        <v>55000</v>
      </c>
    </row>
    <row r="562" spans="1:13" x14ac:dyDescent="0.3">
      <c r="A562" t="s">
        <v>52</v>
      </c>
      <c r="B562">
        <v>40</v>
      </c>
      <c r="C562">
        <v>60000</v>
      </c>
      <c r="D562" t="s">
        <v>34</v>
      </c>
      <c r="E562" t="s">
        <v>13</v>
      </c>
      <c r="F562" t="s">
        <v>40</v>
      </c>
      <c r="G562" s="2" t="s">
        <v>55</v>
      </c>
      <c r="H562" t="s">
        <v>15</v>
      </c>
      <c r="I562" t="s">
        <v>23</v>
      </c>
      <c r="J562" t="s">
        <v>42</v>
      </c>
      <c r="K562" s="5" t="s">
        <v>18</v>
      </c>
      <c r="L562" s="6" cm="1">
        <f t="array" ref="L562">_xlfn.SWITCH(Table13_2[[#This Row],[Performance Score]],"A",6,"B",5,"C",4,"D",3,"E",2,"F",1)</f>
        <v>3</v>
      </c>
      <c r="M562" s="5">
        <f t="shared" si="8"/>
        <v>60000</v>
      </c>
    </row>
    <row r="563" spans="1:13" x14ac:dyDescent="0.3">
      <c r="A563" t="s">
        <v>64</v>
      </c>
      <c r="B563">
        <v>50</v>
      </c>
      <c r="C563">
        <v>50000</v>
      </c>
      <c r="D563" t="s">
        <v>34</v>
      </c>
      <c r="E563" t="s">
        <v>26</v>
      </c>
      <c r="F563" t="s">
        <v>41</v>
      </c>
      <c r="G563" s="2" t="s">
        <v>55</v>
      </c>
      <c r="H563" t="s">
        <v>31</v>
      </c>
      <c r="I563" t="s">
        <v>32</v>
      </c>
      <c r="J563" t="s">
        <v>17</v>
      </c>
      <c r="K563" s="5" t="s">
        <v>43</v>
      </c>
      <c r="L563" s="6" cm="1">
        <f t="array" ref="L563">_xlfn.SWITCH(Table13_2[[#This Row],[Performance Score]],"A",6,"B",5,"C",4,"D",3,"E",2,"F",1)</f>
        <v>6</v>
      </c>
      <c r="M563" s="5">
        <f t="shared" si="8"/>
        <v>50000</v>
      </c>
    </row>
    <row r="564" spans="1:13" x14ac:dyDescent="0.3">
      <c r="A564" t="s">
        <v>61</v>
      </c>
      <c r="B564" t="s">
        <v>63</v>
      </c>
      <c r="C564">
        <v>65000</v>
      </c>
      <c r="D564" t="s">
        <v>19</v>
      </c>
      <c r="E564" t="s">
        <v>26</v>
      </c>
      <c r="F564" t="s">
        <v>41</v>
      </c>
      <c r="G564" s="2" t="s">
        <v>62</v>
      </c>
      <c r="H564" t="s">
        <v>27</v>
      </c>
      <c r="I564" t="s">
        <v>16</v>
      </c>
      <c r="J564" t="s">
        <v>17</v>
      </c>
      <c r="K564" s="5" t="s">
        <v>36</v>
      </c>
      <c r="L564" s="6" cm="1">
        <f t="array" ref="L564">_xlfn.SWITCH(Table13_2[[#This Row],[Performance Score]],"A",6,"B",5,"C",4,"D",3,"E",2,"F",1)</f>
        <v>4</v>
      </c>
      <c r="M564" s="5">
        <f t="shared" si="8"/>
        <v>65000</v>
      </c>
    </row>
    <row r="565" spans="1:13" x14ac:dyDescent="0.3">
      <c r="A565" t="s">
        <v>64</v>
      </c>
      <c r="B565" t="s">
        <v>51</v>
      </c>
      <c r="C565">
        <v>0</v>
      </c>
      <c r="D565" t="s">
        <v>19</v>
      </c>
      <c r="E565" t="s">
        <v>26</v>
      </c>
      <c r="F565" t="s">
        <v>40</v>
      </c>
      <c r="G565" s="2" t="s">
        <v>50</v>
      </c>
      <c r="H565" t="s">
        <v>38</v>
      </c>
      <c r="I565" t="s">
        <v>32</v>
      </c>
      <c r="J565" t="s">
        <v>24</v>
      </c>
      <c r="K565" s="5" t="s">
        <v>43</v>
      </c>
      <c r="L565" s="6" cm="1">
        <f t="array" ref="L565">_xlfn.SWITCH(Table13_2[[#This Row],[Performance Score]],"A",6,"B",5,"C",4,"D",3,"E",2,"F",1)</f>
        <v>5</v>
      </c>
      <c r="M565" s="5">
        <f t="shared" si="8"/>
        <v>50742.574257425746</v>
      </c>
    </row>
    <row r="566" spans="1:13" x14ac:dyDescent="0.3">
      <c r="A566" t="s">
        <v>49</v>
      </c>
      <c r="B566" t="s">
        <v>63</v>
      </c>
      <c r="C566">
        <v>65000</v>
      </c>
      <c r="D566" t="s">
        <v>34</v>
      </c>
      <c r="E566" t="s">
        <v>35</v>
      </c>
      <c r="F566" t="s">
        <v>14</v>
      </c>
      <c r="G566" s="2">
        <v>43881</v>
      </c>
      <c r="H566" t="s">
        <v>38</v>
      </c>
      <c r="I566" t="s">
        <v>39</v>
      </c>
      <c r="J566" t="s">
        <v>42</v>
      </c>
      <c r="K566" s="5" t="s">
        <v>11</v>
      </c>
      <c r="L566" s="6" cm="1">
        <f t="array" ref="L566">_xlfn.SWITCH(Table13_2[[#This Row],[Performance Score]],"A",6,"B",5,"C",4,"D",3,"E",2,"F",1)</f>
        <v>5</v>
      </c>
      <c r="M566" s="5">
        <f t="shared" si="8"/>
        <v>65000</v>
      </c>
    </row>
    <row r="567" spans="1:13" x14ac:dyDescent="0.3">
      <c r="A567" t="s">
        <v>59</v>
      </c>
      <c r="B567">
        <v>50</v>
      </c>
      <c r="C567">
        <v>0</v>
      </c>
      <c r="D567" t="s">
        <v>12</v>
      </c>
      <c r="E567" t="s">
        <v>26</v>
      </c>
      <c r="F567" t="s">
        <v>14</v>
      </c>
      <c r="G567" s="2">
        <v>43881</v>
      </c>
      <c r="H567" t="s">
        <v>31</v>
      </c>
      <c r="I567" t="s">
        <v>23</v>
      </c>
      <c r="J567" t="s">
        <v>28</v>
      </c>
      <c r="K567" s="5" t="s">
        <v>33</v>
      </c>
      <c r="L567" s="6" cm="1">
        <f t="array" ref="L567">_xlfn.SWITCH(Table13_2[[#This Row],[Performance Score]],"A",6,"B",5,"C",4,"D",3,"E",2,"F",1)</f>
        <v>6</v>
      </c>
      <c r="M567" s="5">
        <f t="shared" si="8"/>
        <v>50742.574257425746</v>
      </c>
    </row>
    <row r="568" spans="1:13" x14ac:dyDescent="0.3">
      <c r="A568" t="s">
        <v>59</v>
      </c>
      <c r="B568">
        <v>40</v>
      </c>
      <c r="C568">
        <v>50000</v>
      </c>
      <c r="D568" t="s">
        <v>19</v>
      </c>
      <c r="E568" t="s">
        <v>13</v>
      </c>
      <c r="F568" t="s">
        <v>37</v>
      </c>
      <c r="G568" s="2">
        <v>43881</v>
      </c>
      <c r="H568" t="s">
        <v>31</v>
      </c>
      <c r="I568" t="s">
        <v>23</v>
      </c>
      <c r="J568" t="s">
        <v>24</v>
      </c>
      <c r="K568" s="5" t="s">
        <v>33</v>
      </c>
      <c r="L568" s="6" cm="1">
        <f t="array" ref="L568">_xlfn.SWITCH(Table13_2[[#This Row],[Performance Score]],"A",6,"B",5,"C",4,"D",3,"E",2,"F",1)</f>
        <v>6</v>
      </c>
      <c r="M568" s="5">
        <f t="shared" si="8"/>
        <v>50000</v>
      </c>
    </row>
    <row r="569" spans="1:13" x14ac:dyDescent="0.3">
      <c r="A569" t="s">
        <v>61</v>
      </c>
      <c r="B569">
        <v>40</v>
      </c>
      <c r="C569">
        <v>50000</v>
      </c>
      <c r="D569" t="s">
        <v>34</v>
      </c>
      <c r="E569" t="s">
        <v>26</v>
      </c>
      <c r="F569" t="s">
        <v>40</v>
      </c>
      <c r="G569" s="2" t="s">
        <v>50</v>
      </c>
      <c r="H569" t="s">
        <v>22</v>
      </c>
      <c r="I569" t="s">
        <v>23</v>
      </c>
      <c r="J569" t="s">
        <v>28</v>
      </c>
      <c r="K569" s="5" t="s">
        <v>36</v>
      </c>
      <c r="L569" s="6" cm="1">
        <f t="array" ref="L569">_xlfn.SWITCH(Table13_2[[#This Row],[Performance Score]],"A",6,"B",5,"C",4,"D",3,"E",2,"F",1)</f>
        <v>1</v>
      </c>
      <c r="M569" s="5">
        <f t="shared" si="8"/>
        <v>50000</v>
      </c>
    </row>
    <row r="570" spans="1:13" x14ac:dyDescent="0.3">
      <c r="A570" t="s">
        <v>49</v>
      </c>
      <c r="B570" t="s">
        <v>51</v>
      </c>
      <c r="C570">
        <v>50000</v>
      </c>
      <c r="D570" t="s">
        <v>34</v>
      </c>
      <c r="E570" t="s">
        <v>30</v>
      </c>
      <c r="F570" t="s">
        <v>14</v>
      </c>
      <c r="G570" s="2" t="s">
        <v>62</v>
      </c>
      <c r="H570" t="s">
        <v>27</v>
      </c>
      <c r="I570" t="s">
        <v>16</v>
      </c>
      <c r="J570" t="s">
        <v>17</v>
      </c>
      <c r="K570" s="5" t="s">
        <v>11</v>
      </c>
      <c r="L570" s="6" cm="1">
        <f t="array" ref="L570">_xlfn.SWITCH(Table13_2[[#This Row],[Performance Score]],"A",6,"B",5,"C",4,"D",3,"E",2,"F",1)</f>
        <v>4</v>
      </c>
      <c r="M570" s="5">
        <f t="shared" si="8"/>
        <v>50000</v>
      </c>
    </row>
    <row r="571" spans="1:13" x14ac:dyDescent="0.3">
      <c r="A571" t="s">
        <v>61</v>
      </c>
      <c r="B571" t="s">
        <v>63</v>
      </c>
      <c r="C571">
        <v>55000</v>
      </c>
      <c r="D571" t="s">
        <v>34</v>
      </c>
      <c r="E571" t="s">
        <v>26</v>
      </c>
      <c r="F571" t="s">
        <v>40</v>
      </c>
      <c r="G571" s="2" t="s">
        <v>50</v>
      </c>
      <c r="H571" t="s">
        <v>31</v>
      </c>
      <c r="I571" t="s">
        <v>16</v>
      </c>
      <c r="J571" t="s">
        <v>28</v>
      </c>
      <c r="K571" s="5" t="s">
        <v>36</v>
      </c>
      <c r="L571" s="6" cm="1">
        <f t="array" ref="L571">_xlfn.SWITCH(Table13_2[[#This Row],[Performance Score]],"A",6,"B",5,"C",4,"D",3,"E",2,"F",1)</f>
        <v>6</v>
      </c>
      <c r="M571" s="5">
        <f t="shared" si="8"/>
        <v>55000</v>
      </c>
    </row>
    <row r="572" spans="1:13" x14ac:dyDescent="0.3">
      <c r="A572" t="s">
        <v>65</v>
      </c>
      <c r="B572">
        <v>40</v>
      </c>
      <c r="C572">
        <v>0</v>
      </c>
      <c r="D572" t="s">
        <v>34</v>
      </c>
      <c r="E572" t="s">
        <v>35</v>
      </c>
      <c r="F572" t="s">
        <v>21</v>
      </c>
      <c r="G572" s="2" t="s">
        <v>55</v>
      </c>
      <c r="H572" t="s">
        <v>38</v>
      </c>
      <c r="I572" t="s">
        <v>39</v>
      </c>
      <c r="J572" t="s">
        <v>42</v>
      </c>
      <c r="K572" s="5" t="s">
        <v>44</v>
      </c>
      <c r="L572" s="6" cm="1">
        <f t="array" ref="L572">_xlfn.SWITCH(Table13_2[[#This Row],[Performance Score]],"A",6,"B",5,"C",4,"D",3,"E",2,"F",1)</f>
        <v>5</v>
      </c>
      <c r="M572" s="5">
        <f t="shared" si="8"/>
        <v>49144.385026737968</v>
      </c>
    </row>
    <row r="573" spans="1:13" x14ac:dyDescent="0.3">
      <c r="A573" t="s">
        <v>59</v>
      </c>
      <c r="B573">
        <v>50</v>
      </c>
      <c r="C573">
        <v>55000</v>
      </c>
      <c r="D573" t="s">
        <v>12</v>
      </c>
      <c r="E573" t="s">
        <v>30</v>
      </c>
      <c r="F573" t="s">
        <v>41</v>
      </c>
      <c r="G573" s="2" t="s">
        <v>55</v>
      </c>
      <c r="H573" t="s">
        <v>38</v>
      </c>
      <c r="I573" t="s">
        <v>32</v>
      </c>
      <c r="J573" t="s">
        <v>17</v>
      </c>
      <c r="K573" s="5" t="s">
        <v>33</v>
      </c>
      <c r="L573" s="6" cm="1">
        <f t="array" ref="L573">_xlfn.SWITCH(Table13_2[[#This Row],[Performance Score]],"A",6,"B",5,"C",4,"D",3,"E",2,"F",1)</f>
        <v>5</v>
      </c>
      <c r="M573" s="5">
        <f t="shared" si="8"/>
        <v>55000</v>
      </c>
    </row>
    <row r="574" spans="1:13" x14ac:dyDescent="0.3">
      <c r="A574" t="s">
        <v>52</v>
      </c>
      <c r="B574">
        <v>35</v>
      </c>
      <c r="C574">
        <v>55000</v>
      </c>
      <c r="D574" t="s">
        <v>34</v>
      </c>
      <c r="E574" t="s">
        <v>13</v>
      </c>
      <c r="F574" t="s">
        <v>41</v>
      </c>
      <c r="G574" s="2">
        <v>43881</v>
      </c>
      <c r="H574" t="s">
        <v>15</v>
      </c>
      <c r="I574" t="s">
        <v>32</v>
      </c>
      <c r="J574" t="s">
        <v>42</v>
      </c>
      <c r="K574" s="5" t="s">
        <v>18</v>
      </c>
      <c r="L574" s="6" cm="1">
        <f t="array" ref="L574">_xlfn.SWITCH(Table13_2[[#This Row],[Performance Score]],"A",6,"B",5,"C",4,"D",3,"E",2,"F",1)</f>
        <v>3</v>
      </c>
      <c r="M574" s="5">
        <f t="shared" si="8"/>
        <v>55000</v>
      </c>
    </row>
    <row r="575" spans="1:13" x14ac:dyDescent="0.3">
      <c r="A575" t="s">
        <v>53</v>
      </c>
      <c r="B575">
        <v>25</v>
      </c>
      <c r="C575">
        <v>70000</v>
      </c>
      <c r="D575" t="s">
        <v>19</v>
      </c>
      <c r="E575" t="s">
        <v>13</v>
      </c>
      <c r="F575" t="s">
        <v>41</v>
      </c>
      <c r="G575" s="2" t="s">
        <v>60</v>
      </c>
      <c r="H575" t="s">
        <v>31</v>
      </c>
      <c r="I575" t="s">
        <v>39</v>
      </c>
      <c r="J575" t="s">
        <v>28</v>
      </c>
      <c r="K575" s="5" t="s">
        <v>25</v>
      </c>
      <c r="L575" s="6" cm="1">
        <f t="array" ref="L575">_xlfn.SWITCH(Table13_2[[#This Row],[Performance Score]],"A",6,"B",5,"C",4,"D",3,"E",2,"F",1)</f>
        <v>6</v>
      </c>
      <c r="M575" s="5">
        <f t="shared" si="8"/>
        <v>70000</v>
      </c>
    </row>
    <row r="576" spans="1:13" x14ac:dyDescent="0.3">
      <c r="A576" t="s">
        <v>67</v>
      </c>
      <c r="B576">
        <v>25</v>
      </c>
      <c r="C576">
        <v>65000</v>
      </c>
      <c r="D576" t="s">
        <v>12</v>
      </c>
      <c r="E576" t="s">
        <v>20</v>
      </c>
      <c r="F576" t="s">
        <v>40</v>
      </c>
      <c r="G576" s="2">
        <v>43881</v>
      </c>
      <c r="H576" t="s">
        <v>22</v>
      </c>
      <c r="I576" t="s">
        <v>23</v>
      </c>
      <c r="J576" t="s">
        <v>24</v>
      </c>
      <c r="K576" s="5" t="s">
        <v>46</v>
      </c>
      <c r="L576" s="6" cm="1">
        <f t="array" ref="L576">_xlfn.SWITCH(Table13_2[[#This Row],[Performance Score]],"A",6,"B",5,"C",4,"D",3,"E",2,"F",1)</f>
        <v>1</v>
      </c>
      <c r="M576" s="5">
        <f t="shared" si="8"/>
        <v>65000</v>
      </c>
    </row>
    <row r="577" spans="1:13" x14ac:dyDescent="0.3">
      <c r="A577" t="s">
        <v>49</v>
      </c>
      <c r="B577">
        <v>25</v>
      </c>
      <c r="C577">
        <v>65000</v>
      </c>
      <c r="D577" t="s">
        <v>34</v>
      </c>
      <c r="E577" t="s">
        <v>30</v>
      </c>
      <c r="F577" t="s">
        <v>40</v>
      </c>
      <c r="G577" s="2" t="s">
        <v>60</v>
      </c>
      <c r="H577" t="s">
        <v>27</v>
      </c>
      <c r="I577" t="s">
        <v>16</v>
      </c>
      <c r="J577" t="s">
        <v>17</v>
      </c>
      <c r="K577" s="5" t="s">
        <v>11</v>
      </c>
      <c r="L577" s="6" cm="1">
        <f t="array" ref="L577">_xlfn.SWITCH(Table13_2[[#This Row],[Performance Score]],"A",6,"B",5,"C",4,"D",3,"E",2,"F",1)</f>
        <v>4</v>
      </c>
      <c r="M577" s="5">
        <f t="shared" si="8"/>
        <v>65000</v>
      </c>
    </row>
    <row r="578" spans="1:13" x14ac:dyDescent="0.3">
      <c r="A578" t="s">
        <v>66</v>
      </c>
      <c r="B578" t="s">
        <v>63</v>
      </c>
      <c r="C578">
        <v>60000</v>
      </c>
      <c r="D578" t="s">
        <v>12</v>
      </c>
      <c r="E578" t="s">
        <v>20</v>
      </c>
      <c r="F578" t="s">
        <v>37</v>
      </c>
      <c r="G578" s="2" t="s">
        <v>50</v>
      </c>
      <c r="H578" t="s">
        <v>22</v>
      </c>
      <c r="I578" t="s">
        <v>39</v>
      </c>
      <c r="J578" t="s">
        <v>17</v>
      </c>
      <c r="K578" s="5" t="s">
        <v>45</v>
      </c>
      <c r="L578" s="6" cm="1">
        <f t="array" ref="L578">_xlfn.SWITCH(Table13_2[[#This Row],[Performance Score]],"A",6,"B",5,"C",4,"D",3,"E",2,"F",1)</f>
        <v>1</v>
      </c>
      <c r="M578" s="5">
        <f t="shared" si="8"/>
        <v>60000</v>
      </c>
    </row>
    <row r="579" spans="1:13" x14ac:dyDescent="0.3">
      <c r="A579" t="s">
        <v>61</v>
      </c>
      <c r="B579" t="s">
        <v>51</v>
      </c>
      <c r="C579">
        <v>55000</v>
      </c>
      <c r="D579" t="s">
        <v>19</v>
      </c>
      <c r="E579" t="s">
        <v>30</v>
      </c>
      <c r="F579" t="s">
        <v>41</v>
      </c>
      <c r="G579" s="2" t="s">
        <v>55</v>
      </c>
      <c r="H579" t="s">
        <v>38</v>
      </c>
      <c r="I579" t="s">
        <v>39</v>
      </c>
      <c r="J579" t="s">
        <v>24</v>
      </c>
      <c r="K579" s="5" t="s">
        <v>36</v>
      </c>
      <c r="L579" s="6" cm="1">
        <f t="array" ref="L579">_xlfn.SWITCH(Table13_2[[#This Row],[Performance Score]],"A",6,"B",5,"C",4,"D",3,"E",2,"F",1)</f>
        <v>5</v>
      </c>
      <c r="M579" s="5">
        <f t="shared" ref="M579:M642" si="9">IF(C579=0,AVERAGEIF($E$2:$E$1001,E579,$C$2:$C$1001),C579)</f>
        <v>55000</v>
      </c>
    </row>
    <row r="580" spans="1:13" x14ac:dyDescent="0.3">
      <c r="A580" t="s">
        <v>67</v>
      </c>
      <c r="B580">
        <v>40</v>
      </c>
      <c r="C580">
        <v>0</v>
      </c>
      <c r="D580" t="s">
        <v>34</v>
      </c>
      <c r="E580" t="s">
        <v>30</v>
      </c>
      <c r="F580" t="s">
        <v>37</v>
      </c>
      <c r="G580" s="2" t="s">
        <v>60</v>
      </c>
      <c r="H580" t="s">
        <v>22</v>
      </c>
      <c r="I580" t="s">
        <v>16</v>
      </c>
      <c r="J580" t="s">
        <v>24</v>
      </c>
      <c r="K580" s="5" t="s">
        <v>46</v>
      </c>
      <c r="L580" s="6" cm="1">
        <f t="array" ref="L580">_xlfn.SWITCH(Table13_2[[#This Row],[Performance Score]],"A",6,"B",5,"C",4,"D",3,"E",2,"F",1)</f>
        <v>1</v>
      </c>
      <c r="M580" s="5">
        <f t="shared" si="9"/>
        <v>50777.202072538857</v>
      </c>
    </row>
    <row r="581" spans="1:13" x14ac:dyDescent="0.3">
      <c r="A581" t="s">
        <v>66</v>
      </c>
      <c r="B581">
        <v>35</v>
      </c>
      <c r="C581">
        <v>70000</v>
      </c>
      <c r="D581" t="s">
        <v>19</v>
      </c>
      <c r="E581" t="s">
        <v>35</v>
      </c>
      <c r="F581" t="s">
        <v>41</v>
      </c>
      <c r="G581" s="2" t="s">
        <v>50</v>
      </c>
      <c r="H581" t="s">
        <v>38</v>
      </c>
      <c r="I581" t="s">
        <v>32</v>
      </c>
      <c r="J581" t="s">
        <v>42</v>
      </c>
      <c r="K581" s="5" t="s">
        <v>45</v>
      </c>
      <c r="L581" s="6" cm="1">
        <f t="array" ref="L581">_xlfn.SWITCH(Table13_2[[#This Row],[Performance Score]],"A",6,"B",5,"C",4,"D",3,"E",2,"F",1)</f>
        <v>5</v>
      </c>
      <c r="M581" s="5">
        <f t="shared" si="9"/>
        <v>70000</v>
      </c>
    </row>
    <row r="582" spans="1:13" x14ac:dyDescent="0.3">
      <c r="A582" t="s">
        <v>67</v>
      </c>
      <c r="B582">
        <v>50</v>
      </c>
      <c r="C582">
        <v>70000</v>
      </c>
      <c r="D582" t="s">
        <v>34</v>
      </c>
      <c r="E582" t="s">
        <v>20</v>
      </c>
      <c r="F582" t="s">
        <v>37</v>
      </c>
      <c r="G582" s="2" t="s">
        <v>55</v>
      </c>
      <c r="H582" t="s">
        <v>38</v>
      </c>
      <c r="I582" t="s">
        <v>23</v>
      </c>
      <c r="J582" t="s">
        <v>28</v>
      </c>
      <c r="K582" s="5" t="s">
        <v>46</v>
      </c>
      <c r="L582" s="6" cm="1">
        <f t="array" ref="L582">_xlfn.SWITCH(Table13_2[[#This Row],[Performance Score]],"A",6,"B",5,"C",4,"D",3,"E",2,"F",1)</f>
        <v>5</v>
      </c>
      <c r="M582" s="5">
        <f t="shared" si="9"/>
        <v>70000</v>
      </c>
    </row>
    <row r="583" spans="1:13" x14ac:dyDescent="0.3">
      <c r="A583" t="s">
        <v>53</v>
      </c>
      <c r="B583">
        <v>35</v>
      </c>
      <c r="C583">
        <v>65000</v>
      </c>
      <c r="D583" t="s">
        <v>34</v>
      </c>
      <c r="E583" t="s">
        <v>35</v>
      </c>
      <c r="F583" t="s">
        <v>37</v>
      </c>
      <c r="G583" s="2" t="s">
        <v>60</v>
      </c>
      <c r="H583" t="s">
        <v>38</v>
      </c>
      <c r="I583" t="s">
        <v>32</v>
      </c>
      <c r="J583" t="s">
        <v>42</v>
      </c>
      <c r="K583" s="5" t="s">
        <v>25</v>
      </c>
      <c r="L583" s="6" cm="1">
        <f t="array" ref="L583">_xlfn.SWITCH(Table13_2[[#This Row],[Performance Score]],"A",6,"B",5,"C",4,"D",3,"E",2,"F",1)</f>
        <v>5</v>
      </c>
      <c r="M583" s="5">
        <f t="shared" si="9"/>
        <v>65000</v>
      </c>
    </row>
    <row r="584" spans="1:13" x14ac:dyDescent="0.3">
      <c r="A584" t="s">
        <v>66</v>
      </c>
      <c r="B584">
        <v>50</v>
      </c>
      <c r="C584">
        <v>55000</v>
      </c>
      <c r="D584" t="s">
        <v>34</v>
      </c>
      <c r="E584" t="s">
        <v>30</v>
      </c>
      <c r="F584" t="s">
        <v>21</v>
      </c>
      <c r="G584" s="2">
        <v>43881</v>
      </c>
      <c r="H584" t="s">
        <v>38</v>
      </c>
      <c r="I584" t="s">
        <v>39</v>
      </c>
      <c r="J584" t="s">
        <v>28</v>
      </c>
      <c r="K584" s="5" t="s">
        <v>45</v>
      </c>
      <c r="L584" s="6" cm="1">
        <f t="array" ref="L584">_xlfn.SWITCH(Table13_2[[#This Row],[Performance Score]],"A",6,"B",5,"C",4,"D",3,"E",2,"F",1)</f>
        <v>5</v>
      </c>
      <c r="M584" s="5">
        <f t="shared" si="9"/>
        <v>55000</v>
      </c>
    </row>
    <row r="585" spans="1:13" x14ac:dyDescent="0.3">
      <c r="A585" t="s">
        <v>64</v>
      </c>
      <c r="B585" t="s">
        <v>63</v>
      </c>
      <c r="C585">
        <v>60000</v>
      </c>
      <c r="D585" t="s">
        <v>34</v>
      </c>
      <c r="E585" t="s">
        <v>13</v>
      </c>
      <c r="F585" t="s">
        <v>37</v>
      </c>
      <c r="G585" s="2">
        <v>43881</v>
      </c>
      <c r="H585" t="s">
        <v>38</v>
      </c>
      <c r="I585" t="s">
        <v>23</v>
      </c>
      <c r="J585" t="s">
        <v>42</v>
      </c>
      <c r="K585" s="5" t="s">
        <v>43</v>
      </c>
      <c r="L585" s="6" cm="1">
        <f t="array" ref="L585">_xlfn.SWITCH(Table13_2[[#This Row],[Performance Score]],"A",6,"B",5,"C",4,"D",3,"E",2,"F",1)</f>
        <v>5</v>
      </c>
      <c r="M585" s="5">
        <f t="shared" si="9"/>
        <v>60000</v>
      </c>
    </row>
    <row r="586" spans="1:13" x14ac:dyDescent="0.3">
      <c r="A586" t="s">
        <v>56</v>
      </c>
      <c r="B586">
        <v>25</v>
      </c>
      <c r="C586">
        <v>55000</v>
      </c>
      <c r="D586" t="s">
        <v>34</v>
      </c>
      <c r="E586" t="s">
        <v>30</v>
      </c>
      <c r="F586" t="s">
        <v>40</v>
      </c>
      <c r="G586" s="2">
        <v>43881</v>
      </c>
      <c r="H586" t="s">
        <v>15</v>
      </c>
      <c r="I586" t="s">
        <v>39</v>
      </c>
      <c r="J586" t="s">
        <v>24</v>
      </c>
      <c r="K586" s="5" t="s">
        <v>29</v>
      </c>
      <c r="L586" s="6" cm="1">
        <f t="array" ref="L586">_xlfn.SWITCH(Table13_2[[#This Row],[Performance Score]],"A",6,"B",5,"C",4,"D",3,"E",2,"F",1)</f>
        <v>3</v>
      </c>
      <c r="M586" s="5">
        <f t="shared" si="9"/>
        <v>55000</v>
      </c>
    </row>
    <row r="587" spans="1:13" x14ac:dyDescent="0.3">
      <c r="A587" t="s">
        <v>64</v>
      </c>
      <c r="B587" t="s">
        <v>63</v>
      </c>
      <c r="C587">
        <v>50000</v>
      </c>
      <c r="D587" t="s">
        <v>12</v>
      </c>
      <c r="E587" t="s">
        <v>35</v>
      </c>
      <c r="F587" t="s">
        <v>37</v>
      </c>
      <c r="G587" s="2" t="s">
        <v>50</v>
      </c>
      <c r="H587" t="s">
        <v>22</v>
      </c>
      <c r="I587" t="s">
        <v>39</v>
      </c>
      <c r="J587" t="s">
        <v>17</v>
      </c>
      <c r="K587" s="5" t="s">
        <v>43</v>
      </c>
      <c r="L587" s="6" cm="1">
        <f t="array" ref="L587">_xlfn.SWITCH(Table13_2[[#This Row],[Performance Score]],"A",6,"B",5,"C",4,"D",3,"E",2,"F",1)</f>
        <v>1</v>
      </c>
      <c r="M587" s="5">
        <f t="shared" si="9"/>
        <v>50000</v>
      </c>
    </row>
    <row r="588" spans="1:13" x14ac:dyDescent="0.3">
      <c r="A588" t="s">
        <v>59</v>
      </c>
      <c r="B588" t="s">
        <v>51</v>
      </c>
      <c r="C588">
        <v>55000</v>
      </c>
      <c r="D588" t="s">
        <v>34</v>
      </c>
      <c r="E588" t="s">
        <v>20</v>
      </c>
      <c r="F588" t="s">
        <v>41</v>
      </c>
      <c r="G588" s="2">
        <v>43881</v>
      </c>
      <c r="H588" t="s">
        <v>15</v>
      </c>
      <c r="I588" t="s">
        <v>32</v>
      </c>
      <c r="J588" t="s">
        <v>28</v>
      </c>
      <c r="K588" s="5" t="s">
        <v>33</v>
      </c>
      <c r="L588" s="6" cm="1">
        <f t="array" ref="L588">_xlfn.SWITCH(Table13_2[[#This Row],[Performance Score]],"A",6,"B",5,"C",4,"D",3,"E",2,"F",1)</f>
        <v>3</v>
      </c>
      <c r="M588" s="5">
        <f t="shared" si="9"/>
        <v>55000</v>
      </c>
    </row>
    <row r="589" spans="1:13" x14ac:dyDescent="0.3">
      <c r="A589" t="s">
        <v>56</v>
      </c>
      <c r="B589" t="s">
        <v>51</v>
      </c>
      <c r="C589">
        <v>50000</v>
      </c>
      <c r="D589" t="s">
        <v>34</v>
      </c>
      <c r="E589" t="s">
        <v>20</v>
      </c>
      <c r="F589" t="s">
        <v>37</v>
      </c>
      <c r="G589" s="2" t="s">
        <v>62</v>
      </c>
      <c r="H589" t="s">
        <v>15</v>
      </c>
      <c r="I589" t="s">
        <v>32</v>
      </c>
      <c r="J589" t="s">
        <v>17</v>
      </c>
      <c r="K589" s="5" t="s">
        <v>29</v>
      </c>
      <c r="L589" s="6" cm="1">
        <f t="array" ref="L589">_xlfn.SWITCH(Table13_2[[#This Row],[Performance Score]],"A",6,"B",5,"C",4,"D",3,"E",2,"F",1)</f>
        <v>3</v>
      </c>
      <c r="M589" s="5">
        <f t="shared" si="9"/>
        <v>50000</v>
      </c>
    </row>
    <row r="590" spans="1:13" x14ac:dyDescent="0.3">
      <c r="A590" t="s">
        <v>64</v>
      </c>
      <c r="B590">
        <v>50</v>
      </c>
      <c r="C590">
        <v>50000</v>
      </c>
      <c r="D590" t="s">
        <v>12</v>
      </c>
      <c r="E590" t="s">
        <v>35</v>
      </c>
      <c r="F590" t="s">
        <v>14</v>
      </c>
      <c r="G590" s="2" t="s">
        <v>55</v>
      </c>
      <c r="H590" t="s">
        <v>31</v>
      </c>
      <c r="I590" t="s">
        <v>32</v>
      </c>
      <c r="J590" t="s">
        <v>17</v>
      </c>
      <c r="K590" s="5" t="s">
        <v>43</v>
      </c>
      <c r="L590" s="6" cm="1">
        <f t="array" ref="L590">_xlfn.SWITCH(Table13_2[[#This Row],[Performance Score]],"A",6,"B",5,"C",4,"D",3,"E",2,"F",1)</f>
        <v>6</v>
      </c>
      <c r="M590" s="5">
        <f t="shared" si="9"/>
        <v>50000</v>
      </c>
    </row>
    <row r="591" spans="1:13" x14ac:dyDescent="0.3">
      <c r="A591" t="s">
        <v>56</v>
      </c>
      <c r="B591">
        <v>40</v>
      </c>
      <c r="C591">
        <v>60000</v>
      </c>
      <c r="D591" t="s">
        <v>12</v>
      </c>
      <c r="E591" t="s">
        <v>20</v>
      </c>
      <c r="F591" t="s">
        <v>41</v>
      </c>
      <c r="G591" s="2" t="s">
        <v>50</v>
      </c>
      <c r="H591" t="s">
        <v>31</v>
      </c>
      <c r="I591" t="s">
        <v>16</v>
      </c>
      <c r="J591" t="s">
        <v>24</v>
      </c>
      <c r="K591" s="5" t="s">
        <v>29</v>
      </c>
      <c r="L591" s="6" cm="1">
        <f t="array" ref="L591">_xlfn.SWITCH(Table13_2[[#This Row],[Performance Score]],"A",6,"B",5,"C",4,"D",3,"E",2,"F",1)</f>
        <v>6</v>
      </c>
      <c r="M591" s="5">
        <f t="shared" si="9"/>
        <v>60000</v>
      </c>
    </row>
    <row r="592" spans="1:13" x14ac:dyDescent="0.3">
      <c r="A592" t="s">
        <v>56</v>
      </c>
      <c r="B592">
        <v>40</v>
      </c>
      <c r="C592">
        <v>0</v>
      </c>
      <c r="D592" t="s">
        <v>12</v>
      </c>
      <c r="E592" t="s">
        <v>26</v>
      </c>
      <c r="F592" t="s">
        <v>14</v>
      </c>
      <c r="G592" s="2">
        <v>43881</v>
      </c>
      <c r="H592" t="s">
        <v>31</v>
      </c>
      <c r="I592" t="s">
        <v>39</v>
      </c>
      <c r="J592" t="s">
        <v>42</v>
      </c>
      <c r="K592" s="5" t="s">
        <v>29</v>
      </c>
      <c r="L592" s="6" cm="1">
        <f t="array" ref="L592">_xlfn.SWITCH(Table13_2[[#This Row],[Performance Score]],"A",6,"B",5,"C",4,"D",3,"E",2,"F",1)</f>
        <v>6</v>
      </c>
      <c r="M592" s="5">
        <f t="shared" si="9"/>
        <v>50742.574257425746</v>
      </c>
    </row>
    <row r="593" spans="1:13" x14ac:dyDescent="0.3">
      <c r="A593" t="s">
        <v>52</v>
      </c>
      <c r="B593">
        <v>50</v>
      </c>
      <c r="C593">
        <v>65000</v>
      </c>
      <c r="D593" t="s">
        <v>12</v>
      </c>
      <c r="E593" t="s">
        <v>13</v>
      </c>
      <c r="F593" t="s">
        <v>41</v>
      </c>
      <c r="G593" s="2" t="s">
        <v>55</v>
      </c>
      <c r="H593" t="s">
        <v>27</v>
      </c>
      <c r="I593" t="s">
        <v>23</v>
      </c>
      <c r="J593" t="s">
        <v>42</v>
      </c>
      <c r="K593" s="5" t="s">
        <v>18</v>
      </c>
      <c r="L593" s="6" cm="1">
        <f t="array" ref="L593">_xlfn.SWITCH(Table13_2[[#This Row],[Performance Score]],"A",6,"B",5,"C",4,"D",3,"E",2,"F",1)</f>
        <v>4</v>
      </c>
      <c r="M593" s="5">
        <f t="shared" si="9"/>
        <v>65000</v>
      </c>
    </row>
    <row r="594" spans="1:13" x14ac:dyDescent="0.3">
      <c r="A594" t="s">
        <v>61</v>
      </c>
      <c r="B594" t="s">
        <v>51</v>
      </c>
      <c r="C594">
        <v>55000</v>
      </c>
      <c r="D594" t="s">
        <v>12</v>
      </c>
      <c r="E594" t="s">
        <v>13</v>
      </c>
      <c r="F594" t="s">
        <v>40</v>
      </c>
      <c r="G594" s="2" t="s">
        <v>60</v>
      </c>
      <c r="H594" t="s">
        <v>31</v>
      </c>
      <c r="I594" t="s">
        <v>32</v>
      </c>
      <c r="J594" t="s">
        <v>24</v>
      </c>
      <c r="K594" s="5" t="s">
        <v>36</v>
      </c>
      <c r="L594" s="6" cm="1">
        <f t="array" ref="L594">_xlfn.SWITCH(Table13_2[[#This Row],[Performance Score]],"A",6,"B",5,"C",4,"D",3,"E",2,"F",1)</f>
        <v>6</v>
      </c>
      <c r="M594" s="5">
        <f t="shared" si="9"/>
        <v>55000</v>
      </c>
    </row>
    <row r="595" spans="1:13" x14ac:dyDescent="0.3">
      <c r="A595" t="s">
        <v>61</v>
      </c>
      <c r="B595" t="s">
        <v>51</v>
      </c>
      <c r="C595">
        <v>50000</v>
      </c>
      <c r="D595" t="s">
        <v>12</v>
      </c>
      <c r="E595" t="s">
        <v>13</v>
      </c>
      <c r="F595" t="s">
        <v>40</v>
      </c>
      <c r="G595" s="2">
        <v>43881</v>
      </c>
      <c r="H595" t="s">
        <v>22</v>
      </c>
      <c r="I595" t="s">
        <v>32</v>
      </c>
      <c r="J595" t="s">
        <v>17</v>
      </c>
      <c r="K595" s="5" t="s">
        <v>36</v>
      </c>
      <c r="L595" s="6" cm="1">
        <f t="array" ref="L595">_xlfn.SWITCH(Table13_2[[#This Row],[Performance Score]],"A",6,"B",5,"C",4,"D",3,"E",2,"F",1)</f>
        <v>1</v>
      </c>
      <c r="M595" s="5">
        <f t="shared" si="9"/>
        <v>50000</v>
      </c>
    </row>
    <row r="596" spans="1:13" x14ac:dyDescent="0.3">
      <c r="A596" t="s">
        <v>52</v>
      </c>
      <c r="B596" t="s">
        <v>51</v>
      </c>
      <c r="C596">
        <v>55000</v>
      </c>
      <c r="D596" t="s">
        <v>34</v>
      </c>
      <c r="E596" t="s">
        <v>20</v>
      </c>
      <c r="F596" t="s">
        <v>40</v>
      </c>
      <c r="G596" s="2" t="s">
        <v>55</v>
      </c>
      <c r="H596" t="s">
        <v>15</v>
      </c>
      <c r="I596" t="s">
        <v>16</v>
      </c>
      <c r="J596" t="s">
        <v>17</v>
      </c>
      <c r="K596" s="5" t="s">
        <v>18</v>
      </c>
      <c r="L596" s="6" cm="1">
        <f t="array" ref="L596">_xlfn.SWITCH(Table13_2[[#This Row],[Performance Score]],"A",6,"B",5,"C",4,"D",3,"E",2,"F",1)</f>
        <v>3</v>
      </c>
      <c r="M596" s="5">
        <f t="shared" si="9"/>
        <v>55000</v>
      </c>
    </row>
    <row r="597" spans="1:13" x14ac:dyDescent="0.3">
      <c r="A597" t="s">
        <v>67</v>
      </c>
      <c r="B597" t="s">
        <v>63</v>
      </c>
      <c r="C597">
        <v>0</v>
      </c>
      <c r="D597" t="s">
        <v>34</v>
      </c>
      <c r="E597" t="s">
        <v>20</v>
      </c>
      <c r="F597" t="s">
        <v>14</v>
      </c>
      <c r="G597" s="2" t="s">
        <v>62</v>
      </c>
      <c r="H597" t="s">
        <v>22</v>
      </c>
      <c r="I597" t="s">
        <v>23</v>
      </c>
      <c r="J597" t="s">
        <v>42</v>
      </c>
      <c r="K597" s="5" t="s">
        <v>46</v>
      </c>
      <c r="L597" s="6" cm="1">
        <f t="array" ref="L597">_xlfn.SWITCH(Table13_2[[#This Row],[Performance Score]],"A",6,"B",5,"C",4,"D",3,"E",2,"F",1)</f>
        <v>1</v>
      </c>
      <c r="M597" s="5">
        <f t="shared" si="9"/>
        <v>48417.431192660551</v>
      </c>
    </row>
    <row r="598" spans="1:13" x14ac:dyDescent="0.3">
      <c r="A598" t="s">
        <v>65</v>
      </c>
      <c r="B598" t="s">
        <v>51</v>
      </c>
      <c r="C598">
        <v>65000</v>
      </c>
      <c r="D598" t="s">
        <v>19</v>
      </c>
      <c r="E598" t="s">
        <v>30</v>
      </c>
      <c r="F598" t="s">
        <v>21</v>
      </c>
      <c r="G598" s="2" t="s">
        <v>60</v>
      </c>
      <c r="H598" t="s">
        <v>31</v>
      </c>
      <c r="I598" t="s">
        <v>39</v>
      </c>
      <c r="J598" t="s">
        <v>28</v>
      </c>
      <c r="K598" s="5" t="s">
        <v>44</v>
      </c>
      <c r="L598" s="6" cm="1">
        <f t="array" ref="L598">_xlfn.SWITCH(Table13_2[[#This Row],[Performance Score]],"A",6,"B",5,"C",4,"D",3,"E",2,"F",1)</f>
        <v>6</v>
      </c>
      <c r="M598" s="5">
        <f t="shared" si="9"/>
        <v>65000</v>
      </c>
    </row>
    <row r="599" spans="1:13" x14ac:dyDescent="0.3">
      <c r="A599" t="s">
        <v>67</v>
      </c>
      <c r="B599">
        <v>35</v>
      </c>
      <c r="C599">
        <v>0</v>
      </c>
      <c r="D599" t="s">
        <v>34</v>
      </c>
      <c r="E599" t="s">
        <v>30</v>
      </c>
      <c r="F599" t="s">
        <v>41</v>
      </c>
      <c r="G599" s="2" t="s">
        <v>62</v>
      </c>
      <c r="H599" t="s">
        <v>27</v>
      </c>
      <c r="I599" t="s">
        <v>39</v>
      </c>
      <c r="J599" t="s">
        <v>17</v>
      </c>
      <c r="K599" s="5" t="s">
        <v>46</v>
      </c>
      <c r="L599" s="6" cm="1">
        <f t="array" ref="L599">_xlfn.SWITCH(Table13_2[[#This Row],[Performance Score]],"A",6,"B",5,"C",4,"D",3,"E",2,"F",1)</f>
        <v>4</v>
      </c>
      <c r="M599" s="5">
        <f t="shared" si="9"/>
        <v>50777.202072538857</v>
      </c>
    </row>
    <row r="600" spans="1:13" x14ac:dyDescent="0.3">
      <c r="A600" t="s">
        <v>66</v>
      </c>
      <c r="B600">
        <v>25</v>
      </c>
      <c r="C600">
        <v>65000</v>
      </c>
      <c r="D600" t="s">
        <v>34</v>
      </c>
      <c r="E600" t="s">
        <v>13</v>
      </c>
      <c r="F600" t="s">
        <v>40</v>
      </c>
      <c r="G600" s="2" t="s">
        <v>55</v>
      </c>
      <c r="H600" t="s">
        <v>27</v>
      </c>
      <c r="I600" t="s">
        <v>16</v>
      </c>
      <c r="J600" t="s">
        <v>28</v>
      </c>
      <c r="K600" s="5" t="s">
        <v>45</v>
      </c>
      <c r="L600" s="6" cm="1">
        <f t="array" ref="L600">_xlfn.SWITCH(Table13_2[[#This Row],[Performance Score]],"A",6,"B",5,"C",4,"D",3,"E",2,"F",1)</f>
        <v>4</v>
      </c>
      <c r="M600" s="5">
        <f t="shared" si="9"/>
        <v>65000</v>
      </c>
    </row>
    <row r="601" spans="1:13" x14ac:dyDescent="0.3">
      <c r="A601" t="s">
        <v>66</v>
      </c>
      <c r="B601" t="s">
        <v>51</v>
      </c>
      <c r="C601">
        <v>70000</v>
      </c>
      <c r="D601" t="s">
        <v>12</v>
      </c>
      <c r="E601" t="s">
        <v>26</v>
      </c>
      <c r="F601" t="s">
        <v>41</v>
      </c>
      <c r="G601" s="2" t="s">
        <v>62</v>
      </c>
      <c r="H601" t="s">
        <v>15</v>
      </c>
      <c r="I601" t="s">
        <v>39</v>
      </c>
      <c r="J601" t="s">
        <v>17</v>
      </c>
      <c r="K601" s="5" t="s">
        <v>45</v>
      </c>
      <c r="L601" s="6" cm="1">
        <f t="array" ref="L601">_xlfn.SWITCH(Table13_2[[#This Row],[Performance Score]],"A",6,"B",5,"C",4,"D",3,"E",2,"F",1)</f>
        <v>3</v>
      </c>
      <c r="M601" s="5">
        <f t="shared" si="9"/>
        <v>70000</v>
      </c>
    </row>
    <row r="602" spans="1:13" x14ac:dyDescent="0.3">
      <c r="A602" t="s">
        <v>56</v>
      </c>
      <c r="B602">
        <v>50</v>
      </c>
      <c r="C602">
        <v>65000</v>
      </c>
      <c r="D602" t="s">
        <v>12</v>
      </c>
      <c r="E602" t="s">
        <v>30</v>
      </c>
      <c r="F602" t="s">
        <v>14</v>
      </c>
      <c r="G602" s="2" t="s">
        <v>55</v>
      </c>
      <c r="H602" t="s">
        <v>22</v>
      </c>
      <c r="I602" t="s">
        <v>39</v>
      </c>
      <c r="J602" t="s">
        <v>28</v>
      </c>
      <c r="K602" s="5" t="s">
        <v>29</v>
      </c>
      <c r="L602" s="6" cm="1">
        <f t="array" ref="L602">_xlfn.SWITCH(Table13_2[[#This Row],[Performance Score]],"A",6,"B",5,"C",4,"D",3,"E",2,"F",1)</f>
        <v>1</v>
      </c>
      <c r="M602" s="5">
        <f t="shared" si="9"/>
        <v>65000</v>
      </c>
    </row>
    <row r="603" spans="1:13" x14ac:dyDescent="0.3">
      <c r="A603" t="s">
        <v>64</v>
      </c>
      <c r="B603">
        <v>25</v>
      </c>
      <c r="C603">
        <v>60000</v>
      </c>
      <c r="D603" t="s">
        <v>34</v>
      </c>
      <c r="E603" t="s">
        <v>30</v>
      </c>
      <c r="F603" t="s">
        <v>21</v>
      </c>
      <c r="G603" s="2" t="s">
        <v>55</v>
      </c>
      <c r="H603" t="s">
        <v>38</v>
      </c>
      <c r="I603" t="s">
        <v>32</v>
      </c>
      <c r="J603" t="s">
        <v>17</v>
      </c>
      <c r="K603" s="5" t="s">
        <v>43</v>
      </c>
      <c r="L603" s="6" cm="1">
        <f t="array" ref="L603">_xlfn.SWITCH(Table13_2[[#This Row],[Performance Score]],"A",6,"B",5,"C",4,"D",3,"E",2,"F",1)</f>
        <v>5</v>
      </c>
      <c r="M603" s="5">
        <f t="shared" si="9"/>
        <v>60000</v>
      </c>
    </row>
    <row r="604" spans="1:13" x14ac:dyDescent="0.3">
      <c r="A604" t="s">
        <v>64</v>
      </c>
      <c r="B604" t="s">
        <v>63</v>
      </c>
      <c r="C604">
        <v>0</v>
      </c>
      <c r="D604" t="s">
        <v>19</v>
      </c>
      <c r="E604" t="s">
        <v>20</v>
      </c>
      <c r="F604" t="s">
        <v>14</v>
      </c>
      <c r="G604" s="2" t="s">
        <v>62</v>
      </c>
      <c r="H604" t="s">
        <v>22</v>
      </c>
      <c r="I604" t="s">
        <v>32</v>
      </c>
      <c r="J604" t="s">
        <v>28</v>
      </c>
      <c r="K604" s="5" t="s">
        <v>43</v>
      </c>
      <c r="L604" s="6" cm="1">
        <f t="array" ref="L604">_xlfn.SWITCH(Table13_2[[#This Row],[Performance Score]],"A",6,"B",5,"C",4,"D",3,"E",2,"F",1)</f>
        <v>1</v>
      </c>
      <c r="M604" s="5">
        <f t="shared" si="9"/>
        <v>48417.431192660551</v>
      </c>
    </row>
    <row r="605" spans="1:13" x14ac:dyDescent="0.3">
      <c r="A605" t="s">
        <v>61</v>
      </c>
      <c r="B605">
        <v>50</v>
      </c>
      <c r="C605">
        <v>50000</v>
      </c>
      <c r="D605" t="s">
        <v>12</v>
      </c>
      <c r="E605" t="s">
        <v>26</v>
      </c>
      <c r="F605" t="s">
        <v>41</v>
      </c>
      <c r="G605" s="2" t="s">
        <v>55</v>
      </c>
      <c r="H605" t="s">
        <v>31</v>
      </c>
      <c r="I605" t="s">
        <v>23</v>
      </c>
      <c r="J605" t="s">
        <v>28</v>
      </c>
      <c r="K605" s="5" t="s">
        <v>36</v>
      </c>
      <c r="L605" s="6" cm="1">
        <f t="array" ref="L605">_xlfn.SWITCH(Table13_2[[#This Row],[Performance Score]],"A",6,"B",5,"C",4,"D",3,"E",2,"F",1)</f>
        <v>6</v>
      </c>
      <c r="M605" s="5">
        <f t="shared" si="9"/>
        <v>50000</v>
      </c>
    </row>
    <row r="606" spans="1:13" x14ac:dyDescent="0.3">
      <c r="A606" t="s">
        <v>49</v>
      </c>
      <c r="B606">
        <v>25</v>
      </c>
      <c r="C606">
        <v>70000</v>
      </c>
      <c r="D606" t="s">
        <v>34</v>
      </c>
      <c r="E606" t="s">
        <v>13</v>
      </c>
      <c r="F606" t="s">
        <v>21</v>
      </c>
      <c r="G606" s="2">
        <v>43881</v>
      </c>
      <c r="H606" t="s">
        <v>38</v>
      </c>
      <c r="I606" t="s">
        <v>39</v>
      </c>
      <c r="J606" t="s">
        <v>28</v>
      </c>
      <c r="K606" s="5" t="s">
        <v>11</v>
      </c>
      <c r="L606" s="6" cm="1">
        <f t="array" ref="L606">_xlfn.SWITCH(Table13_2[[#This Row],[Performance Score]],"A",6,"B",5,"C",4,"D",3,"E",2,"F",1)</f>
        <v>5</v>
      </c>
      <c r="M606" s="5">
        <f t="shared" si="9"/>
        <v>70000</v>
      </c>
    </row>
    <row r="607" spans="1:13" x14ac:dyDescent="0.3">
      <c r="A607" t="s">
        <v>67</v>
      </c>
      <c r="B607">
        <v>50</v>
      </c>
      <c r="C607">
        <v>60000</v>
      </c>
      <c r="D607" t="s">
        <v>34</v>
      </c>
      <c r="E607" t="s">
        <v>30</v>
      </c>
      <c r="F607" t="s">
        <v>21</v>
      </c>
      <c r="G607" s="2" t="s">
        <v>55</v>
      </c>
      <c r="H607" t="s">
        <v>27</v>
      </c>
      <c r="I607" t="s">
        <v>32</v>
      </c>
      <c r="J607" t="s">
        <v>28</v>
      </c>
      <c r="K607" s="5" t="s">
        <v>46</v>
      </c>
      <c r="L607" s="6" cm="1">
        <f t="array" ref="L607">_xlfn.SWITCH(Table13_2[[#This Row],[Performance Score]],"A",6,"B",5,"C",4,"D",3,"E",2,"F",1)</f>
        <v>4</v>
      </c>
      <c r="M607" s="5">
        <f t="shared" si="9"/>
        <v>60000</v>
      </c>
    </row>
    <row r="608" spans="1:13" x14ac:dyDescent="0.3">
      <c r="A608" t="s">
        <v>59</v>
      </c>
      <c r="B608" t="s">
        <v>63</v>
      </c>
      <c r="C608">
        <v>55000</v>
      </c>
      <c r="D608" t="s">
        <v>19</v>
      </c>
      <c r="E608" t="s">
        <v>26</v>
      </c>
      <c r="F608" t="s">
        <v>14</v>
      </c>
      <c r="G608" s="2" t="s">
        <v>50</v>
      </c>
      <c r="H608" t="s">
        <v>15</v>
      </c>
      <c r="I608" t="s">
        <v>32</v>
      </c>
      <c r="J608" t="s">
        <v>24</v>
      </c>
      <c r="K608" s="5" t="s">
        <v>33</v>
      </c>
      <c r="L608" s="6" cm="1">
        <f t="array" ref="L608">_xlfn.SWITCH(Table13_2[[#This Row],[Performance Score]],"A",6,"B",5,"C",4,"D",3,"E",2,"F",1)</f>
        <v>3</v>
      </c>
      <c r="M608" s="5">
        <f t="shared" si="9"/>
        <v>55000</v>
      </c>
    </row>
    <row r="609" spans="1:13" x14ac:dyDescent="0.3">
      <c r="A609" t="s">
        <v>53</v>
      </c>
      <c r="B609">
        <v>35</v>
      </c>
      <c r="C609">
        <v>0</v>
      </c>
      <c r="D609" t="s">
        <v>19</v>
      </c>
      <c r="E609" t="s">
        <v>26</v>
      </c>
      <c r="F609" t="s">
        <v>40</v>
      </c>
      <c r="G609" s="2" t="s">
        <v>55</v>
      </c>
      <c r="H609" t="s">
        <v>15</v>
      </c>
      <c r="I609" t="s">
        <v>23</v>
      </c>
      <c r="J609" t="s">
        <v>17</v>
      </c>
      <c r="K609" s="5" t="s">
        <v>25</v>
      </c>
      <c r="L609" s="6" cm="1">
        <f t="array" ref="L609">_xlfn.SWITCH(Table13_2[[#This Row],[Performance Score]],"A",6,"B",5,"C",4,"D",3,"E",2,"F",1)</f>
        <v>3</v>
      </c>
      <c r="M609" s="5">
        <f t="shared" si="9"/>
        <v>50742.574257425746</v>
      </c>
    </row>
    <row r="610" spans="1:13" x14ac:dyDescent="0.3">
      <c r="A610" t="s">
        <v>64</v>
      </c>
      <c r="B610" t="s">
        <v>63</v>
      </c>
      <c r="C610">
        <v>50000</v>
      </c>
      <c r="D610" t="s">
        <v>12</v>
      </c>
      <c r="E610" t="s">
        <v>13</v>
      </c>
      <c r="F610" t="s">
        <v>41</v>
      </c>
      <c r="G610" s="2" t="s">
        <v>50</v>
      </c>
      <c r="H610" t="s">
        <v>27</v>
      </c>
      <c r="I610" t="s">
        <v>39</v>
      </c>
      <c r="J610" t="s">
        <v>17</v>
      </c>
      <c r="K610" s="5" t="s">
        <v>43</v>
      </c>
      <c r="L610" s="6" cm="1">
        <f t="array" ref="L610">_xlfn.SWITCH(Table13_2[[#This Row],[Performance Score]],"A",6,"B",5,"C",4,"D",3,"E",2,"F",1)</f>
        <v>4</v>
      </c>
      <c r="M610" s="5">
        <f t="shared" si="9"/>
        <v>50000</v>
      </c>
    </row>
    <row r="611" spans="1:13" x14ac:dyDescent="0.3">
      <c r="A611" t="s">
        <v>53</v>
      </c>
      <c r="B611" t="s">
        <v>63</v>
      </c>
      <c r="C611">
        <v>65000</v>
      </c>
      <c r="D611" t="s">
        <v>19</v>
      </c>
      <c r="E611" t="s">
        <v>26</v>
      </c>
      <c r="F611" t="s">
        <v>37</v>
      </c>
      <c r="G611" s="2" t="s">
        <v>55</v>
      </c>
      <c r="H611" t="s">
        <v>31</v>
      </c>
      <c r="I611" t="s">
        <v>32</v>
      </c>
      <c r="J611" t="s">
        <v>17</v>
      </c>
      <c r="K611" s="5" t="s">
        <v>25</v>
      </c>
      <c r="L611" s="6" cm="1">
        <f t="array" ref="L611">_xlfn.SWITCH(Table13_2[[#This Row],[Performance Score]],"A",6,"B",5,"C",4,"D",3,"E",2,"F",1)</f>
        <v>6</v>
      </c>
      <c r="M611" s="5">
        <f t="shared" si="9"/>
        <v>65000</v>
      </c>
    </row>
    <row r="612" spans="1:13" x14ac:dyDescent="0.3">
      <c r="A612" t="s">
        <v>56</v>
      </c>
      <c r="B612">
        <v>50</v>
      </c>
      <c r="C612">
        <v>50000</v>
      </c>
      <c r="D612" t="s">
        <v>34</v>
      </c>
      <c r="E612" t="s">
        <v>26</v>
      </c>
      <c r="F612" t="s">
        <v>37</v>
      </c>
      <c r="G612" s="2" t="s">
        <v>55</v>
      </c>
      <c r="H612" t="s">
        <v>27</v>
      </c>
      <c r="I612" t="s">
        <v>16</v>
      </c>
      <c r="J612" t="s">
        <v>24</v>
      </c>
      <c r="K612" s="5" t="s">
        <v>29</v>
      </c>
      <c r="L612" s="6" cm="1">
        <f t="array" ref="L612">_xlfn.SWITCH(Table13_2[[#This Row],[Performance Score]],"A",6,"B",5,"C",4,"D",3,"E",2,"F",1)</f>
        <v>4</v>
      </c>
      <c r="M612" s="5">
        <f t="shared" si="9"/>
        <v>50000</v>
      </c>
    </row>
    <row r="613" spans="1:13" x14ac:dyDescent="0.3">
      <c r="A613" t="s">
        <v>53</v>
      </c>
      <c r="B613">
        <v>40</v>
      </c>
      <c r="C613">
        <v>55000</v>
      </c>
      <c r="D613" t="s">
        <v>34</v>
      </c>
      <c r="E613" t="s">
        <v>26</v>
      </c>
      <c r="F613" t="s">
        <v>14</v>
      </c>
      <c r="G613" s="2" t="s">
        <v>62</v>
      </c>
      <c r="H613" t="s">
        <v>31</v>
      </c>
      <c r="I613" t="s">
        <v>16</v>
      </c>
      <c r="J613" t="s">
        <v>24</v>
      </c>
      <c r="K613" s="5" t="s">
        <v>25</v>
      </c>
      <c r="L613" s="6" cm="1">
        <f t="array" ref="L613">_xlfn.SWITCH(Table13_2[[#This Row],[Performance Score]],"A",6,"B",5,"C",4,"D",3,"E",2,"F",1)</f>
        <v>6</v>
      </c>
      <c r="M613" s="5">
        <f t="shared" si="9"/>
        <v>55000</v>
      </c>
    </row>
    <row r="614" spans="1:13" x14ac:dyDescent="0.3">
      <c r="A614" t="s">
        <v>59</v>
      </c>
      <c r="B614" t="s">
        <v>51</v>
      </c>
      <c r="C614">
        <v>70000</v>
      </c>
      <c r="D614" t="s">
        <v>19</v>
      </c>
      <c r="E614" t="s">
        <v>30</v>
      </c>
      <c r="F614" t="s">
        <v>41</v>
      </c>
      <c r="G614" s="2">
        <v>43881</v>
      </c>
      <c r="H614" t="s">
        <v>38</v>
      </c>
      <c r="I614" t="s">
        <v>39</v>
      </c>
      <c r="J614" t="s">
        <v>24</v>
      </c>
      <c r="K614" s="5" t="s">
        <v>33</v>
      </c>
      <c r="L614" s="6" cm="1">
        <f t="array" ref="L614">_xlfn.SWITCH(Table13_2[[#This Row],[Performance Score]],"A",6,"B",5,"C",4,"D",3,"E",2,"F",1)</f>
        <v>5</v>
      </c>
      <c r="M614" s="5">
        <f t="shared" si="9"/>
        <v>70000</v>
      </c>
    </row>
    <row r="615" spans="1:13" x14ac:dyDescent="0.3">
      <c r="A615" t="s">
        <v>52</v>
      </c>
      <c r="B615" t="s">
        <v>51</v>
      </c>
      <c r="C615">
        <v>70000</v>
      </c>
      <c r="D615" t="s">
        <v>19</v>
      </c>
      <c r="E615" t="s">
        <v>13</v>
      </c>
      <c r="F615" t="s">
        <v>41</v>
      </c>
      <c r="G615" s="2">
        <v>43881</v>
      </c>
      <c r="H615" t="s">
        <v>27</v>
      </c>
      <c r="I615" t="s">
        <v>39</v>
      </c>
      <c r="J615" t="s">
        <v>24</v>
      </c>
      <c r="K615" s="5" t="s">
        <v>18</v>
      </c>
      <c r="L615" s="6" cm="1">
        <f t="array" ref="L615">_xlfn.SWITCH(Table13_2[[#This Row],[Performance Score]],"A",6,"B",5,"C",4,"D",3,"E",2,"F",1)</f>
        <v>4</v>
      </c>
      <c r="M615" s="5">
        <f t="shared" si="9"/>
        <v>70000</v>
      </c>
    </row>
    <row r="616" spans="1:13" x14ac:dyDescent="0.3">
      <c r="A616" t="s">
        <v>59</v>
      </c>
      <c r="B616">
        <v>35</v>
      </c>
      <c r="C616">
        <v>0</v>
      </c>
      <c r="D616" t="s">
        <v>19</v>
      </c>
      <c r="E616" t="s">
        <v>26</v>
      </c>
      <c r="F616" t="s">
        <v>14</v>
      </c>
      <c r="G616" s="2" t="s">
        <v>60</v>
      </c>
      <c r="H616" t="s">
        <v>31</v>
      </c>
      <c r="I616" t="s">
        <v>23</v>
      </c>
      <c r="J616" t="s">
        <v>28</v>
      </c>
      <c r="K616" s="5" t="s">
        <v>33</v>
      </c>
      <c r="L616" s="6" cm="1">
        <f t="array" ref="L616">_xlfn.SWITCH(Table13_2[[#This Row],[Performance Score]],"A",6,"B",5,"C",4,"D",3,"E",2,"F",1)</f>
        <v>6</v>
      </c>
      <c r="M616" s="5">
        <f t="shared" si="9"/>
        <v>50742.574257425746</v>
      </c>
    </row>
    <row r="617" spans="1:13" x14ac:dyDescent="0.3">
      <c r="A617" t="s">
        <v>53</v>
      </c>
      <c r="B617">
        <v>35</v>
      </c>
      <c r="C617">
        <v>70000</v>
      </c>
      <c r="D617" t="s">
        <v>19</v>
      </c>
      <c r="E617" t="s">
        <v>26</v>
      </c>
      <c r="F617" t="s">
        <v>41</v>
      </c>
      <c r="G617" s="2" t="s">
        <v>62</v>
      </c>
      <c r="H617" t="s">
        <v>38</v>
      </c>
      <c r="I617" t="s">
        <v>16</v>
      </c>
      <c r="J617" t="s">
        <v>17</v>
      </c>
      <c r="K617" s="5" t="s">
        <v>25</v>
      </c>
      <c r="L617" s="6" cm="1">
        <f t="array" ref="L617">_xlfn.SWITCH(Table13_2[[#This Row],[Performance Score]],"A",6,"B",5,"C",4,"D",3,"E",2,"F",1)</f>
        <v>5</v>
      </c>
      <c r="M617" s="5">
        <f t="shared" si="9"/>
        <v>70000</v>
      </c>
    </row>
    <row r="618" spans="1:13" x14ac:dyDescent="0.3">
      <c r="A618" t="s">
        <v>59</v>
      </c>
      <c r="B618" t="s">
        <v>51</v>
      </c>
      <c r="C618">
        <v>0</v>
      </c>
      <c r="D618" t="s">
        <v>12</v>
      </c>
      <c r="E618" t="s">
        <v>30</v>
      </c>
      <c r="F618" t="s">
        <v>40</v>
      </c>
      <c r="G618" s="2" t="s">
        <v>62</v>
      </c>
      <c r="H618" t="s">
        <v>27</v>
      </c>
      <c r="I618" t="s">
        <v>16</v>
      </c>
      <c r="J618" t="s">
        <v>42</v>
      </c>
      <c r="K618" s="5" t="s">
        <v>33</v>
      </c>
      <c r="L618" s="6" cm="1">
        <f t="array" ref="L618">_xlfn.SWITCH(Table13_2[[#This Row],[Performance Score]],"A",6,"B",5,"C",4,"D",3,"E",2,"F",1)</f>
        <v>4</v>
      </c>
      <c r="M618" s="5">
        <f t="shared" si="9"/>
        <v>50777.202072538857</v>
      </c>
    </row>
    <row r="619" spans="1:13" x14ac:dyDescent="0.3">
      <c r="A619" t="s">
        <v>65</v>
      </c>
      <c r="B619">
        <v>40</v>
      </c>
      <c r="C619">
        <v>0</v>
      </c>
      <c r="D619" t="s">
        <v>19</v>
      </c>
      <c r="E619" t="s">
        <v>13</v>
      </c>
      <c r="F619" t="s">
        <v>14</v>
      </c>
      <c r="G619" s="2">
        <v>43881</v>
      </c>
      <c r="H619" t="s">
        <v>15</v>
      </c>
      <c r="I619" t="s">
        <v>39</v>
      </c>
      <c r="J619" t="s">
        <v>17</v>
      </c>
      <c r="K619" s="5" t="s">
        <v>44</v>
      </c>
      <c r="L619" s="6" cm="1">
        <f t="array" ref="L619">_xlfn.SWITCH(Table13_2[[#This Row],[Performance Score]],"A",6,"B",5,"C",4,"D",3,"E",2,"F",1)</f>
        <v>3</v>
      </c>
      <c r="M619" s="5">
        <f t="shared" si="9"/>
        <v>51825</v>
      </c>
    </row>
    <row r="620" spans="1:13" x14ac:dyDescent="0.3">
      <c r="A620" t="s">
        <v>56</v>
      </c>
      <c r="B620" t="s">
        <v>51</v>
      </c>
      <c r="C620">
        <v>0</v>
      </c>
      <c r="D620" t="s">
        <v>12</v>
      </c>
      <c r="E620" t="s">
        <v>20</v>
      </c>
      <c r="F620" t="s">
        <v>40</v>
      </c>
      <c r="G620" s="2" t="s">
        <v>62</v>
      </c>
      <c r="H620" t="s">
        <v>27</v>
      </c>
      <c r="I620" t="s">
        <v>39</v>
      </c>
      <c r="J620" t="s">
        <v>24</v>
      </c>
      <c r="K620" s="5" t="s">
        <v>29</v>
      </c>
      <c r="L620" s="6" cm="1">
        <f t="array" ref="L620">_xlfn.SWITCH(Table13_2[[#This Row],[Performance Score]],"A",6,"B",5,"C",4,"D",3,"E",2,"F",1)</f>
        <v>4</v>
      </c>
      <c r="M620" s="5">
        <f t="shared" si="9"/>
        <v>48417.431192660551</v>
      </c>
    </row>
    <row r="621" spans="1:13" x14ac:dyDescent="0.3">
      <c r="A621" t="s">
        <v>67</v>
      </c>
      <c r="B621">
        <v>40</v>
      </c>
      <c r="C621">
        <v>65000</v>
      </c>
      <c r="D621" t="s">
        <v>34</v>
      </c>
      <c r="E621" t="s">
        <v>30</v>
      </c>
      <c r="F621" t="s">
        <v>41</v>
      </c>
      <c r="G621" s="2">
        <v>43881</v>
      </c>
      <c r="H621" t="s">
        <v>22</v>
      </c>
      <c r="I621" t="s">
        <v>39</v>
      </c>
      <c r="J621" t="s">
        <v>17</v>
      </c>
      <c r="K621" s="5" t="s">
        <v>46</v>
      </c>
      <c r="L621" s="6" cm="1">
        <f t="array" ref="L621">_xlfn.SWITCH(Table13_2[[#This Row],[Performance Score]],"A",6,"B",5,"C",4,"D",3,"E",2,"F",1)</f>
        <v>1</v>
      </c>
      <c r="M621" s="5">
        <f t="shared" si="9"/>
        <v>65000</v>
      </c>
    </row>
    <row r="622" spans="1:13" x14ac:dyDescent="0.3">
      <c r="A622" t="s">
        <v>52</v>
      </c>
      <c r="B622">
        <v>35</v>
      </c>
      <c r="C622">
        <v>60000</v>
      </c>
      <c r="D622" t="s">
        <v>19</v>
      </c>
      <c r="E622" t="s">
        <v>13</v>
      </c>
      <c r="F622" t="s">
        <v>14</v>
      </c>
      <c r="G622" s="2" t="s">
        <v>62</v>
      </c>
      <c r="H622" t="s">
        <v>27</v>
      </c>
      <c r="I622" t="s">
        <v>39</v>
      </c>
      <c r="J622" t="s">
        <v>24</v>
      </c>
      <c r="K622" s="5" t="s">
        <v>18</v>
      </c>
      <c r="L622" s="6" cm="1">
        <f t="array" ref="L622">_xlfn.SWITCH(Table13_2[[#This Row],[Performance Score]],"A",6,"B",5,"C",4,"D",3,"E",2,"F",1)</f>
        <v>4</v>
      </c>
      <c r="M622" s="5">
        <f t="shared" si="9"/>
        <v>60000</v>
      </c>
    </row>
    <row r="623" spans="1:13" x14ac:dyDescent="0.3">
      <c r="A623" t="s">
        <v>64</v>
      </c>
      <c r="B623">
        <v>25</v>
      </c>
      <c r="C623">
        <v>0</v>
      </c>
      <c r="D623" t="s">
        <v>12</v>
      </c>
      <c r="E623" t="s">
        <v>26</v>
      </c>
      <c r="F623" t="s">
        <v>41</v>
      </c>
      <c r="G623" s="2" t="s">
        <v>55</v>
      </c>
      <c r="H623" t="s">
        <v>22</v>
      </c>
      <c r="I623" t="s">
        <v>16</v>
      </c>
      <c r="J623" t="s">
        <v>24</v>
      </c>
      <c r="K623" s="5" t="s">
        <v>43</v>
      </c>
      <c r="L623" s="6" cm="1">
        <f t="array" ref="L623">_xlfn.SWITCH(Table13_2[[#This Row],[Performance Score]],"A",6,"B",5,"C",4,"D",3,"E",2,"F",1)</f>
        <v>1</v>
      </c>
      <c r="M623" s="5">
        <f t="shared" si="9"/>
        <v>50742.574257425746</v>
      </c>
    </row>
    <row r="624" spans="1:13" x14ac:dyDescent="0.3">
      <c r="A624" t="s">
        <v>66</v>
      </c>
      <c r="B624">
        <v>50</v>
      </c>
      <c r="C624">
        <v>0</v>
      </c>
      <c r="D624" t="s">
        <v>19</v>
      </c>
      <c r="E624" t="s">
        <v>13</v>
      </c>
      <c r="F624" t="s">
        <v>14</v>
      </c>
      <c r="G624" s="2">
        <v>43881</v>
      </c>
      <c r="H624" t="s">
        <v>38</v>
      </c>
      <c r="I624" t="s">
        <v>23</v>
      </c>
      <c r="J624" t="s">
        <v>24</v>
      </c>
      <c r="K624" s="5" t="s">
        <v>45</v>
      </c>
      <c r="L624" s="6" cm="1">
        <f t="array" ref="L624">_xlfn.SWITCH(Table13_2[[#This Row],[Performance Score]],"A",6,"B",5,"C",4,"D",3,"E",2,"F",1)</f>
        <v>5</v>
      </c>
      <c r="M624" s="5">
        <f t="shared" si="9"/>
        <v>51825</v>
      </c>
    </row>
    <row r="625" spans="1:13" x14ac:dyDescent="0.3">
      <c r="A625" t="s">
        <v>67</v>
      </c>
      <c r="B625">
        <v>35</v>
      </c>
      <c r="C625">
        <v>60000</v>
      </c>
      <c r="D625" t="s">
        <v>34</v>
      </c>
      <c r="E625" t="s">
        <v>13</v>
      </c>
      <c r="F625" t="s">
        <v>41</v>
      </c>
      <c r="G625" s="2">
        <v>43881</v>
      </c>
      <c r="H625" t="s">
        <v>27</v>
      </c>
      <c r="I625" t="s">
        <v>16</v>
      </c>
      <c r="J625" t="s">
        <v>24</v>
      </c>
      <c r="K625" s="5" t="s">
        <v>46</v>
      </c>
      <c r="L625" s="6" cm="1">
        <f t="array" ref="L625">_xlfn.SWITCH(Table13_2[[#This Row],[Performance Score]],"A",6,"B",5,"C",4,"D",3,"E",2,"F",1)</f>
        <v>4</v>
      </c>
      <c r="M625" s="5">
        <f t="shared" si="9"/>
        <v>60000</v>
      </c>
    </row>
    <row r="626" spans="1:13" x14ac:dyDescent="0.3">
      <c r="A626" t="s">
        <v>66</v>
      </c>
      <c r="B626">
        <v>35</v>
      </c>
      <c r="C626">
        <v>50000</v>
      </c>
      <c r="D626" t="s">
        <v>34</v>
      </c>
      <c r="E626" t="s">
        <v>13</v>
      </c>
      <c r="F626" t="s">
        <v>40</v>
      </c>
      <c r="G626" s="2" t="s">
        <v>50</v>
      </c>
      <c r="H626" t="s">
        <v>38</v>
      </c>
      <c r="I626" t="s">
        <v>39</v>
      </c>
      <c r="J626" t="s">
        <v>24</v>
      </c>
      <c r="K626" s="5" t="s">
        <v>45</v>
      </c>
      <c r="L626" s="6" cm="1">
        <f t="array" ref="L626">_xlfn.SWITCH(Table13_2[[#This Row],[Performance Score]],"A",6,"B",5,"C",4,"D",3,"E",2,"F",1)</f>
        <v>5</v>
      </c>
      <c r="M626" s="5">
        <f t="shared" si="9"/>
        <v>50000</v>
      </c>
    </row>
    <row r="627" spans="1:13" x14ac:dyDescent="0.3">
      <c r="A627" t="s">
        <v>56</v>
      </c>
      <c r="B627" t="s">
        <v>63</v>
      </c>
      <c r="C627">
        <v>0</v>
      </c>
      <c r="D627" t="s">
        <v>34</v>
      </c>
      <c r="E627" t="s">
        <v>20</v>
      </c>
      <c r="F627" t="s">
        <v>40</v>
      </c>
      <c r="G627" s="2" t="s">
        <v>62</v>
      </c>
      <c r="H627" t="s">
        <v>38</v>
      </c>
      <c r="I627" t="s">
        <v>16</v>
      </c>
      <c r="J627" t="s">
        <v>17</v>
      </c>
      <c r="K627" s="5" t="s">
        <v>29</v>
      </c>
      <c r="L627" s="6" cm="1">
        <f t="array" ref="L627">_xlfn.SWITCH(Table13_2[[#This Row],[Performance Score]],"A",6,"B",5,"C",4,"D",3,"E",2,"F",1)</f>
        <v>5</v>
      </c>
      <c r="M627" s="5">
        <f t="shared" si="9"/>
        <v>48417.431192660551</v>
      </c>
    </row>
    <row r="628" spans="1:13" x14ac:dyDescent="0.3">
      <c r="A628" t="s">
        <v>52</v>
      </c>
      <c r="B628" t="s">
        <v>63</v>
      </c>
      <c r="C628">
        <v>65000</v>
      </c>
      <c r="D628" t="s">
        <v>19</v>
      </c>
      <c r="E628" t="s">
        <v>13</v>
      </c>
      <c r="F628" t="s">
        <v>41</v>
      </c>
      <c r="G628" s="2" t="s">
        <v>62</v>
      </c>
      <c r="H628" t="s">
        <v>31</v>
      </c>
      <c r="I628" t="s">
        <v>23</v>
      </c>
      <c r="J628" t="s">
        <v>17</v>
      </c>
      <c r="K628" s="5" t="s">
        <v>18</v>
      </c>
      <c r="L628" s="6" cm="1">
        <f t="array" ref="L628">_xlfn.SWITCH(Table13_2[[#This Row],[Performance Score]],"A",6,"B",5,"C",4,"D",3,"E",2,"F",1)</f>
        <v>6</v>
      </c>
      <c r="M628" s="5">
        <f t="shared" si="9"/>
        <v>65000</v>
      </c>
    </row>
    <row r="629" spans="1:13" x14ac:dyDescent="0.3">
      <c r="A629" t="s">
        <v>61</v>
      </c>
      <c r="B629" t="s">
        <v>63</v>
      </c>
      <c r="C629">
        <v>70000</v>
      </c>
      <c r="D629" t="s">
        <v>19</v>
      </c>
      <c r="E629" t="s">
        <v>20</v>
      </c>
      <c r="F629" t="s">
        <v>14</v>
      </c>
      <c r="G629" s="2">
        <v>43881</v>
      </c>
      <c r="H629" t="s">
        <v>38</v>
      </c>
      <c r="I629" t="s">
        <v>32</v>
      </c>
      <c r="J629" t="s">
        <v>24</v>
      </c>
      <c r="K629" s="5" t="s">
        <v>36</v>
      </c>
      <c r="L629" s="6" cm="1">
        <f t="array" ref="L629">_xlfn.SWITCH(Table13_2[[#This Row],[Performance Score]],"A",6,"B",5,"C",4,"D",3,"E",2,"F",1)</f>
        <v>5</v>
      </c>
      <c r="M629" s="5">
        <f t="shared" si="9"/>
        <v>70000</v>
      </c>
    </row>
    <row r="630" spans="1:13" x14ac:dyDescent="0.3">
      <c r="A630" t="s">
        <v>64</v>
      </c>
      <c r="B630">
        <v>50</v>
      </c>
      <c r="C630">
        <v>70000</v>
      </c>
      <c r="D630" t="s">
        <v>12</v>
      </c>
      <c r="E630" t="s">
        <v>26</v>
      </c>
      <c r="F630" t="s">
        <v>37</v>
      </c>
      <c r="G630" s="2" t="s">
        <v>55</v>
      </c>
      <c r="H630" t="s">
        <v>38</v>
      </c>
      <c r="I630" t="s">
        <v>16</v>
      </c>
      <c r="J630" t="s">
        <v>24</v>
      </c>
      <c r="K630" s="5" t="s">
        <v>43</v>
      </c>
      <c r="L630" s="6" cm="1">
        <f t="array" ref="L630">_xlfn.SWITCH(Table13_2[[#This Row],[Performance Score]],"A",6,"B",5,"C",4,"D",3,"E",2,"F",1)</f>
        <v>5</v>
      </c>
      <c r="M630" s="5">
        <f t="shared" si="9"/>
        <v>70000</v>
      </c>
    </row>
    <row r="631" spans="1:13" x14ac:dyDescent="0.3">
      <c r="A631" t="s">
        <v>65</v>
      </c>
      <c r="B631" t="s">
        <v>63</v>
      </c>
      <c r="C631">
        <v>55000</v>
      </c>
      <c r="D631" t="s">
        <v>34</v>
      </c>
      <c r="E631" t="s">
        <v>20</v>
      </c>
      <c r="F631" t="s">
        <v>40</v>
      </c>
      <c r="G631" s="2" t="s">
        <v>55</v>
      </c>
      <c r="H631" t="s">
        <v>27</v>
      </c>
      <c r="I631" t="s">
        <v>39</v>
      </c>
      <c r="J631" t="s">
        <v>24</v>
      </c>
      <c r="K631" s="5" t="s">
        <v>44</v>
      </c>
      <c r="L631" s="6" cm="1">
        <f t="array" ref="L631">_xlfn.SWITCH(Table13_2[[#This Row],[Performance Score]],"A",6,"B",5,"C",4,"D",3,"E",2,"F",1)</f>
        <v>4</v>
      </c>
      <c r="M631" s="5">
        <f t="shared" si="9"/>
        <v>55000</v>
      </c>
    </row>
    <row r="632" spans="1:13" x14ac:dyDescent="0.3">
      <c r="A632" t="s">
        <v>61</v>
      </c>
      <c r="B632">
        <v>40</v>
      </c>
      <c r="C632">
        <v>55000</v>
      </c>
      <c r="D632" t="s">
        <v>19</v>
      </c>
      <c r="E632" t="s">
        <v>26</v>
      </c>
      <c r="F632" t="s">
        <v>40</v>
      </c>
      <c r="G632" s="2" t="s">
        <v>55</v>
      </c>
      <c r="H632" t="s">
        <v>27</v>
      </c>
      <c r="I632" t="s">
        <v>32</v>
      </c>
      <c r="J632" t="s">
        <v>24</v>
      </c>
      <c r="K632" s="5" t="s">
        <v>36</v>
      </c>
      <c r="L632" s="6" cm="1">
        <f t="array" ref="L632">_xlfn.SWITCH(Table13_2[[#This Row],[Performance Score]],"A",6,"B",5,"C",4,"D",3,"E",2,"F",1)</f>
        <v>4</v>
      </c>
      <c r="M632" s="5">
        <f t="shared" si="9"/>
        <v>55000</v>
      </c>
    </row>
    <row r="633" spans="1:13" x14ac:dyDescent="0.3">
      <c r="A633" t="s">
        <v>56</v>
      </c>
      <c r="B633" t="s">
        <v>51</v>
      </c>
      <c r="C633">
        <v>70000</v>
      </c>
      <c r="D633" t="s">
        <v>34</v>
      </c>
      <c r="E633" t="s">
        <v>26</v>
      </c>
      <c r="F633" t="s">
        <v>37</v>
      </c>
      <c r="G633" s="2" t="s">
        <v>62</v>
      </c>
      <c r="H633" t="s">
        <v>15</v>
      </c>
      <c r="I633" t="s">
        <v>39</v>
      </c>
      <c r="J633" t="s">
        <v>28</v>
      </c>
      <c r="K633" s="5" t="s">
        <v>29</v>
      </c>
      <c r="L633" s="6" cm="1">
        <f t="array" ref="L633">_xlfn.SWITCH(Table13_2[[#This Row],[Performance Score]],"A",6,"B",5,"C",4,"D",3,"E",2,"F",1)</f>
        <v>3</v>
      </c>
      <c r="M633" s="5">
        <f t="shared" si="9"/>
        <v>70000</v>
      </c>
    </row>
    <row r="634" spans="1:13" x14ac:dyDescent="0.3">
      <c r="A634" t="s">
        <v>67</v>
      </c>
      <c r="B634">
        <v>25</v>
      </c>
      <c r="C634">
        <v>70000</v>
      </c>
      <c r="D634" t="s">
        <v>34</v>
      </c>
      <c r="E634" t="s">
        <v>20</v>
      </c>
      <c r="F634" t="s">
        <v>41</v>
      </c>
      <c r="G634" s="2" t="s">
        <v>50</v>
      </c>
      <c r="H634" t="s">
        <v>31</v>
      </c>
      <c r="I634" t="s">
        <v>39</v>
      </c>
      <c r="J634" t="s">
        <v>28</v>
      </c>
      <c r="K634" s="5" t="s">
        <v>46</v>
      </c>
      <c r="L634" s="6" cm="1">
        <f t="array" ref="L634">_xlfn.SWITCH(Table13_2[[#This Row],[Performance Score]],"A",6,"B",5,"C",4,"D",3,"E",2,"F",1)</f>
        <v>6</v>
      </c>
      <c r="M634" s="5">
        <f t="shared" si="9"/>
        <v>70000</v>
      </c>
    </row>
    <row r="635" spans="1:13" x14ac:dyDescent="0.3">
      <c r="A635" t="s">
        <v>65</v>
      </c>
      <c r="B635">
        <v>35</v>
      </c>
      <c r="C635">
        <v>65000</v>
      </c>
      <c r="D635" t="s">
        <v>12</v>
      </c>
      <c r="E635" t="s">
        <v>30</v>
      </c>
      <c r="F635" t="s">
        <v>14</v>
      </c>
      <c r="G635" s="2">
        <v>43881</v>
      </c>
      <c r="H635" t="s">
        <v>38</v>
      </c>
      <c r="I635" t="s">
        <v>39</v>
      </c>
      <c r="J635" t="s">
        <v>42</v>
      </c>
      <c r="K635" s="5" t="s">
        <v>44</v>
      </c>
      <c r="L635" s="6" cm="1">
        <f t="array" ref="L635">_xlfn.SWITCH(Table13_2[[#This Row],[Performance Score]],"A",6,"B",5,"C",4,"D",3,"E",2,"F",1)</f>
        <v>5</v>
      </c>
      <c r="M635" s="5">
        <f t="shared" si="9"/>
        <v>65000</v>
      </c>
    </row>
    <row r="636" spans="1:13" x14ac:dyDescent="0.3">
      <c r="A636" t="s">
        <v>59</v>
      </c>
      <c r="B636">
        <v>40</v>
      </c>
      <c r="C636">
        <v>60000</v>
      </c>
      <c r="D636" t="s">
        <v>12</v>
      </c>
      <c r="E636" t="s">
        <v>35</v>
      </c>
      <c r="F636" t="s">
        <v>41</v>
      </c>
      <c r="G636" s="2" t="s">
        <v>60</v>
      </c>
      <c r="H636" t="s">
        <v>31</v>
      </c>
      <c r="I636" t="s">
        <v>16</v>
      </c>
      <c r="J636" t="s">
        <v>24</v>
      </c>
      <c r="K636" s="5" t="s">
        <v>33</v>
      </c>
      <c r="L636" s="6" cm="1">
        <f t="array" ref="L636">_xlfn.SWITCH(Table13_2[[#This Row],[Performance Score]],"A",6,"B",5,"C",4,"D",3,"E",2,"F",1)</f>
        <v>6</v>
      </c>
      <c r="M636" s="5">
        <f t="shared" si="9"/>
        <v>60000</v>
      </c>
    </row>
    <row r="637" spans="1:13" x14ac:dyDescent="0.3">
      <c r="A637" t="s">
        <v>53</v>
      </c>
      <c r="B637">
        <v>25</v>
      </c>
      <c r="C637">
        <v>55000</v>
      </c>
      <c r="D637" t="s">
        <v>12</v>
      </c>
      <c r="E637" t="s">
        <v>13</v>
      </c>
      <c r="F637" t="s">
        <v>21</v>
      </c>
      <c r="G637" s="2" t="s">
        <v>50</v>
      </c>
      <c r="H637" t="s">
        <v>22</v>
      </c>
      <c r="I637" t="s">
        <v>39</v>
      </c>
      <c r="J637" t="s">
        <v>42</v>
      </c>
      <c r="K637" s="5" t="s">
        <v>25</v>
      </c>
      <c r="L637" s="6" cm="1">
        <f t="array" ref="L637">_xlfn.SWITCH(Table13_2[[#This Row],[Performance Score]],"A",6,"B",5,"C",4,"D",3,"E",2,"F",1)</f>
        <v>1</v>
      </c>
      <c r="M637" s="5">
        <f t="shared" si="9"/>
        <v>55000</v>
      </c>
    </row>
    <row r="638" spans="1:13" x14ac:dyDescent="0.3">
      <c r="A638" t="s">
        <v>65</v>
      </c>
      <c r="B638">
        <v>40</v>
      </c>
      <c r="C638">
        <v>60000</v>
      </c>
      <c r="D638" t="s">
        <v>12</v>
      </c>
      <c r="E638" t="s">
        <v>35</v>
      </c>
      <c r="F638" t="s">
        <v>40</v>
      </c>
      <c r="G638" s="2" t="s">
        <v>60</v>
      </c>
      <c r="H638" t="s">
        <v>38</v>
      </c>
      <c r="I638" t="s">
        <v>32</v>
      </c>
      <c r="J638" t="s">
        <v>17</v>
      </c>
      <c r="K638" s="5" t="s">
        <v>44</v>
      </c>
      <c r="L638" s="6" cm="1">
        <f t="array" ref="L638">_xlfn.SWITCH(Table13_2[[#This Row],[Performance Score]],"A",6,"B",5,"C",4,"D",3,"E",2,"F",1)</f>
        <v>5</v>
      </c>
      <c r="M638" s="5">
        <f t="shared" si="9"/>
        <v>60000</v>
      </c>
    </row>
    <row r="639" spans="1:13" x14ac:dyDescent="0.3">
      <c r="A639" t="s">
        <v>56</v>
      </c>
      <c r="B639">
        <v>40</v>
      </c>
      <c r="C639">
        <v>65000</v>
      </c>
      <c r="D639" t="s">
        <v>34</v>
      </c>
      <c r="E639" t="s">
        <v>13</v>
      </c>
      <c r="F639" t="s">
        <v>21</v>
      </c>
      <c r="G639" s="2" t="s">
        <v>50</v>
      </c>
      <c r="H639" t="s">
        <v>31</v>
      </c>
      <c r="I639" t="s">
        <v>23</v>
      </c>
      <c r="J639" t="s">
        <v>42</v>
      </c>
      <c r="K639" s="5" t="s">
        <v>29</v>
      </c>
      <c r="L639" s="6" cm="1">
        <f t="array" ref="L639">_xlfn.SWITCH(Table13_2[[#This Row],[Performance Score]],"A",6,"B",5,"C",4,"D",3,"E",2,"F",1)</f>
        <v>6</v>
      </c>
      <c r="M639" s="5">
        <f t="shared" si="9"/>
        <v>65000</v>
      </c>
    </row>
    <row r="640" spans="1:13" x14ac:dyDescent="0.3">
      <c r="A640" t="s">
        <v>49</v>
      </c>
      <c r="B640">
        <v>35</v>
      </c>
      <c r="C640">
        <v>70000</v>
      </c>
      <c r="D640" t="s">
        <v>12</v>
      </c>
      <c r="E640" t="s">
        <v>13</v>
      </c>
      <c r="F640" t="s">
        <v>40</v>
      </c>
      <c r="G640" s="2" t="s">
        <v>55</v>
      </c>
      <c r="H640" t="s">
        <v>15</v>
      </c>
      <c r="I640" t="s">
        <v>39</v>
      </c>
      <c r="J640" t="s">
        <v>17</v>
      </c>
      <c r="K640" s="5" t="s">
        <v>11</v>
      </c>
      <c r="L640" s="6" cm="1">
        <f t="array" ref="L640">_xlfn.SWITCH(Table13_2[[#This Row],[Performance Score]],"A",6,"B",5,"C",4,"D",3,"E",2,"F",1)</f>
        <v>3</v>
      </c>
      <c r="M640" s="5">
        <f t="shared" si="9"/>
        <v>70000</v>
      </c>
    </row>
    <row r="641" spans="1:13" x14ac:dyDescent="0.3">
      <c r="A641" t="s">
        <v>53</v>
      </c>
      <c r="B641" t="s">
        <v>51</v>
      </c>
      <c r="C641">
        <v>0</v>
      </c>
      <c r="D641" t="s">
        <v>12</v>
      </c>
      <c r="E641" t="s">
        <v>26</v>
      </c>
      <c r="F641" t="s">
        <v>40</v>
      </c>
      <c r="G641" s="2" t="s">
        <v>62</v>
      </c>
      <c r="H641" t="s">
        <v>15</v>
      </c>
      <c r="I641" t="s">
        <v>16</v>
      </c>
      <c r="J641" t="s">
        <v>28</v>
      </c>
      <c r="K641" s="5" t="s">
        <v>25</v>
      </c>
      <c r="L641" s="6" cm="1">
        <f t="array" ref="L641">_xlfn.SWITCH(Table13_2[[#This Row],[Performance Score]],"A",6,"B",5,"C",4,"D",3,"E",2,"F",1)</f>
        <v>3</v>
      </c>
      <c r="M641" s="5">
        <f t="shared" si="9"/>
        <v>50742.574257425746</v>
      </c>
    </row>
    <row r="642" spans="1:13" x14ac:dyDescent="0.3">
      <c r="A642" t="s">
        <v>66</v>
      </c>
      <c r="B642" t="s">
        <v>63</v>
      </c>
      <c r="C642">
        <v>60000</v>
      </c>
      <c r="D642" t="s">
        <v>12</v>
      </c>
      <c r="E642" t="s">
        <v>13</v>
      </c>
      <c r="F642" t="s">
        <v>21</v>
      </c>
      <c r="G642" s="2" t="s">
        <v>60</v>
      </c>
      <c r="H642" t="s">
        <v>38</v>
      </c>
      <c r="I642" t="s">
        <v>39</v>
      </c>
      <c r="J642" t="s">
        <v>28</v>
      </c>
      <c r="K642" s="5" t="s">
        <v>45</v>
      </c>
      <c r="L642" s="6" cm="1">
        <f t="array" ref="L642">_xlfn.SWITCH(Table13_2[[#This Row],[Performance Score]],"A",6,"B",5,"C",4,"D",3,"E",2,"F",1)</f>
        <v>5</v>
      </c>
      <c r="M642" s="5">
        <f t="shared" si="9"/>
        <v>60000</v>
      </c>
    </row>
    <row r="643" spans="1:13" x14ac:dyDescent="0.3">
      <c r="A643" t="s">
        <v>64</v>
      </c>
      <c r="B643">
        <v>50</v>
      </c>
      <c r="C643">
        <v>70000</v>
      </c>
      <c r="D643" t="s">
        <v>12</v>
      </c>
      <c r="E643" t="s">
        <v>13</v>
      </c>
      <c r="F643" t="s">
        <v>21</v>
      </c>
      <c r="G643" s="2" t="s">
        <v>50</v>
      </c>
      <c r="H643" t="s">
        <v>22</v>
      </c>
      <c r="I643" t="s">
        <v>23</v>
      </c>
      <c r="J643" t="s">
        <v>24</v>
      </c>
      <c r="K643" s="5" t="s">
        <v>43</v>
      </c>
      <c r="L643" s="6" cm="1">
        <f t="array" ref="L643">_xlfn.SWITCH(Table13_2[[#This Row],[Performance Score]],"A",6,"B",5,"C",4,"D",3,"E",2,"F",1)</f>
        <v>1</v>
      </c>
      <c r="M643" s="5">
        <f t="shared" ref="M643:M706" si="10">IF(C643=0,AVERAGEIF($E$2:$E$1001,E643,$C$2:$C$1001),C643)</f>
        <v>70000</v>
      </c>
    </row>
    <row r="644" spans="1:13" x14ac:dyDescent="0.3">
      <c r="A644" t="s">
        <v>66</v>
      </c>
      <c r="B644" t="s">
        <v>51</v>
      </c>
      <c r="C644">
        <v>70000</v>
      </c>
      <c r="D644" t="s">
        <v>34</v>
      </c>
      <c r="E644" t="s">
        <v>20</v>
      </c>
      <c r="F644" t="s">
        <v>41</v>
      </c>
      <c r="G644" s="2" t="s">
        <v>62</v>
      </c>
      <c r="H644" t="s">
        <v>15</v>
      </c>
      <c r="I644" t="s">
        <v>32</v>
      </c>
      <c r="J644" t="s">
        <v>24</v>
      </c>
      <c r="K644" s="5" t="s">
        <v>45</v>
      </c>
      <c r="L644" s="6" cm="1">
        <f t="array" ref="L644">_xlfn.SWITCH(Table13_2[[#This Row],[Performance Score]],"A",6,"B",5,"C",4,"D",3,"E",2,"F",1)</f>
        <v>3</v>
      </c>
      <c r="M644" s="5">
        <f t="shared" si="10"/>
        <v>70000</v>
      </c>
    </row>
    <row r="645" spans="1:13" x14ac:dyDescent="0.3">
      <c r="A645" t="s">
        <v>65</v>
      </c>
      <c r="B645">
        <v>50</v>
      </c>
      <c r="C645">
        <v>50000</v>
      </c>
      <c r="D645" t="s">
        <v>12</v>
      </c>
      <c r="E645" t="s">
        <v>35</v>
      </c>
      <c r="F645" t="s">
        <v>21</v>
      </c>
      <c r="G645" s="2" t="s">
        <v>60</v>
      </c>
      <c r="H645" t="s">
        <v>15</v>
      </c>
      <c r="I645" t="s">
        <v>39</v>
      </c>
      <c r="J645" t="s">
        <v>17</v>
      </c>
      <c r="K645" s="5" t="s">
        <v>44</v>
      </c>
      <c r="L645" s="6" cm="1">
        <f t="array" ref="L645">_xlfn.SWITCH(Table13_2[[#This Row],[Performance Score]],"A",6,"B",5,"C",4,"D",3,"E",2,"F",1)</f>
        <v>3</v>
      </c>
      <c r="M645" s="5">
        <f t="shared" si="10"/>
        <v>50000</v>
      </c>
    </row>
    <row r="646" spans="1:13" x14ac:dyDescent="0.3">
      <c r="A646" t="s">
        <v>66</v>
      </c>
      <c r="B646">
        <v>35</v>
      </c>
      <c r="C646">
        <v>60000</v>
      </c>
      <c r="D646" t="s">
        <v>34</v>
      </c>
      <c r="E646" t="s">
        <v>20</v>
      </c>
      <c r="F646" t="s">
        <v>41</v>
      </c>
      <c r="G646" s="2">
        <v>43881</v>
      </c>
      <c r="H646" t="s">
        <v>22</v>
      </c>
      <c r="I646" t="s">
        <v>39</v>
      </c>
      <c r="J646" t="s">
        <v>17</v>
      </c>
      <c r="K646" s="5" t="s">
        <v>45</v>
      </c>
      <c r="L646" s="6" cm="1">
        <f t="array" ref="L646">_xlfn.SWITCH(Table13_2[[#This Row],[Performance Score]],"A",6,"B",5,"C",4,"D",3,"E",2,"F",1)</f>
        <v>1</v>
      </c>
      <c r="M646" s="5">
        <f t="shared" si="10"/>
        <v>60000</v>
      </c>
    </row>
    <row r="647" spans="1:13" x14ac:dyDescent="0.3">
      <c r="A647" t="s">
        <v>56</v>
      </c>
      <c r="B647">
        <v>35</v>
      </c>
      <c r="C647">
        <v>0</v>
      </c>
      <c r="D647" t="s">
        <v>19</v>
      </c>
      <c r="E647" t="s">
        <v>13</v>
      </c>
      <c r="F647" t="s">
        <v>41</v>
      </c>
      <c r="G647" s="2" t="s">
        <v>50</v>
      </c>
      <c r="H647" t="s">
        <v>31</v>
      </c>
      <c r="I647" t="s">
        <v>23</v>
      </c>
      <c r="J647" t="s">
        <v>17</v>
      </c>
      <c r="K647" s="5" t="s">
        <v>29</v>
      </c>
      <c r="L647" s="6" cm="1">
        <f t="array" ref="L647">_xlfn.SWITCH(Table13_2[[#This Row],[Performance Score]],"A",6,"B",5,"C",4,"D",3,"E",2,"F",1)</f>
        <v>6</v>
      </c>
      <c r="M647" s="5">
        <f t="shared" si="10"/>
        <v>51825</v>
      </c>
    </row>
    <row r="648" spans="1:13" x14ac:dyDescent="0.3">
      <c r="A648" t="s">
        <v>59</v>
      </c>
      <c r="B648">
        <v>35</v>
      </c>
      <c r="C648">
        <v>60000</v>
      </c>
      <c r="D648" t="s">
        <v>34</v>
      </c>
      <c r="E648" t="s">
        <v>26</v>
      </c>
      <c r="F648" t="s">
        <v>41</v>
      </c>
      <c r="G648" s="2">
        <v>43881</v>
      </c>
      <c r="H648" t="s">
        <v>15</v>
      </c>
      <c r="I648" t="s">
        <v>16</v>
      </c>
      <c r="J648" t="s">
        <v>24</v>
      </c>
      <c r="K648" s="5" t="s">
        <v>33</v>
      </c>
      <c r="L648" s="6" cm="1">
        <f t="array" ref="L648">_xlfn.SWITCH(Table13_2[[#This Row],[Performance Score]],"A",6,"B",5,"C",4,"D",3,"E",2,"F",1)</f>
        <v>3</v>
      </c>
      <c r="M648" s="5">
        <f t="shared" si="10"/>
        <v>60000</v>
      </c>
    </row>
    <row r="649" spans="1:13" x14ac:dyDescent="0.3">
      <c r="A649" t="s">
        <v>67</v>
      </c>
      <c r="B649">
        <v>25</v>
      </c>
      <c r="C649">
        <v>70000</v>
      </c>
      <c r="D649" t="s">
        <v>34</v>
      </c>
      <c r="E649" t="s">
        <v>20</v>
      </c>
      <c r="F649" t="s">
        <v>40</v>
      </c>
      <c r="G649" s="2" t="s">
        <v>55</v>
      </c>
      <c r="H649" t="s">
        <v>27</v>
      </c>
      <c r="I649" t="s">
        <v>32</v>
      </c>
      <c r="J649" t="s">
        <v>24</v>
      </c>
      <c r="K649" s="5" t="s">
        <v>46</v>
      </c>
      <c r="L649" s="6" cm="1">
        <f t="array" ref="L649">_xlfn.SWITCH(Table13_2[[#This Row],[Performance Score]],"A",6,"B",5,"C",4,"D",3,"E",2,"F",1)</f>
        <v>4</v>
      </c>
      <c r="M649" s="5">
        <f t="shared" si="10"/>
        <v>70000</v>
      </c>
    </row>
    <row r="650" spans="1:13" x14ac:dyDescent="0.3">
      <c r="A650" t="s">
        <v>64</v>
      </c>
      <c r="B650">
        <v>50</v>
      </c>
      <c r="C650">
        <v>0</v>
      </c>
      <c r="D650" t="s">
        <v>12</v>
      </c>
      <c r="E650" t="s">
        <v>20</v>
      </c>
      <c r="F650" t="s">
        <v>40</v>
      </c>
      <c r="G650" s="2">
        <v>43881</v>
      </c>
      <c r="H650" t="s">
        <v>15</v>
      </c>
      <c r="I650" t="s">
        <v>23</v>
      </c>
      <c r="J650" t="s">
        <v>17</v>
      </c>
      <c r="K650" s="5" t="s">
        <v>43</v>
      </c>
      <c r="L650" s="6" cm="1">
        <f t="array" ref="L650">_xlfn.SWITCH(Table13_2[[#This Row],[Performance Score]],"A",6,"B",5,"C",4,"D",3,"E",2,"F",1)</f>
        <v>3</v>
      </c>
      <c r="M650" s="5">
        <f t="shared" si="10"/>
        <v>48417.431192660551</v>
      </c>
    </row>
    <row r="651" spans="1:13" x14ac:dyDescent="0.3">
      <c r="A651" t="s">
        <v>66</v>
      </c>
      <c r="B651" t="s">
        <v>51</v>
      </c>
      <c r="C651">
        <v>65000</v>
      </c>
      <c r="D651" t="s">
        <v>19</v>
      </c>
      <c r="E651" t="s">
        <v>30</v>
      </c>
      <c r="F651" t="s">
        <v>21</v>
      </c>
      <c r="G651" s="2">
        <v>43881</v>
      </c>
      <c r="H651" t="s">
        <v>31</v>
      </c>
      <c r="I651" t="s">
        <v>39</v>
      </c>
      <c r="J651" t="s">
        <v>17</v>
      </c>
      <c r="K651" s="5" t="s">
        <v>45</v>
      </c>
      <c r="L651" s="6" cm="1">
        <f t="array" ref="L651">_xlfn.SWITCH(Table13_2[[#This Row],[Performance Score]],"A",6,"B",5,"C",4,"D",3,"E",2,"F",1)</f>
        <v>6</v>
      </c>
      <c r="M651" s="5">
        <f t="shared" si="10"/>
        <v>65000</v>
      </c>
    </row>
    <row r="652" spans="1:13" x14ac:dyDescent="0.3">
      <c r="A652" t="s">
        <v>66</v>
      </c>
      <c r="B652" t="s">
        <v>51</v>
      </c>
      <c r="C652">
        <v>50000</v>
      </c>
      <c r="D652" t="s">
        <v>19</v>
      </c>
      <c r="E652" t="s">
        <v>13</v>
      </c>
      <c r="F652" t="s">
        <v>40</v>
      </c>
      <c r="G652" s="2" t="s">
        <v>50</v>
      </c>
      <c r="H652" t="s">
        <v>31</v>
      </c>
      <c r="I652" t="s">
        <v>32</v>
      </c>
      <c r="J652" t="s">
        <v>17</v>
      </c>
      <c r="K652" s="5" t="s">
        <v>45</v>
      </c>
      <c r="L652" s="6" cm="1">
        <f t="array" ref="L652">_xlfn.SWITCH(Table13_2[[#This Row],[Performance Score]],"A",6,"B",5,"C",4,"D",3,"E",2,"F",1)</f>
        <v>6</v>
      </c>
      <c r="M652" s="5">
        <f t="shared" si="10"/>
        <v>50000</v>
      </c>
    </row>
    <row r="653" spans="1:13" x14ac:dyDescent="0.3">
      <c r="A653" t="s">
        <v>65</v>
      </c>
      <c r="B653">
        <v>40</v>
      </c>
      <c r="C653">
        <v>70000</v>
      </c>
      <c r="D653" t="s">
        <v>19</v>
      </c>
      <c r="E653" t="s">
        <v>26</v>
      </c>
      <c r="F653" t="s">
        <v>21</v>
      </c>
      <c r="G653" s="2" t="s">
        <v>55</v>
      </c>
      <c r="H653" t="s">
        <v>38</v>
      </c>
      <c r="I653" t="s">
        <v>39</v>
      </c>
      <c r="J653" t="s">
        <v>28</v>
      </c>
      <c r="K653" s="5" t="s">
        <v>44</v>
      </c>
      <c r="L653" s="6" cm="1">
        <f t="array" ref="L653">_xlfn.SWITCH(Table13_2[[#This Row],[Performance Score]],"A",6,"B",5,"C",4,"D",3,"E",2,"F",1)</f>
        <v>5</v>
      </c>
      <c r="M653" s="5">
        <f t="shared" si="10"/>
        <v>70000</v>
      </c>
    </row>
    <row r="654" spans="1:13" x14ac:dyDescent="0.3">
      <c r="A654" t="s">
        <v>67</v>
      </c>
      <c r="B654">
        <v>40</v>
      </c>
      <c r="C654">
        <v>55000</v>
      </c>
      <c r="D654" t="s">
        <v>19</v>
      </c>
      <c r="E654" t="s">
        <v>20</v>
      </c>
      <c r="F654" t="s">
        <v>40</v>
      </c>
      <c r="G654" s="2">
        <v>43881</v>
      </c>
      <c r="H654" t="s">
        <v>27</v>
      </c>
      <c r="I654" t="s">
        <v>23</v>
      </c>
      <c r="J654" t="s">
        <v>42</v>
      </c>
      <c r="K654" s="5" t="s">
        <v>46</v>
      </c>
      <c r="L654" s="6" cm="1">
        <f t="array" ref="L654">_xlfn.SWITCH(Table13_2[[#This Row],[Performance Score]],"A",6,"B",5,"C",4,"D",3,"E",2,"F",1)</f>
        <v>4</v>
      </c>
      <c r="M654" s="5">
        <f t="shared" si="10"/>
        <v>55000</v>
      </c>
    </row>
    <row r="655" spans="1:13" x14ac:dyDescent="0.3">
      <c r="A655" t="s">
        <v>61</v>
      </c>
      <c r="B655">
        <v>40</v>
      </c>
      <c r="C655">
        <v>55000</v>
      </c>
      <c r="D655" t="s">
        <v>34</v>
      </c>
      <c r="E655" t="s">
        <v>20</v>
      </c>
      <c r="F655" t="s">
        <v>14</v>
      </c>
      <c r="G655" s="2" t="s">
        <v>62</v>
      </c>
      <c r="H655" t="s">
        <v>31</v>
      </c>
      <c r="I655" t="s">
        <v>39</v>
      </c>
      <c r="J655" t="s">
        <v>42</v>
      </c>
      <c r="K655" s="5" t="s">
        <v>36</v>
      </c>
      <c r="L655" s="6" cm="1">
        <f t="array" ref="L655">_xlfn.SWITCH(Table13_2[[#This Row],[Performance Score]],"A",6,"B",5,"C",4,"D",3,"E",2,"F",1)</f>
        <v>6</v>
      </c>
      <c r="M655" s="5">
        <f t="shared" si="10"/>
        <v>55000</v>
      </c>
    </row>
    <row r="656" spans="1:13" x14ac:dyDescent="0.3">
      <c r="A656" t="s">
        <v>66</v>
      </c>
      <c r="B656">
        <v>35</v>
      </c>
      <c r="C656">
        <v>50000</v>
      </c>
      <c r="D656" t="s">
        <v>19</v>
      </c>
      <c r="E656" t="s">
        <v>26</v>
      </c>
      <c r="F656" t="s">
        <v>14</v>
      </c>
      <c r="G656" s="2" t="s">
        <v>60</v>
      </c>
      <c r="H656" t="s">
        <v>22</v>
      </c>
      <c r="I656" t="s">
        <v>39</v>
      </c>
      <c r="J656" t="s">
        <v>24</v>
      </c>
      <c r="K656" s="5" t="s">
        <v>45</v>
      </c>
      <c r="L656" s="6" cm="1">
        <f t="array" ref="L656">_xlfn.SWITCH(Table13_2[[#This Row],[Performance Score]],"A",6,"B",5,"C",4,"D",3,"E",2,"F",1)</f>
        <v>1</v>
      </c>
      <c r="M656" s="5">
        <f t="shared" si="10"/>
        <v>50000</v>
      </c>
    </row>
    <row r="657" spans="1:13" x14ac:dyDescent="0.3">
      <c r="A657" t="s">
        <v>56</v>
      </c>
      <c r="B657" t="s">
        <v>51</v>
      </c>
      <c r="C657">
        <v>65000</v>
      </c>
      <c r="D657" t="s">
        <v>34</v>
      </c>
      <c r="E657" t="s">
        <v>13</v>
      </c>
      <c r="F657" t="s">
        <v>21</v>
      </c>
      <c r="G657" s="2">
        <v>43881</v>
      </c>
      <c r="H657" t="s">
        <v>27</v>
      </c>
      <c r="I657" t="s">
        <v>39</v>
      </c>
      <c r="J657" t="s">
        <v>28</v>
      </c>
      <c r="K657" s="5" t="s">
        <v>29</v>
      </c>
      <c r="L657" s="6" cm="1">
        <f t="array" ref="L657">_xlfn.SWITCH(Table13_2[[#This Row],[Performance Score]],"A",6,"B",5,"C",4,"D",3,"E",2,"F",1)</f>
        <v>4</v>
      </c>
      <c r="M657" s="5">
        <f t="shared" si="10"/>
        <v>65000</v>
      </c>
    </row>
    <row r="658" spans="1:13" x14ac:dyDescent="0.3">
      <c r="A658" t="s">
        <v>49</v>
      </c>
      <c r="B658">
        <v>50</v>
      </c>
      <c r="C658">
        <v>70000</v>
      </c>
      <c r="D658" t="s">
        <v>34</v>
      </c>
      <c r="E658" t="s">
        <v>30</v>
      </c>
      <c r="F658" t="s">
        <v>40</v>
      </c>
      <c r="G658" s="2" t="s">
        <v>55</v>
      </c>
      <c r="H658" t="s">
        <v>27</v>
      </c>
      <c r="I658" t="s">
        <v>16</v>
      </c>
      <c r="J658" t="s">
        <v>17</v>
      </c>
      <c r="K658" s="5" t="s">
        <v>11</v>
      </c>
      <c r="L658" s="6" cm="1">
        <f t="array" ref="L658">_xlfn.SWITCH(Table13_2[[#This Row],[Performance Score]],"A",6,"B",5,"C",4,"D",3,"E",2,"F",1)</f>
        <v>4</v>
      </c>
      <c r="M658" s="5">
        <f t="shared" si="10"/>
        <v>70000</v>
      </c>
    </row>
    <row r="659" spans="1:13" x14ac:dyDescent="0.3">
      <c r="A659" t="s">
        <v>64</v>
      </c>
      <c r="B659">
        <v>35</v>
      </c>
      <c r="C659">
        <v>60000</v>
      </c>
      <c r="D659" t="s">
        <v>34</v>
      </c>
      <c r="E659" t="s">
        <v>20</v>
      </c>
      <c r="F659" t="s">
        <v>40</v>
      </c>
      <c r="G659" s="2">
        <v>43881</v>
      </c>
      <c r="H659" t="s">
        <v>22</v>
      </c>
      <c r="I659" t="s">
        <v>39</v>
      </c>
      <c r="J659" t="s">
        <v>24</v>
      </c>
      <c r="K659" s="5" t="s">
        <v>43</v>
      </c>
      <c r="L659" s="6" cm="1">
        <f t="array" ref="L659">_xlfn.SWITCH(Table13_2[[#This Row],[Performance Score]],"A",6,"B",5,"C",4,"D",3,"E",2,"F",1)</f>
        <v>1</v>
      </c>
      <c r="M659" s="5">
        <f t="shared" si="10"/>
        <v>60000</v>
      </c>
    </row>
    <row r="660" spans="1:13" x14ac:dyDescent="0.3">
      <c r="A660" t="s">
        <v>66</v>
      </c>
      <c r="B660">
        <v>25</v>
      </c>
      <c r="C660">
        <v>50000</v>
      </c>
      <c r="D660" t="s">
        <v>19</v>
      </c>
      <c r="E660" t="s">
        <v>30</v>
      </c>
      <c r="F660" t="s">
        <v>41</v>
      </c>
      <c r="G660" s="2" t="s">
        <v>60</v>
      </c>
      <c r="H660" t="s">
        <v>15</v>
      </c>
      <c r="I660" t="s">
        <v>39</v>
      </c>
      <c r="J660" t="s">
        <v>28</v>
      </c>
      <c r="K660" s="5" t="s">
        <v>45</v>
      </c>
      <c r="L660" s="6" cm="1">
        <f t="array" ref="L660">_xlfn.SWITCH(Table13_2[[#This Row],[Performance Score]],"A",6,"B",5,"C",4,"D",3,"E",2,"F",1)</f>
        <v>3</v>
      </c>
      <c r="M660" s="5">
        <f t="shared" si="10"/>
        <v>50000</v>
      </c>
    </row>
    <row r="661" spans="1:13" x14ac:dyDescent="0.3">
      <c r="A661" t="s">
        <v>56</v>
      </c>
      <c r="B661">
        <v>40</v>
      </c>
      <c r="C661">
        <v>65000</v>
      </c>
      <c r="D661" t="s">
        <v>12</v>
      </c>
      <c r="E661" t="s">
        <v>35</v>
      </c>
      <c r="F661" t="s">
        <v>37</v>
      </c>
      <c r="G661" s="2" t="s">
        <v>55</v>
      </c>
      <c r="H661" t="s">
        <v>22</v>
      </c>
      <c r="I661" t="s">
        <v>39</v>
      </c>
      <c r="J661" t="s">
        <v>17</v>
      </c>
      <c r="K661" s="5" t="s">
        <v>29</v>
      </c>
      <c r="L661" s="6" cm="1">
        <f t="array" ref="L661">_xlfn.SWITCH(Table13_2[[#This Row],[Performance Score]],"A",6,"B",5,"C",4,"D",3,"E",2,"F",1)</f>
        <v>1</v>
      </c>
      <c r="M661" s="5">
        <f t="shared" si="10"/>
        <v>65000</v>
      </c>
    </row>
    <row r="662" spans="1:13" x14ac:dyDescent="0.3">
      <c r="A662" t="s">
        <v>56</v>
      </c>
      <c r="B662">
        <v>35</v>
      </c>
      <c r="C662">
        <v>60000</v>
      </c>
      <c r="D662" t="s">
        <v>12</v>
      </c>
      <c r="E662" t="s">
        <v>13</v>
      </c>
      <c r="F662" t="s">
        <v>21</v>
      </c>
      <c r="G662" s="2" t="s">
        <v>50</v>
      </c>
      <c r="H662" t="s">
        <v>22</v>
      </c>
      <c r="I662" t="s">
        <v>32</v>
      </c>
      <c r="J662" t="s">
        <v>28</v>
      </c>
      <c r="K662" s="5" t="s">
        <v>29</v>
      </c>
      <c r="L662" s="6" cm="1">
        <f t="array" ref="L662">_xlfn.SWITCH(Table13_2[[#This Row],[Performance Score]],"A",6,"B",5,"C",4,"D",3,"E",2,"F",1)</f>
        <v>1</v>
      </c>
      <c r="M662" s="5">
        <f t="shared" si="10"/>
        <v>60000</v>
      </c>
    </row>
    <row r="663" spans="1:13" x14ac:dyDescent="0.3">
      <c r="A663" t="s">
        <v>64</v>
      </c>
      <c r="B663">
        <v>35</v>
      </c>
      <c r="C663">
        <v>55000</v>
      </c>
      <c r="D663" t="s">
        <v>19</v>
      </c>
      <c r="E663" t="s">
        <v>35</v>
      </c>
      <c r="F663" t="s">
        <v>37</v>
      </c>
      <c r="G663" s="2" t="s">
        <v>55</v>
      </c>
      <c r="H663" t="s">
        <v>15</v>
      </c>
      <c r="I663" t="s">
        <v>39</v>
      </c>
      <c r="J663" t="s">
        <v>24</v>
      </c>
      <c r="K663" s="5" t="s">
        <v>43</v>
      </c>
      <c r="L663" s="6" cm="1">
        <f t="array" ref="L663">_xlfn.SWITCH(Table13_2[[#This Row],[Performance Score]],"A",6,"B",5,"C",4,"D",3,"E",2,"F",1)</f>
        <v>3</v>
      </c>
      <c r="M663" s="5">
        <f t="shared" si="10"/>
        <v>55000</v>
      </c>
    </row>
    <row r="664" spans="1:13" x14ac:dyDescent="0.3">
      <c r="A664" t="s">
        <v>61</v>
      </c>
      <c r="B664">
        <v>25</v>
      </c>
      <c r="C664">
        <v>55000</v>
      </c>
      <c r="D664" t="s">
        <v>12</v>
      </c>
      <c r="E664" t="s">
        <v>35</v>
      </c>
      <c r="F664" t="s">
        <v>37</v>
      </c>
      <c r="G664" s="2" t="s">
        <v>50</v>
      </c>
      <c r="H664" t="s">
        <v>15</v>
      </c>
      <c r="I664" t="s">
        <v>39</v>
      </c>
      <c r="J664" t="s">
        <v>42</v>
      </c>
      <c r="K664" s="5" t="s">
        <v>36</v>
      </c>
      <c r="L664" s="6" cm="1">
        <f t="array" ref="L664">_xlfn.SWITCH(Table13_2[[#This Row],[Performance Score]],"A",6,"B",5,"C",4,"D",3,"E",2,"F",1)</f>
        <v>3</v>
      </c>
      <c r="M664" s="5">
        <f t="shared" si="10"/>
        <v>55000</v>
      </c>
    </row>
    <row r="665" spans="1:13" x14ac:dyDescent="0.3">
      <c r="A665" t="s">
        <v>56</v>
      </c>
      <c r="B665" t="s">
        <v>63</v>
      </c>
      <c r="C665">
        <v>60000</v>
      </c>
      <c r="D665" t="s">
        <v>12</v>
      </c>
      <c r="E665" t="s">
        <v>35</v>
      </c>
      <c r="F665" t="s">
        <v>21</v>
      </c>
      <c r="G665" s="2" t="s">
        <v>55</v>
      </c>
      <c r="H665" t="s">
        <v>15</v>
      </c>
      <c r="I665" t="s">
        <v>23</v>
      </c>
      <c r="J665" t="s">
        <v>17</v>
      </c>
      <c r="K665" s="5" t="s">
        <v>29</v>
      </c>
      <c r="L665" s="6" cm="1">
        <f t="array" ref="L665">_xlfn.SWITCH(Table13_2[[#This Row],[Performance Score]],"A",6,"B",5,"C",4,"D",3,"E",2,"F",1)</f>
        <v>3</v>
      </c>
      <c r="M665" s="5">
        <f t="shared" si="10"/>
        <v>60000</v>
      </c>
    </row>
    <row r="666" spans="1:13" x14ac:dyDescent="0.3">
      <c r="A666" t="s">
        <v>49</v>
      </c>
      <c r="B666" t="s">
        <v>51</v>
      </c>
      <c r="C666">
        <v>50000</v>
      </c>
      <c r="D666" t="s">
        <v>34</v>
      </c>
      <c r="E666" t="s">
        <v>13</v>
      </c>
      <c r="F666" t="s">
        <v>40</v>
      </c>
      <c r="G666" s="2" t="s">
        <v>60</v>
      </c>
      <c r="H666" t="s">
        <v>15</v>
      </c>
      <c r="I666" t="s">
        <v>16</v>
      </c>
      <c r="J666" t="s">
        <v>17</v>
      </c>
      <c r="K666" s="5" t="s">
        <v>11</v>
      </c>
      <c r="L666" s="6" cm="1">
        <f t="array" ref="L666">_xlfn.SWITCH(Table13_2[[#This Row],[Performance Score]],"A",6,"B",5,"C",4,"D",3,"E",2,"F",1)</f>
        <v>3</v>
      </c>
      <c r="M666" s="5">
        <f t="shared" si="10"/>
        <v>50000</v>
      </c>
    </row>
    <row r="667" spans="1:13" x14ac:dyDescent="0.3">
      <c r="A667" t="s">
        <v>56</v>
      </c>
      <c r="B667">
        <v>50</v>
      </c>
      <c r="C667">
        <v>55000</v>
      </c>
      <c r="D667" t="s">
        <v>34</v>
      </c>
      <c r="E667" t="s">
        <v>13</v>
      </c>
      <c r="F667" t="s">
        <v>21</v>
      </c>
      <c r="G667" s="2" t="s">
        <v>60</v>
      </c>
      <c r="H667" t="s">
        <v>15</v>
      </c>
      <c r="I667" t="s">
        <v>32</v>
      </c>
      <c r="J667" t="s">
        <v>28</v>
      </c>
      <c r="K667" s="5" t="s">
        <v>29</v>
      </c>
      <c r="L667" s="6" cm="1">
        <f t="array" ref="L667">_xlfn.SWITCH(Table13_2[[#This Row],[Performance Score]],"A",6,"B",5,"C",4,"D",3,"E",2,"F",1)</f>
        <v>3</v>
      </c>
      <c r="M667" s="5">
        <f t="shared" si="10"/>
        <v>55000</v>
      </c>
    </row>
    <row r="668" spans="1:13" x14ac:dyDescent="0.3">
      <c r="A668" t="s">
        <v>56</v>
      </c>
      <c r="B668" t="s">
        <v>63</v>
      </c>
      <c r="C668">
        <v>70000</v>
      </c>
      <c r="D668" t="s">
        <v>19</v>
      </c>
      <c r="E668" t="s">
        <v>26</v>
      </c>
      <c r="F668" t="s">
        <v>37</v>
      </c>
      <c r="G668" s="2" t="s">
        <v>55</v>
      </c>
      <c r="H668" t="s">
        <v>22</v>
      </c>
      <c r="I668" t="s">
        <v>39</v>
      </c>
      <c r="J668" t="s">
        <v>24</v>
      </c>
      <c r="K668" s="5" t="s">
        <v>29</v>
      </c>
      <c r="L668" s="6" cm="1">
        <f t="array" ref="L668">_xlfn.SWITCH(Table13_2[[#This Row],[Performance Score]],"A",6,"B",5,"C",4,"D",3,"E",2,"F",1)</f>
        <v>1</v>
      </c>
      <c r="M668" s="5">
        <f t="shared" si="10"/>
        <v>70000</v>
      </c>
    </row>
    <row r="669" spans="1:13" x14ac:dyDescent="0.3">
      <c r="A669" t="s">
        <v>56</v>
      </c>
      <c r="B669">
        <v>40</v>
      </c>
      <c r="C669">
        <v>0</v>
      </c>
      <c r="D669" t="s">
        <v>19</v>
      </c>
      <c r="E669" t="s">
        <v>30</v>
      </c>
      <c r="F669" t="s">
        <v>40</v>
      </c>
      <c r="G669" s="2">
        <v>43881</v>
      </c>
      <c r="H669" t="s">
        <v>38</v>
      </c>
      <c r="I669" t="s">
        <v>23</v>
      </c>
      <c r="J669" t="s">
        <v>24</v>
      </c>
      <c r="K669" s="5" t="s">
        <v>29</v>
      </c>
      <c r="L669" s="6" cm="1">
        <f t="array" ref="L669">_xlfn.SWITCH(Table13_2[[#This Row],[Performance Score]],"A",6,"B",5,"C",4,"D",3,"E",2,"F",1)</f>
        <v>5</v>
      </c>
      <c r="M669" s="5">
        <f t="shared" si="10"/>
        <v>50777.202072538857</v>
      </c>
    </row>
    <row r="670" spans="1:13" x14ac:dyDescent="0.3">
      <c r="A670" t="s">
        <v>59</v>
      </c>
      <c r="B670">
        <v>35</v>
      </c>
      <c r="C670">
        <v>60000</v>
      </c>
      <c r="D670" t="s">
        <v>12</v>
      </c>
      <c r="E670" t="s">
        <v>30</v>
      </c>
      <c r="F670" t="s">
        <v>14</v>
      </c>
      <c r="G670" s="2" t="s">
        <v>60</v>
      </c>
      <c r="H670" t="s">
        <v>38</v>
      </c>
      <c r="I670" t="s">
        <v>16</v>
      </c>
      <c r="J670" t="s">
        <v>17</v>
      </c>
      <c r="K670" s="5" t="s">
        <v>33</v>
      </c>
      <c r="L670" s="6" cm="1">
        <f t="array" ref="L670">_xlfn.SWITCH(Table13_2[[#This Row],[Performance Score]],"A",6,"B",5,"C",4,"D",3,"E",2,"F",1)</f>
        <v>5</v>
      </c>
      <c r="M670" s="5">
        <f t="shared" si="10"/>
        <v>60000</v>
      </c>
    </row>
    <row r="671" spans="1:13" x14ac:dyDescent="0.3">
      <c r="A671" t="s">
        <v>59</v>
      </c>
      <c r="B671">
        <v>25</v>
      </c>
      <c r="C671">
        <v>60000</v>
      </c>
      <c r="D671" t="s">
        <v>34</v>
      </c>
      <c r="E671" t="s">
        <v>26</v>
      </c>
      <c r="F671" t="s">
        <v>21</v>
      </c>
      <c r="G671" s="2" t="s">
        <v>50</v>
      </c>
      <c r="H671" t="s">
        <v>31</v>
      </c>
      <c r="I671" t="s">
        <v>32</v>
      </c>
      <c r="J671" t="s">
        <v>24</v>
      </c>
      <c r="K671" s="5" t="s">
        <v>33</v>
      </c>
      <c r="L671" s="6" cm="1">
        <f t="array" ref="L671">_xlfn.SWITCH(Table13_2[[#This Row],[Performance Score]],"A",6,"B",5,"C",4,"D",3,"E",2,"F",1)</f>
        <v>6</v>
      </c>
      <c r="M671" s="5">
        <f t="shared" si="10"/>
        <v>60000</v>
      </c>
    </row>
    <row r="672" spans="1:13" x14ac:dyDescent="0.3">
      <c r="A672" t="s">
        <v>61</v>
      </c>
      <c r="B672">
        <v>25</v>
      </c>
      <c r="C672">
        <v>55000</v>
      </c>
      <c r="D672" t="s">
        <v>19</v>
      </c>
      <c r="E672" t="s">
        <v>26</v>
      </c>
      <c r="F672" t="s">
        <v>21</v>
      </c>
      <c r="G672" s="2" t="s">
        <v>50</v>
      </c>
      <c r="H672" t="s">
        <v>38</v>
      </c>
      <c r="I672" t="s">
        <v>32</v>
      </c>
      <c r="J672" t="s">
        <v>24</v>
      </c>
      <c r="K672" s="5" t="s">
        <v>36</v>
      </c>
      <c r="L672" s="6" cm="1">
        <f t="array" ref="L672">_xlfn.SWITCH(Table13_2[[#This Row],[Performance Score]],"A",6,"B",5,"C",4,"D",3,"E",2,"F",1)</f>
        <v>5</v>
      </c>
      <c r="M672" s="5">
        <f t="shared" si="10"/>
        <v>55000</v>
      </c>
    </row>
    <row r="673" spans="1:13" x14ac:dyDescent="0.3">
      <c r="A673" t="s">
        <v>66</v>
      </c>
      <c r="B673" t="s">
        <v>51</v>
      </c>
      <c r="C673">
        <v>50000</v>
      </c>
      <c r="D673" t="s">
        <v>19</v>
      </c>
      <c r="E673" t="s">
        <v>35</v>
      </c>
      <c r="F673" t="s">
        <v>40</v>
      </c>
      <c r="G673" s="2" t="s">
        <v>62</v>
      </c>
      <c r="H673" t="s">
        <v>38</v>
      </c>
      <c r="I673" t="s">
        <v>39</v>
      </c>
      <c r="J673" t="s">
        <v>17</v>
      </c>
      <c r="K673" s="5" t="s">
        <v>45</v>
      </c>
      <c r="L673" s="6" cm="1">
        <f t="array" ref="L673">_xlfn.SWITCH(Table13_2[[#This Row],[Performance Score]],"A",6,"B",5,"C",4,"D",3,"E",2,"F",1)</f>
        <v>5</v>
      </c>
      <c r="M673" s="5">
        <f t="shared" si="10"/>
        <v>50000</v>
      </c>
    </row>
    <row r="674" spans="1:13" x14ac:dyDescent="0.3">
      <c r="A674" t="s">
        <v>56</v>
      </c>
      <c r="B674" t="s">
        <v>63</v>
      </c>
      <c r="C674">
        <v>70000</v>
      </c>
      <c r="D674" t="s">
        <v>19</v>
      </c>
      <c r="E674" t="s">
        <v>26</v>
      </c>
      <c r="F674" t="s">
        <v>14</v>
      </c>
      <c r="G674" s="2" t="s">
        <v>50</v>
      </c>
      <c r="H674" t="s">
        <v>22</v>
      </c>
      <c r="I674" t="s">
        <v>32</v>
      </c>
      <c r="J674" t="s">
        <v>17</v>
      </c>
      <c r="K674" s="5" t="s">
        <v>29</v>
      </c>
      <c r="L674" s="6" cm="1">
        <f t="array" ref="L674">_xlfn.SWITCH(Table13_2[[#This Row],[Performance Score]],"A",6,"B",5,"C",4,"D",3,"E",2,"F",1)</f>
        <v>1</v>
      </c>
      <c r="M674" s="5">
        <f t="shared" si="10"/>
        <v>70000</v>
      </c>
    </row>
    <row r="675" spans="1:13" x14ac:dyDescent="0.3">
      <c r="A675" t="s">
        <v>67</v>
      </c>
      <c r="B675" t="s">
        <v>51</v>
      </c>
      <c r="C675">
        <v>50000</v>
      </c>
      <c r="D675" t="s">
        <v>19</v>
      </c>
      <c r="E675" t="s">
        <v>20</v>
      </c>
      <c r="F675" t="s">
        <v>14</v>
      </c>
      <c r="G675" s="2" t="s">
        <v>62</v>
      </c>
      <c r="H675" t="s">
        <v>15</v>
      </c>
      <c r="I675" t="s">
        <v>23</v>
      </c>
      <c r="J675" t="s">
        <v>42</v>
      </c>
      <c r="K675" s="5" t="s">
        <v>46</v>
      </c>
      <c r="L675" s="6" cm="1">
        <f t="array" ref="L675">_xlfn.SWITCH(Table13_2[[#This Row],[Performance Score]],"A",6,"B",5,"C",4,"D",3,"E",2,"F",1)</f>
        <v>3</v>
      </c>
      <c r="M675" s="5">
        <f t="shared" si="10"/>
        <v>50000</v>
      </c>
    </row>
    <row r="676" spans="1:13" x14ac:dyDescent="0.3">
      <c r="A676" t="s">
        <v>66</v>
      </c>
      <c r="B676">
        <v>35</v>
      </c>
      <c r="C676">
        <v>65000</v>
      </c>
      <c r="D676" t="s">
        <v>19</v>
      </c>
      <c r="E676" t="s">
        <v>30</v>
      </c>
      <c r="F676" t="s">
        <v>40</v>
      </c>
      <c r="G676" s="2" t="s">
        <v>55</v>
      </c>
      <c r="H676" t="s">
        <v>15</v>
      </c>
      <c r="I676" t="s">
        <v>32</v>
      </c>
      <c r="J676" t="s">
        <v>42</v>
      </c>
      <c r="K676" s="5" t="s">
        <v>45</v>
      </c>
      <c r="L676" s="6" cm="1">
        <f t="array" ref="L676">_xlfn.SWITCH(Table13_2[[#This Row],[Performance Score]],"A",6,"B",5,"C",4,"D",3,"E",2,"F",1)</f>
        <v>3</v>
      </c>
      <c r="M676" s="5">
        <f t="shared" si="10"/>
        <v>65000</v>
      </c>
    </row>
    <row r="677" spans="1:13" x14ac:dyDescent="0.3">
      <c r="A677" t="s">
        <v>61</v>
      </c>
      <c r="B677" t="s">
        <v>51</v>
      </c>
      <c r="C677">
        <v>65000</v>
      </c>
      <c r="D677" t="s">
        <v>19</v>
      </c>
      <c r="E677" t="s">
        <v>26</v>
      </c>
      <c r="F677" t="s">
        <v>41</v>
      </c>
      <c r="G677" s="2" t="s">
        <v>55</v>
      </c>
      <c r="H677" t="s">
        <v>22</v>
      </c>
      <c r="I677" t="s">
        <v>39</v>
      </c>
      <c r="J677" t="s">
        <v>28</v>
      </c>
      <c r="K677" s="5" t="s">
        <v>36</v>
      </c>
      <c r="L677" s="6" cm="1">
        <f t="array" ref="L677">_xlfn.SWITCH(Table13_2[[#This Row],[Performance Score]],"A",6,"B",5,"C",4,"D",3,"E",2,"F",1)</f>
        <v>1</v>
      </c>
      <c r="M677" s="5">
        <f t="shared" si="10"/>
        <v>65000</v>
      </c>
    </row>
    <row r="678" spans="1:13" x14ac:dyDescent="0.3">
      <c r="A678" t="s">
        <v>52</v>
      </c>
      <c r="B678">
        <v>50</v>
      </c>
      <c r="C678">
        <v>0</v>
      </c>
      <c r="D678" t="s">
        <v>12</v>
      </c>
      <c r="E678" t="s">
        <v>20</v>
      </c>
      <c r="F678" t="s">
        <v>21</v>
      </c>
      <c r="G678" s="2" t="s">
        <v>55</v>
      </c>
      <c r="H678" t="s">
        <v>38</v>
      </c>
      <c r="I678" t="s">
        <v>23</v>
      </c>
      <c r="J678" t="s">
        <v>17</v>
      </c>
      <c r="K678" s="5" t="s">
        <v>18</v>
      </c>
      <c r="L678" s="6" cm="1">
        <f t="array" ref="L678">_xlfn.SWITCH(Table13_2[[#This Row],[Performance Score]],"A",6,"B",5,"C",4,"D",3,"E",2,"F",1)</f>
        <v>5</v>
      </c>
      <c r="M678" s="5">
        <f t="shared" si="10"/>
        <v>48417.431192660551</v>
      </c>
    </row>
    <row r="679" spans="1:13" x14ac:dyDescent="0.3">
      <c r="A679" t="s">
        <v>66</v>
      </c>
      <c r="B679">
        <v>25</v>
      </c>
      <c r="C679">
        <v>55000</v>
      </c>
      <c r="D679" t="s">
        <v>34</v>
      </c>
      <c r="E679" t="s">
        <v>20</v>
      </c>
      <c r="F679" t="s">
        <v>21</v>
      </c>
      <c r="G679" s="2">
        <v>43881</v>
      </c>
      <c r="H679" t="s">
        <v>22</v>
      </c>
      <c r="I679" t="s">
        <v>16</v>
      </c>
      <c r="J679" t="s">
        <v>28</v>
      </c>
      <c r="K679" s="5" t="s">
        <v>45</v>
      </c>
      <c r="L679" s="6" cm="1">
        <f t="array" ref="L679">_xlfn.SWITCH(Table13_2[[#This Row],[Performance Score]],"A",6,"B",5,"C",4,"D",3,"E",2,"F",1)</f>
        <v>1</v>
      </c>
      <c r="M679" s="5">
        <f t="shared" si="10"/>
        <v>55000</v>
      </c>
    </row>
    <row r="680" spans="1:13" x14ac:dyDescent="0.3">
      <c r="A680" t="s">
        <v>66</v>
      </c>
      <c r="B680">
        <v>25</v>
      </c>
      <c r="C680">
        <v>55000</v>
      </c>
      <c r="D680" t="s">
        <v>34</v>
      </c>
      <c r="E680" t="s">
        <v>20</v>
      </c>
      <c r="F680" t="s">
        <v>37</v>
      </c>
      <c r="G680" s="2">
        <v>43881</v>
      </c>
      <c r="H680" t="s">
        <v>31</v>
      </c>
      <c r="I680" t="s">
        <v>16</v>
      </c>
      <c r="J680" t="s">
        <v>42</v>
      </c>
      <c r="K680" s="5" t="s">
        <v>45</v>
      </c>
      <c r="L680" s="6" cm="1">
        <f t="array" ref="L680">_xlfn.SWITCH(Table13_2[[#This Row],[Performance Score]],"A",6,"B",5,"C",4,"D",3,"E",2,"F",1)</f>
        <v>6</v>
      </c>
      <c r="M680" s="5">
        <f t="shared" si="10"/>
        <v>55000</v>
      </c>
    </row>
    <row r="681" spans="1:13" x14ac:dyDescent="0.3">
      <c r="A681" t="s">
        <v>53</v>
      </c>
      <c r="B681">
        <v>40</v>
      </c>
      <c r="C681">
        <v>55000</v>
      </c>
      <c r="D681" t="s">
        <v>19</v>
      </c>
      <c r="E681" t="s">
        <v>20</v>
      </c>
      <c r="F681" t="s">
        <v>40</v>
      </c>
      <c r="G681" s="2" t="s">
        <v>62</v>
      </c>
      <c r="H681" t="s">
        <v>15</v>
      </c>
      <c r="I681" t="s">
        <v>39</v>
      </c>
      <c r="J681" t="s">
        <v>17</v>
      </c>
      <c r="K681" s="5" t="s">
        <v>25</v>
      </c>
      <c r="L681" s="6" cm="1">
        <f t="array" ref="L681">_xlfn.SWITCH(Table13_2[[#This Row],[Performance Score]],"A",6,"B",5,"C",4,"D",3,"E",2,"F",1)</f>
        <v>3</v>
      </c>
      <c r="M681" s="5">
        <f t="shared" si="10"/>
        <v>55000</v>
      </c>
    </row>
    <row r="682" spans="1:13" x14ac:dyDescent="0.3">
      <c r="A682" t="s">
        <v>65</v>
      </c>
      <c r="B682">
        <v>40</v>
      </c>
      <c r="C682">
        <v>0</v>
      </c>
      <c r="D682" t="s">
        <v>34</v>
      </c>
      <c r="E682" t="s">
        <v>35</v>
      </c>
      <c r="F682" t="s">
        <v>37</v>
      </c>
      <c r="G682" s="2" t="s">
        <v>50</v>
      </c>
      <c r="H682" t="s">
        <v>27</v>
      </c>
      <c r="I682" t="s">
        <v>39</v>
      </c>
      <c r="J682" t="s">
        <v>24</v>
      </c>
      <c r="K682" s="5" t="s">
        <v>44</v>
      </c>
      <c r="L682" s="6" cm="1">
        <f t="array" ref="L682">_xlfn.SWITCH(Table13_2[[#This Row],[Performance Score]],"A",6,"B",5,"C",4,"D",3,"E",2,"F",1)</f>
        <v>4</v>
      </c>
      <c r="M682" s="5">
        <f t="shared" si="10"/>
        <v>49144.385026737968</v>
      </c>
    </row>
    <row r="683" spans="1:13" x14ac:dyDescent="0.3">
      <c r="A683" t="s">
        <v>53</v>
      </c>
      <c r="B683">
        <v>35</v>
      </c>
      <c r="C683">
        <v>65000</v>
      </c>
      <c r="D683" t="s">
        <v>34</v>
      </c>
      <c r="E683" t="s">
        <v>20</v>
      </c>
      <c r="F683" t="s">
        <v>37</v>
      </c>
      <c r="G683" s="2" t="s">
        <v>50</v>
      </c>
      <c r="H683" t="s">
        <v>31</v>
      </c>
      <c r="I683" t="s">
        <v>39</v>
      </c>
      <c r="J683" t="s">
        <v>42</v>
      </c>
      <c r="K683" s="5" t="s">
        <v>25</v>
      </c>
      <c r="L683" s="6" cm="1">
        <f t="array" ref="L683">_xlfn.SWITCH(Table13_2[[#This Row],[Performance Score]],"A",6,"B",5,"C",4,"D",3,"E",2,"F",1)</f>
        <v>6</v>
      </c>
      <c r="M683" s="5">
        <f t="shared" si="10"/>
        <v>65000</v>
      </c>
    </row>
    <row r="684" spans="1:13" x14ac:dyDescent="0.3">
      <c r="A684" t="s">
        <v>49</v>
      </c>
      <c r="B684">
        <v>50</v>
      </c>
      <c r="C684">
        <v>50000</v>
      </c>
      <c r="D684" t="s">
        <v>34</v>
      </c>
      <c r="E684" t="s">
        <v>35</v>
      </c>
      <c r="F684" t="s">
        <v>14</v>
      </c>
      <c r="G684" s="2" t="s">
        <v>55</v>
      </c>
      <c r="H684" t="s">
        <v>31</v>
      </c>
      <c r="I684" t="s">
        <v>16</v>
      </c>
      <c r="J684" t="s">
        <v>17</v>
      </c>
      <c r="K684" s="5" t="s">
        <v>11</v>
      </c>
      <c r="L684" s="6" cm="1">
        <f t="array" ref="L684">_xlfn.SWITCH(Table13_2[[#This Row],[Performance Score]],"A",6,"B",5,"C",4,"D",3,"E",2,"F",1)</f>
        <v>6</v>
      </c>
      <c r="M684" s="5">
        <f t="shared" si="10"/>
        <v>50000</v>
      </c>
    </row>
    <row r="685" spans="1:13" x14ac:dyDescent="0.3">
      <c r="A685" t="s">
        <v>59</v>
      </c>
      <c r="B685" t="s">
        <v>63</v>
      </c>
      <c r="C685">
        <v>0</v>
      </c>
      <c r="D685" t="s">
        <v>19</v>
      </c>
      <c r="E685" t="s">
        <v>35</v>
      </c>
      <c r="F685" t="s">
        <v>21</v>
      </c>
      <c r="G685" s="2" t="s">
        <v>60</v>
      </c>
      <c r="H685" t="s">
        <v>22</v>
      </c>
      <c r="I685" t="s">
        <v>16</v>
      </c>
      <c r="J685" t="s">
        <v>42</v>
      </c>
      <c r="K685" s="5" t="s">
        <v>33</v>
      </c>
      <c r="L685" s="6" cm="1">
        <f t="array" ref="L685">_xlfn.SWITCH(Table13_2[[#This Row],[Performance Score]],"A",6,"B",5,"C",4,"D",3,"E",2,"F",1)</f>
        <v>1</v>
      </c>
      <c r="M685" s="5">
        <f t="shared" si="10"/>
        <v>49144.385026737968</v>
      </c>
    </row>
    <row r="686" spans="1:13" x14ac:dyDescent="0.3">
      <c r="A686" t="s">
        <v>59</v>
      </c>
      <c r="B686" t="s">
        <v>51</v>
      </c>
      <c r="C686">
        <v>0</v>
      </c>
      <c r="D686" t="s">
        <v>19</v>
      </c>
      <c r="E686" t="s">
        <v>20</v>
      </c>
      <c r="F686" t="s">
        <v>37</v>
      </c>
      <c r="G686" s="2">
        <v>43881</v>
      </c>
      <c r="H686" t="s">
        <v>38</v>
      </c>
      <c r="I686" t="s">
        <v>16</v>
      </c>
      <c r="J686" t="s">
        <v>17</v>
      </c>
      <c r="K686" s="5" t="s">
        <v>33</v>
      </c>
      <c r="L686" s="6" cm="1">
        <f t="array" ref="L686">_xlfn.SWITCH(Table13_2[[#This Row],[Performance Score]],"A",6,"B",5,"C",4,"D",3,"E",2,"F",1)</f>
        <v>5</v>
      </c>
      <c r="M686" s="5">
        <f t="shared" si="10"/>
        <v>48417.431192660551</v>
      </c>
    </row>
    <row r="687" spans="1:13" x14ac:dyDescent="0.3">
      <c r="A687" t="s">
        <v>65</v>
      </c>
      <c r="B687">
        <v>35</v>
      </c>
      <c r="C687">
        <v>50000</v>
      </c>
      <c r="D687" t="s">
        <v>34</v>
      </c>
      <c r="E687" t="s">
        <v>30</v>
      </c>
      <c r="F687" t="s">
        <v>14</v>
      </c>
      <c r="G687" s="2">
        <v>43881</v>
      </c>
      <c r="H687" t="s">
        <v>15</v>
      </c>
      <c r="I687" t="s">
        <v>16</v>
      </c>
      <c r="J687" t="s">
        <v>17</v>
      </c>
      <c r="K687" s="5" t="s">
        <v>44</v>
      </c>
      <c r="L687" s="6" cm="1">
        <f t="array" ref="L687">_xlfn.SWITCH(Table13_2[[#This Row],[Performance Score]],"A",6,"B",5,"C",4,"D",3,"E",2,"F",1)</f>
        <v>3</v>
      </c>
      <c r="M687" s="5">
        <f t="shared" si="10"/>
        <v>50000</v>
      </c>
    </row>
    <row r="688" spans="1:13" x14ac:dyDescent="0.3">
      <c r="A688" t="s">
        <v>64</v>
      </c>
      <c r="B688">
        <v>40</v>
      </c>
      <c r="C688">
        <v>55000</v>
      </c>
      <c r="D688" t="s">
        <v>34</v>
      </c>
      <c r="E688" t="s">
        <v>20</v>
      </c>
      <c r="F688" t="s">
        <v>40</v>
      </c>
      <c r="G688" s="2" t="s">
        <v>55</v>
      </c>
      <c r="H688" t="s">
        <v>27</v>
      </c>
      <c r="I688" t="s">
        <v>32</v>
      </c>
      <c r="J688" t="s">
        <v>17</v>
      </c>
      <c r="K688" s="5" t="s">
        <v>43</v>
      </c>
      <c r="L688" s="6" cm="1">
        <f t="array" ref="L688">_xlfn.SWITCH(Table13_2[[#This Row],[Performance Score]],"A",6,"B",5,"C",4,"D",3,"E",2,"F",1)</f>
        <v>4</v>
      </c>
      <c r="M688" s="5">
        <f t="shared" si="10"/>
        <v>55000</v>
      </c>
    </row>
    <row r="689" spans="1:13" x14ac:dyDescent="0.3">
      <c r="A689" t="s">
        <v>64</v>
      </c>
      <c r="B689" t="s">
        <v>51</v>
      </c>
      <c r="C689">
        <v>70000</v>
      </c>
      <c r="D689" t="s">
        <v>19</v>
      </c>
      <c r="E689" t="s">
        <v>20</v>
      </c>
      <c r="F689" t="s">
        <v>37</v>
      </c>
      <c r="G689" s="2">
        <v>43881</v>
      </c>
      <c r="H689" t="s">
        <v>31</v>
      </c>
      <c r="I689" t="s">
        <v>23</v>
      </c>
      <c r="J689" t="s">
        <v>28</v>
      </c>
      <c r="K689" s="5" t="s">
        <v>43</v>
      </c>
      <c r="L689" s="6" cm="1">
        <f t="array" ref="L689">_xlfn.SWITCH(Table13_2[[#This Row],[Performance Score]],"A",6,"B",5,"C",4,"D",3,"E",2,"F",1)</f>
        <v>6</v>
      </c>
      <c r="M689" s="5">
        <f t="shared" si="10"/>
        <v>70000</v>
      </c>
    </row>
    <row r="690" spans="1:13" x14ac:dyDescent="0.3">
      <c r="A690" t="s">
        <v>61</v>
      </c>
      <c r="B690">
        <v>40</v>
      </c>
      <c r="C690">
        <v>50000</v>
      </c>
      <c r="D690" t="s">
        <v>12</v>
      </c>
      <c r="E690" t="s">
        <v>20</v>
      </c>
      <c r="F690" t="s">
        <v>21</v>
      </c>
      <c r="G690" s="2" t="s">
        <v>55</v>
      </c>
      <c r="H690" t="s">
        <v>27</v>
      </c>
      <c r="I690" t="s">
        <v>23</v>
      </c>
      <c r="J690" t="s">
        <v>17</v>
      </c>
      <c r="K690" s="5" t="s">
        <v>36</v>
      </c>
      <c r="L690" s="6" cm="1">
        <f t="array" ref="L690">_xlfn.SWITCH(Table13_2[[#This Row],[Performance Score]],"A",6,"B",5,"C",4,"D",3,"E",2,"F",1)</f>
        <v>4</v>
      </c>
      <c r="M690" s="5">
        <f t="shared" si="10"/>
        <v>50000</v>
      </c>
    </row>
    <row r="691" spans="1:13" x14ac:dyDescent="0.3">
      <c r="A691" t="s">
        <v>65</v>
      </c>
      <c r="B691" t="s">
        <v>51</v>
      </c>
      <c r="C691">
        <v>65000</v>
      </c>
      <c r="D691" t="s">
        <v>34</v>
      </c>
      <c r="E691" t="s">
        <v>30</v>
      </c>
      <c r="F691" t="s">
        <v>37</v>
      </c>
      <c r="G691" s="2" t="s">
        <v>62</v>
      </c>
      <c r="H691" t="s">
        <v>38</v>
      </c>
      <c r="I691" t="s">
        <v>39</v>
      </c>
      <c r="J691" t="s">
        <v>42</v>
      </c>
      <c r="K691" s="5" t="s">
        <v>44</v>
      </c>
      <c r="L691" s="6" cm="1">
        <f t="array" ref="L691">_xlfn.SWITCH(Table13_2[[#This Row],[Performance Score]],"A",6,"B",5,"C",4,"D",3,"E",2,"F",1)</f>
        <v>5</v>
      </c>
      <c r="M691" s="5">
        <f t="shared" si="10"/>
        <v>65000</v>
      </c>
    </row>
    <row r="692" spans="1:13" x14ac:dyDescent="0.3">
      <c r="A692" t="s">
        <v>66</v>
      </c>
      <c r="B692" t="s">
        <v>63</v>
      </c>
      <c r="C692">
        <v>60000</v>
      </c>
      <c r="D692" t="s">
        <v>12</v>
      </c>
      <c r="E692" t="s">
        <v>13</v>
      </c>
      <c r="F692" t="s">
        <v>40</v>
      </c>
      <c r="G692" s="2" t="s">
        <v>50</v>
      </c>
      <c r="H692" t="s">
        <v>38</v>
      </c>
      <c r="I692" t="s">
        <v>32</v>
      </c>
      <c r="J692" t="s">
        <v>17</v>
      </c>
      <c r="K692" s="5" t="s">
        <v>45</v>
      </c>
      <c r="L692" s="6" cm="1">
        <f t="array" ref="L692">_xlfn.SWITCH(Table13_2[[#This Row],[Performance Score]],"A",6,"B",5,"C",4,"D",3,"E",2,"F",1)</f>
        <v>5</v>
      </c>
      <c r="M692" s="5">
        <f t="shared" si="10"/>
        <v>60000</v>
      </c>
    </row>
    <row r="693" spans="1:13" x14ac:dyDescent="0.3">
      <c r="A693" t="s">
        <v>64</v>
      </c>
      <c r="B693">
        <v>35</v>
      </c>
      <c r="C693">
        <v>60000</v>
      </c>
      <c r="D693" t="s">
        <v>34</v>
      </c>
      <c r="E693" t="s">
        <v>13</v>
      </c>
      <c r="F693" t="s">
        <v>37</v>
      </c>
      <c r="G693" s="2" t="s">
        <v>60</v>
      </c>
      <c r="H693" t="s">
        <v>27</v>
      </c>
      <c r="I693" t="s">
        <v>16</v>
      </c>
      <c r="J693" t="s">
        <v>24</v>
      </c>
      <c r="K693" s="5" t="s">
        <v>43</v>
      </c>
      <c r="L693" s="6" cm="1">
        <f t="array" ref="L693">_xlfn.SWITCH(Table13_2[[#This Row],[Performance Score]],"A",6,"B",5,"C",4,"D",3,"E",2,"F",1)</f>
        <v>4</v>
      </c>
      <c r="M693" s="5">
        <f t="shared" si="10"/>
        <v>60000</v>
      </c>
    </row>
    <row r="694" spans="1:13" x14ac:dyDescent="0.3">
      <c r="A694" t="s">
        <v>56</v>
      </c>
      <c r="B694" t="s">
        <v>51</v>
      </c>
      <c r="C694">
        <v>0</v>
      </c>
      <c r="D694" t="s">
        <v>12</v>
      </c>
      <c r="E694" t="s">
        <v>35</v>
      </c>
      <c r="F694" t="s">
        <v>21</v>
      </c>
      <c r="G694" s="2" t="s">
        <v>50</v>
      </c>
      <c r="H694" t="s">
        <v>15</v>
      </c>
      <c r="I694" t="s">
        <v>16</v>
      </c>
      <c r="J694" t="s">
        <v>42</v>
      </c>
      <c r="K694" s="5" t="s">
        <v>29</v>
      </c>
      <c r="L694" s="6" cm="1">
        <f t="array" ref="L694">_xlfn.SWITCH(Table13_2[[#This Row],[Performance Score]],"A",6,"B",5,"C",4,"D",3,"E",2,"F",1)</f>
        <v>3</v>
      </c>
      <c r="M694" s="5">
        <f t="shared" si="10"/>
        <v>49144.385026737968</v>
      </c>
    </row>
    <row r="695" spans="1:13" x14ac:dyDescent="0.3">
      <c r="A695" t="s">
        <v>67</v>
      </c>
      <c r="B695">
        <v>50</v>
      </c>
      <c r="C695">
        <v>60000</v>
      </c>
      <c r="D695" t="s">
        <v>12</v>
      </c>
      <c r="E695" t="s">
        <v>35</v>
      </c>
      <c r="F695" t="s">
        <v>14</v>
      </c>
      <c r="G695" s="2" t="s">
        <v>50</v>
      </c>
      <c r="H695" t="s">
        <v>38</v>
      </c>
      <c r="I695" t="s">
        <v>39</v>
      </c>
      <c r="J695" t="s">
        <v>17</v>
      </c>
      <c r="K695" s="5" t="s">
        <v>46</v>
      </c>
      <c r="L695" s="6" cm="1">
        <f t="array" ref="L695">_xlfn.SWITCH(Table13_2[[#This Row],[Performance Score]],"A",6,"B",5,"C",4,"D",3,"E",2,"F",1)</f>
        <v>5</v>
      </c>
      <c r="M695" s="5">
        <f t="shared" si="10"/>
        <v>60000</v>
      </c>
    </row>
    <row r="696" spans="1:13" x14ac:dyDescent="0.3">
      <c r="A696" t="s">
        <v>66</v>
      </c>
      <c r="B696">
        <v>25</v>
      </c>
      <c r="C696">
        <v>70000</v>
      </c>
      <c r="D696" t="s">
        <v>12</v>
      </c>
      <c r="E696" t="s">
        <v>30</v>
      </c>
      <c r="F696" t="s">
        <v>21</v>
      </c>
      <c r="G696" s="2" t="s">
        <v>62</v>
      </c>
      <c r="H696" t="s">
        <v>27</v>
      </c>
      <c r="I696" t="s">
        <v>39</v>
      </c>
      <c r="J696" t="s">
        <v>17</v>
      </c>
      <c r="K696" s="5" t="s">
        <v>45</v>
      </c>
      <c r="L696" s="6" cm="1">
        <f t="array" ref="L696">_xlfn.SWITCH(Table13_2[[#This Row],[Performance Score]],"A",6,"B",5,"C",4,"D",3,"E",2,"F",1)</f>
        <v>4</v>
      </c>
      <c r="M696" s="5">
        <f t="shared" si="10"/>
        <v>70000</v>
      </c>
    </row>
    <row r="697" spans="1:13" x14ac:dyDescent="0.3">
      <c r="A697" t="s">
        <v>49</v>
      </c>
      <c r="B697">
        <v>50</v>
      </c>
      <c r="C697">
        <v>55000</v>
      </c>
      <c r="D697" t="s">
        <v>19</v>
      </c>
      <c r="E697" t="s">
        <v>26</v>
      </c>
      <c r="F697" t="s">
        <v>14</v>
      </c>
      <c r="G697" s="2">
        <v>43881</v>
      </c>
      <c r="H697" t="s">
        <v>31</v>
      </c>
      <c r="I697" t="s">
        <v>39</v>
      </c>
      <c r="J697" t="s">
        <v>24</v>
      </c>
      <c r="K697" s="5" t="s">
        <v>11</v>
      </c>
      <c r="L697" s="6" cm="1">
        <f t="array" ref="L697">_xlfn.SWITCH(Table13_2[[#This Row],[Performance Score]],"A",6,"B",5,"C",4,"D",3,"E",2,"F",1)</f>
        <v>6</v>
      </c>
      <c r="M697" s="5">
        <f t="shared" si="10"/>
        <v>55000</v>
      </c>
    </row>
    <row r="698" spans="1:13" x14ac:dyDescent="0.3">
      <c r="A698" t="s">
        <v>56</v>
      </c>
      <c r="B698">
        <v>50</v>
      </c>
      <c r="C698">
        <v>65000</v>
      </c>
      <c r="D698" t="s">
        <v>12</v>
      </c>
      <c r="E698" t="s">
        <v>13</v>
      </c>
      <c r="F698" t="s">
        <v>41</v>
      </c>
      <c r="G698" s="2" t="s">
        <v>60</v>
      </c>
      <c r="H698" t="s">
        <v>27</v>
      </c>
      <c r="I698" t="s">
        <v>16</v>
      </c>
      <c r="J698" t="s">
        <v>17</v>
      </c>
      <c r="K698" s="5" t="s">
        <v>29</v>
      </c>
      <c r="L698" s="6" cm="1">
        <f t="array" ref="L698">_xlfn.SWITCH(Table13_2[[#This Row],[Performance Score]],"A",6,"B",5,"C",4,"D",3,"E",2,"F",1)</f>
        <v>4</v>
      </c>
      <c r="M698" s="5">
        <f t="shared" si="10"/>
        <v>65000</v>
      </c>
    </row>
    <row r="699" spans="1:13" x14ac:dyDescent="0.3">
      <c r="A699" t="s">
        <v>56</v>
      </c>
      <c r="B699">
        <v>25</v>
      </c>
      <c r="C699">
        <v>70000</v>
      </c>
      <c r="D699" t="s">
        <v>12</v>
      </c>
      <c r="E699" t="s">
        <v>35</v>
      </c>
      <c r="F699" t="s">
        <v>21</v>
      </c>
      <c r="G699" s="2">
        <v>43881</v>
      </c>
      <c r="H699" t="s">
        <v>27</v>
      </c>
      <c r="I699" t="s">
        <v>39</v>
      </c>
      <c r="J699" t="s">
        <v>42</v>
      </c>
      <c r="K699" s="5" t="s">
        <v>29</v>
      </c>
      <c r="L699" s="6" cm="1">
        <f t="array" ref="L699">_xlfn.SWITCH(Table13_2[[#This Row],[Performance Score]],"A",6,"B",5,"C",4,"D",3,"E",2,"F",1)</f>
        <v>4</v>
      </c>
      <c r="M699" s="5">
        <f t="shared" si="10"/>
        <v>70000</v>
      </c>
    </row>
    <row r="700" spans="1:13" x14ac:dyDescent="0.3">
      <c r="A700" t="s">
        <v>65</v>
      </c>
      <c r="B700">
        <v>50</v>
      </c>
      <c r="C700">
        <v>65000</v>
      </c>
      <c r="D700" t="s">
        <v>12</v>
      </c>
      <c r="E700" t="s">
        <v>13</v>
      </c>
      <c r="F700" t="s">
        <v>21</v>
      </c>
      <c r="G700" s="2" t="s">
        <v>50</v>
      </c>
      <c r="H700" t="s">
        <v>22</v>
      </c>
      <c r="I700" t="s">
        <v>32</v>
      </c>
      <c r="J700" t="s">
        <v>42</v>
      </c>
      <c r="K700" s="5" t="s">
        <v>44</v>
      </c>
      <c r="L700" s="6" cm="1">
        <f t="array" ref="L700">_xlfn.SWITCH(Table13_2[[#This Row],[Performance Score]],"A",6,"B",5,"C",4,"D",3,"E",2,"F",1)</f>
        <v>1</v>
      </c>
      <c r="M700" s="5">
        <f t="shared" si="10"/>
        <v>65000</v>
      </c>
    </row>
    <row r="701" spans="1:13" x14ac:dyDescent="0.3">
      <c r="A701" t="s">
        <v>61</v>
      </c>
      <c r="B701" t="s">
        <v>51</v>
      </c>
      <c r="C701">
        <v>65000</v>
      </c>
      <c r="D701" t="s">
        <v>34</v>
      </c>
      <c r="E701" t="s">
        <v>30</v>
      </c>
      <c r="F701" t="s">
        <v>40</v>
      </c>
      <c r="G701" s="2" t="s">
        <v>55</v>
      </c>
      <c r="H701" t="s">
        <v>38</v>
      </c>
      <c r="I701" t="s">
        <v>23</v>
      </c>
      <c r="J701" t="s">
        <v>24</v>
      </c>
      <c r="K701" s="5" t="s">
        <v>36</v>
      </c>
      <c r="L701" s="6" cm="1">
        <f t="array" ref="L701">_xlfn.SWITCH(Table13_2[[#This Row],[Performance Score]],"A",6,"B",5,"C",4,"D",3,"E",2,"F",1)</f>
        <v>5</v>
      </c>
      <c r="M701" s="5">
        <f t="shared" si="10"/>
        <v>65000</v>
      </c>
    </row>
    <row r="702" spans="1:13" x14ac:dyDescent="0.3">
      <c r="A702" t="s">
        <v>49</v>
      </c>
      <c r="B702" t="s">
        <v>51</v>
      </c>
      <c r="C702">
        <v>55000</v>
      </c>
      <c r="D702" t="s">
        <v>12</v>
      </c>
      <c r="E702" t="s">
        <v>30</v>
      </c>
      <c r="F702" t="s">
        <v>37</v>
      </c>
      <c r="G702" s="2" t="s">
        <v>50</v>
      </c>
      <c r="H702" t="s">
        <v>15</v>
      </c>
      <c r="I702" t="s">
        <v>16</v>
      </c>
      <c r="J702" t="s">
        <v>17</v>
      </c>
      <c r="K702" s="5" t="s">
        <v>11</v>
      </c>
      <c r="L702" s="6" cm="1">
        <f t="array" ref="L702">_xlfn.SWITCH(Table13_2[[#This Row],[Performance Score]],"A",6,"B",5,"C",4,"D",3,"E",2,"F",1)</f>
        <v>3</v>
      </c>
      <c r="M702" s="5">
        <f t="shared" si="10"/>
        <v>55000</v>
      </c>
    </row>
    <row r="703" spans="1:13" x14ac:dyDescent="0.3">
      <c r="A703" t="s">
        <v>64</v>
      </c>
      <c r="B703" t="s">
        <v>51</v>
      </c>
      <c r="C703">
        <v>0</v>
      </c>
      <c r="D703" t="s">
        <v>34</v>
      </c>
      <c r="E703" t="s">
        <v>26</v>
      </c>
      <c r="F703" t="s">
        <v>14</v>
      </c>
      <c r="G703" s="2">
        <v>43881</v>
      </c>
      <c r="H703" t="s">
        <v>15</v>
      </c>
      <c r="I703" t="s">
        <v>32</v>
      </c>
      <c r="J703" t="s">
        <v>42</v>
      </c>
      <c r="K703" s="5" t="s">
        <v>43</v>
      </c>
      <c r="L703" s="6" cm="1">
        <f t="array" ref="L703">_xlfn.SWITCH(Table13_2[[#This Row],[Performance Score]],"A",6,"B",5,"C",4,"D",3,"E",2,"F",1)</f>
        <v>3</v>
      </c>
      <c r="M703" s="5">
        <f t="shared" si="10"/>
        <v>50742.574257425746</v>
      </c>
    </row>
    <row r="704" spans="1:13" x14ac:dyDescent="0.3">
      <c r="A704" t="s">
        <v>65</v>
      </c>
      <c r="B704">
        <v>25</v>
      </c>
      <c r="C704">
        <v>60000</v>
      </c>
      <c r="D704" t="s">
        <v>12</v>
      </c>
      <c r="E704" t="s">
        <v>26</v>
      </c>
      <c r="F704" t="s">
        <v>14</v>
      </c>
      <c r="G704" s="2" t="s">
        <v>50</v>
      </c>
      <c r="H704" t="s">
        <v>22</v>
      </c>
      <c r="I704" t="s">
        <v>16</v>
      </c>
      <c r="J704" t="s">
        <v>42</v>
      </c>
      <c r="K704" s="5" t="s">
        <v>44</v>
      </c>
      <c r="L704" s="6" cm="1">
        <f t="array" ref="L704">_xlfn.SWITCH(Table13_2[[#This Row],[Performance Score]],"A",6,"B",5,"C",4,"D",3,"E",2,"F",1)</f>
        <v>1</v>
      </c>
      <c r="M704" s="5">
        <f t="shared" si="10"/>
        <v>60000</v>
      </c>
    </row>
    <row r="705" spans="1:13" x14ac:dyDescent="0.3">
      <c r="A705" t="s">
        <v>64</v>
      </c>
      <c r="B705">
        <v>50</v>
      </c>
      <c r="C705">
        <v>55000</v>
      </c>
      <c r="D705" t="s">
        <v>12</v>
      </c>
      <c r="E705" t="s">
        <v>30</v>
      </c>
      <c r="F705" t="s">
        <v>40</v>
      </c>
      <c r="G705" s="2" t="s">
        <v>55</v>
      </c>
      <c r="H705" t="s">
        <v>15</v>
      </c>
      <c r="I705" t="s">
        <v>39</v>
      </c>
      <c r="J705" t="s">
        <v>42</v>
      </c>
      <c r="K705" s="5" t="s">
        <v>43</v>
      </c>
      <c r="L705" s="6" cm="1">
        <f t="array" ref="L705">_xlfn.SWITCH(Table13_2[[#This Row],[Performance Score]],"A",6,"B",5,"C",4,"D",3,"E",2,"F",1)</f>
        <v>3</v>
      </c>
      <c r="M705" s="5">
        <f t="shared" si="10"/>
        <v>55000</v>
      </c>
    </row>
    <row r="706" spans="1:13" x14ac:dyDescent="0.3">
      <c r="A706" t="s">
        <v>65</v>
      </c>
      <c r="B706">
        <v>25</v>
      </c>
      <c r="C706">
        <v>70000</v>
      </c>
      <c r="D706" t="s">
        <v>19</v>
      </c>
      <c r="E706" t="s">
        <v>35</v>
      </c>
      <c r="F706" t="s">
        <v>40</v>
      </c>
      <c r="G706" s="2" t="s">
        <v>62</v>
      </c>
      <c r="H706" t="s">
        <v>27</v>
      </c>
      <c r="I706" t="s">
        <v>39</v>
      </c>
      <c r="J706" t="s">
        <v>17</v>
      </c>
      <c r="K706" s="5" t="s">
        <v>44</v>
      </c>
      <c r="L706" s="6" cm="1">
        <f t="array" ref="L706">_xlfn.SWITCH(Table13_2[[#This Row],[Performance Score]],"A",6,"B",5,"C",4,"D",3,"E",2,"F",1)</f>
        <v>4</v>
      </c>
      <c r="M706" s="5">
        <f t="shared" si="10"/>
        <v>70000</v>
      </c>
    </row>
    <row r="707" spans="1:13" x14ac:dyDescent="0.3">
      <c r="A707" t="s">
        <v>65</v>
      </c>
      <c r="B707" t="s">
        <v>51</v>
      </c>
      <c r="C707">
        <v>0</v>
      </c>
      <c r="D707" t="s">
        <v>34</v>
      </c>
      <c r="E707" t="s">
        <v>13</v>
      </c>
      <c r="F707" t="s">
        <v>37</v>
      </c>
      <c r="G707" s="2">
        <v>43881</v>
      </c>
      <c r="H707" t="s">
        <v>22</v>
      </c>
      <c r="I707" t="s">
        <v>39</v>
      </c>
      <c r="J707" t="s">
        <v>24</v>
      </c>
      <c r="K707" s="5" t="s">
        <v>44</v>
      </c>
      <c r="L707" s="6" cm="1">
        <f t="array" ref="L707">_xlfn.SWITCH(Table13_2[[#This Row],[Performance Score]],"A",6,"B",5,"C",4,"D",3,"E",2,"F",1)</f>
        <v>1</v>
      </c>
      <c r="M707" s="5">
        <f t="shared" ref="M707:M770" si="11">IF(C707=0,AVERAGEIF($E$2:$E$1001,E707,$C$2:$C$1001),C707)</f>
        <v>51825</v>
      </c>
    </row>
    <row r="708" spans="1:13" x14ac:dyDescent="0.3">
      <c r="A708" t="s">
        <v>65</v>
      </c>
      <c r="B708">
        <v>50</v>
      </c>
      <c r="C708">
        <v>70000</v>
      </c>
      <c r="D708" t="s">
        <v>12</v>
      </c>
      <c r="E708" t="s">
        <v>20</v>
      </c>
      <c r="F708" t="s">
        <v>37</v>
      </c>
      <c r="G708" s="2" t="s">
        <v>50</v>
      </c>
      <c r="H708" t="s">
        <v>31</v>
      </c>
      <c r="I708" t="s">
        <v>23</v>
      </c>
      <c r="J708" t="s">
        <v>42</v>
      </c>
      <c r="K708" s="5" t="s">
        <v>44</v>
      </c>
      <c r="L708" s="6" cm="1">
        <f t="array" ref="L708">_xlfn.SWITCH(Table13_2[[#This Row],[Performance Score]],"A",6,"B",5,"C",4,"D",3,"E",2,"F",1)</f>
        <v>6</v>
      </c>
      <c r="M708" s="5">
        <f t="shared" si="11"/>
        <v>70000</v>
      </c>
    </row>
    <row r="709" spans="1:13" x14ac:dyDescent="0.3">
      <c r="A709" t="s">
        <v>61</v>
      </c>
      <c r="B709">
        <v>50</v>
      </c>
      <c r="C709">
        <v>0</v>
      </c>
      <c r="D709" t="s">
        <v>34</v>
      </c>
      <c r="E709" t="s">
        <v>26</v>
      </c>
      <c r="F709" t="s">
        <v>21</v>
      </c>
      <c r="G709" s="2">
        <v>43881</v>
      </c>
      <c r="H709" t="s">
        <v>38</v>
      </c>
      <c r="I709" t="s">
        <v>39</v>
      </c>
      <c r="J709" t="s">
        <v>17</v>
      </c>
      <c r="K709" s="5" t="s">
        <v>36</v>
      </c>
      <c r="L709" s="6" cm="1">
        <f t="array" ref="L709">_xlfn.SWITCH(Table13_2[[#This Row],[Performance Score]],"A",6,"B",5,"C",4,"D",3,"E",2,"F",1)</f>
        <v>5</v>
      </c>
      <c r="M709" s="5">
        <f t="shared" si="11"/>
        <v>50742.574257425746</v>
      </c>
    </row>
    <row r="710" spans="1:13" x14ac:dyDescent="0.3">
      <c r="A710" t="s">
        <v>65</v>
      </c>
      <c r="B710">
        <v>40</v>
      </c>
      <c r="C710">
        <v>70000</v>
      </c>
      <c r="D710" t="s">
        <v>34</v>
      </c>
      <c r="E710" t="s">
        <v>20</v>
      </c>
      <c r="F710" t="s">
        <v>41</v>
      </c>
      <c r="G710" s="2" t="s">
        <v>62</v>
      </c>
      <c r="H710" t="s">
        <v>38</v>
      </c>
      <c r="I710" t="s">
        <v>16</v>
      </c>
      <c r="J710" t="s">
        <v>17</v>
      </c>
      <c r="K710" s="5" t="s">
        <v>44</v>
      </c>
      <c r="L710" s="6" cm="1">
        <f t="array" ref="L710">_xlfn.SWITCH(Table13_2[[#This Row],[Performance Score]],"A",6,"B",5,"C",4,"D",3,"E",2,"F",1)</f>
        <v>5</v>
      </c>
      <c r="M710" s="5">
        <f t="shared" si="11"/>
        <v>70000</v>
      </c>
    </row>
    <row r="711" spans="1:13" x14ac:dyDescent="0.3">
      <c r="A711" t="s">
        <v>52</v>
      </c>
      <c r="B711">
        <v>40</v>
      </c>
      <c r="C711">
        <v>55000</v>
      </c>
      <c r="D711" t="s">
        <v>19</v>
      </c>
      <c r="E711" t="s">
        <v>35</v>
      </c>
      <c r="F711" t="s">
        <v>37</v>
      </c>
      <c r="G711" s="2" t="s">
        <v>50</v>
      </c>
      <c r="H711" t="s">
        <v>38</v>
      </c>
      <c r="I711" t="s">
        <v>39</v>
      </c>
      <c r="J711" t="s">
        <v>28</v>
      </c>
      <c r="K711" s="5" t="s">
        <v>18</v>
      </c>
      <c r="L711" s="6" cm="1">
        <f t="array" ref="L711">_xlfn.SWITCH(Table13_2[[#This Row],[Performance Score]],"A",6,"B",5,"C",4,"D",3,"E",2,"F",1)</f>
        <v>5</v>
      </c>
      <c r="M711" s="5">
        <f t="shared" si="11"/>
        <v>55000</v>
      </c>
    </row>
    <row r="712" spans="1:13" x14ac:dyDescent="0.3">
      <c r="A712" t="s">
        <v>67</v>
      </c>
      <c r="B712" t="s">
        <v>63</v>
      </c>
      <c r="C712">
        <v>0</v>
      </c>
      <c r="D712" t="s">
        <v>19</v>
      </c>
      <c r="E712" t="s">
        <v>26</v>
      </c>
      <c r="F712" t="s">
        <v>40</v>
      </c>
      <c r="G712" s="2" t="s">
        <v>50</v>
      </c>
      <c r="H712" t="s">
        <v>27</v>
      </c>
      <c r="I712" t="s">
        <v>16</v>
      </c>
      <c r="J712" t="s">
        <v>24</v>
      </c>
      <c r="K712" s="5" t="s">
        <v>46</v>
      </c>
      <c r="L712" s="6" cm="1">
        <f t="array" ref="L712">_xlfn.SWITCH(Table13_2[[#This Row],[Performance Score]],"A",6,"B",5,"C",4,"D",3,"E",2,"F",1)</f>
        <v>4</v>
      </c>
      <c r="M712" s="5">
        <f t="shared" si="11"/>
        <v>50742.574257425746</v>
      </c>
    </row>
    <row r="713" spans="1:13" x14ac:dyDescent="0.3">
      <c r="A713" t="s">
        <v>64</v>
      </c>
      <c r="B713">
        <v>35</v>
      </c>
      <c r="C713">
        <v>0</v>
      </c>
      <c r="D713" t="s">
        <v>19</v>
      </c>
      <c r="E713" t="s">
        <v>20</v>
      </c>
      <c r="F713" t="s">
        <v>37</v>
      </c>
      <c r="G713" s="2">
        <v>43881</v>
      </c>
      <c r="H713" t="s">
        <v>31</v>
      </c>
      <c r="I713" t="s">
        <v>23</v>
      </c>
      <c r="J713" t="s">
        <v>17</v>
      </c>
      <c r="K713" s="5" t="s">
        <v>43</v>
      </c>
      <c r="L713" s="6" cm="1">
        <f t="array" ref="L713">_xlfn.SWITCH(Table13_2[[#This Row],[Performance Score]],"A",6,"B",5,"C",4,"D",3,"E",2,"F",1)</f>
        <v>6</v>
      </c>
      <c r="M713" s="5">
        <f t="shared" si="11"/>
        <v>48417.431192660551</v>
      </c>
    </row>
    <row r="714" spans="1:13" x14ac:dyDescent="0.3">
      <c r="A714" t="s">
        <v>66</v>
      </c>
      <c r="B714">
        <v>40</v>
      </c>
      <c r="C714">
        <v>65000</v>
      </c>
      <c r="D714" t="s">
        <v>19</v>
      </c>
      <c r="E714" t="s">
        <v>35</v>
      </c>
      <c r="F714" t="s">
        <v>14</v>
      </c>
      <c r="G714" s="2">
        <v>43881</v>
      </c>
      <c r="H714" t="s">
        <v>22</v>
      </c>
      <c r="I714" t="s">
        <v>39</v>
      </c>
      <c r="J714" t="s">
        <v>42</v>
      </c>
      <c r="K714" s="5" t="s">
        <v>45</v>
      </c>
      <c r="L714" s="6" cm="1">
        <f t="array" ref="L714">_xlfn.SWITCH(Table13_2[[#This Row],[Performance Score]],"A",6,"B",5,"C",4,"D",3,"E",2,"F",1)</f>
        <v>1</v>
      </c>
      <c r="M714" s="5">
        <f t="shared" si="11"/>
        <v>65000</v>
      </c>
    </row>
    <row r="715" spans="1:13" x14ac:dyDescent="0.3">
      <c r="A715" t="s">
        <v>53</v>
      </c>
      <c r="B715">
        <v>25</v>
      </c>
      <c r="C715">
        <v>65000</v>
      </c>
      <c r="D715" t="s">
        <v>19</v>
      </c>
      <c r="E715" t="s">
        <v>13</v>
      </c>
      <c r="F715" t="s">
        <v>41</v>
      </c>
      <c r="G715" s="2" t="s">
        <v>55</v>
      </c>
      <c r="H715" t="s">
        <v>22</v>
      </c>
      <c r="I715" t="s">
        <v>39</v>
      </c>
      <c r="J715" t="s">
        <v>28</v>
      </c>
      <c r="K715" s="5" t="s">
        <v>25</v>
      </c>
      <c r="L715" s="6" cm="1">
        <f t="array" ref="L715">_xlfn.SWITCH(Table13_2[[#This Row],[Performance Score]],"A",6,"B",5,"C",4,"D",3,"E",2,"F",1)</f>
        <v>1</v>
      </c>
      <c r="M715" s="5">
        <f t="shared" si="11"/>
        <v>65000</v>
      </c>
    </row>
    <row r="716" spans="1:13" x14ac:dyDescent="0.3">
      <c r="A716" t="s">
        <v>49</v>
      </c>
      <c r="B716">
        <v>40</v>
      </c>
      <c r="C716">
        <v>50000</v>
      </c>
      <c r="D716" t="s">
        <v>19</v>
      </c>
      <c r="E716" t="s">
        <v>35</v>
      </c>
      <c r="F716" t="s">
        <v>21</v>
      </c>
      <c r="G716" s="2" t="s">
        <v>62</v>
      </c>
      <c r="H716" t="s">
        <v>38</v>
      </c>
      <c r="I716" t="s">
        <v>39</v>
      </c>
      <c r="J716" t="s">
        <v>24</v>
      </c>
      <c r="K716" s="5" t="s">
        <v>11</v>
      </c>
      <c r="L716" s="6" cm="1">
        <f t="array" ref="L716">_xlfn.SWITCH(Table13_2[[#This Row],[Performance Score]],"A",6,"B",5,"C",4,"D",3,"E",2,"F",1)</f>
        <v>5</v>
      </c>
      <c r="M716" s="5">
        <f t="shared" si="11"/>
        <v>50000</v>
      </c>
    </row>
    <row r="717" spans="1:13" x14ac:dyDescent="0.3">
      <c r="A717" t="s">
        <v>59</v>
      </c>
      <c r="B717" t="s">
        <v>63</v>
      </c>
      <c r="C717">
        <v>70000</v>
      </c>
      <c r="D717" t="s">
        <v>19</v>
      </c>
      <c r="E717" t="s">
        <v>26</v>
      </c>
      <c r="F717" t="s">
        <v>14</v>
      </c>
      <c r="G717" s="2" t="s">
        <v>55</v>
      </c>
      <c r="H717" t="s">
        <v>31</v>
      </c>
      <c r="I717" t="s">
        <v>39</v>
      </c>
      <c r="J717" t="s">
        <v>17</v>
      </c>
      <c r="K717" s="5" t="s">
        <v>33</v>
      </c>
      <c r="L717" s="6" cm="1">
        <f t="array" ref="L717">_xlfn.SWITCH(Table13_2[[#This Row],[Performance Score]],"A",6,"B",5,"C",4,"D",3,"E",2,"F",1)</f>
        <v>6</v>
      </c>
      <c r="M717" s="5">
        <f t="shared" si="11"/>
        <v>70000</v>
      </c>
    </row>
    <row r="718" spans="1:13" x14ac:dyDescent="0.3">
      <c r="A718" t="s">
        <v>61</v>
      </c>
      <c r="B718">
        <v>50</v>
      </c>
      <c r="C718">
        <v>65000</v>
      </c>
      <c r="D718" t="s">
        <v>19</v>
      </c>
      <c r="E718" t="s">
        <v>30</v>
      </c>
      <c r="F718" t="s">
        <v>14</v>
      </c>
      <c r="G718" s="2" t="s">
        <v>50</v>
      </c>
      <c r="H718" t="s">
        <v>31</v>
      </c>
      <c r="I718" t="s">
        <v>39</v>
      </c>
      <c r="J718" t="s">
        <v>28</v>
      </c>
      <c r="K718" s="5" t="s">
        <v>36</v>
      </c>
      <c r="L718" s="6" cm="1">
        <f t="array" ref="L718">_xlfn.SWITCH(Table13_2[[#This Row],[Performance Score]],"A",6,"B",5,"C",4,"D",3,"E",2,"F",1)</f>
        <v>6</v>
      </c>
      <c r="M718" s="5">
        <f t="shared" si="11"/>
        <v>65000</v>
      </c>
    </row>
    <row r="719" spans="1:13" x14ac:dyDescent="0.3">
      <c r="A719" t="s">
        <v>66</v>
      </c>
      <c r="B719" t="s">
        <v>63</v>
      </c>
      <c r="C719">
        <v>50000</v>
      </c>
      <c r="D719" t="s">
        <v>12</v>
      </c>
      <c r="E719" t="s">
        <v>13</v>
      </c>
      <c r="F719" t="s">
        <v>41</v>
      </c>
      <c r="G719" s="2">
        <v>43881</v>
      </c>
      <c r="H719" t="s">
        <v>31</v>
      </c>
      <c r="I719" t="s">
        <v>39</v>
      </c>
      <c r="J719" t="s">
        <v>28</v>
      </c>
      <c r="K719" s="5" t="s">
        <v>45</v>
      </c>
      <c r="L719" s="6" cm="1">
        <f t="array" ref="L719">_xlfn.SWITCH(Table13_2[[#This Row],[Performance Score]],"A",6,"B",5,"C",4,"D",3,"E",2,"F",1)</f>
        <v>6</v>
      </c>
      <c r="M719" s="5">
        <f t="shared" si="11"/>
        <v>50000</v>
      </c>
    </row>
    <row r="720" spans="1:13" x14ac:dyDescent="0.3">
      <c r="A720" t="s">
        <v>56</v>
      </c>
      <c r="B720">
        <v>50</v>
      </c>
      <c r="C720">
        <v>65000</v>
      </c>
      <c r="D720" t="s">
        <v>34</v>
      </c>
      <c r="E720" t="s">
        <v>20</v>
      </c>
      <c r="F720" t="s">
        <v>21</v>
      </c>
      <c r="G720" s="2" t="s">
        <v>50</v>
      </c>
      <c r="H720" t="s">
        <v>15</v>
      </c>
      <c r="I720" t="s">
        <v>39</v>
      </c>
      <c r="J720" t="s">
        <v>17</v>
      </c>
      <c r="K720" s="5" t="s">
        <v>29</v>
      </c>
      <c r="L720" s="6" cm="1">
        <f t="array" ref="L720">_xlfn.SWITCH(Table13_2[[#This Row],[Performance Score]],"A",6,"B",5,"C",4,"D",3,"E",2,"F",1)</f>
        <v>3</v>
      </c>
      <c r="M720" s="5">
        <f t="shared" si="11"/>
        <v>65000</v>
      </c>
    </row>
    <row r="721" spans="1:13" x14ac:dyDescent="0.3">
      <c r="A721" t="s">
        <v>52</v>
      </c>
      <c r="B721">
        <v>50</v>
      </c>
      <c r="C721">
        <v>70000</v>
      </c>
      <c r="D721" t="s">
        <v>19</v>
      </c>
      <c r="E721" t="s">
        <v>26</v>
      </c>
      <c r="F721" t="s">
        <v>40</v>
      </c>
      <c r="G721" s="2" t="s">
        <v>50</v>
      </c>
      <c r="H721" t="s">
        <v>15</v>
      </c>
      <c r="I721" t="s">
        <v>16</v>
      </c>
      <c r="J721" t="s">
        <v>24</v>
      </c>
      <c r="K721" s="5" t="s">
        <v>18</v>
      </c>
      <c r="L721" s="6" cm="1">
        <f t="array" ref="L721">_xlfn.SWITCH(Table13_2[[#This Row],[Performance Score]],"A",6,"B",5,"C",4,"D",3,"E",2,"F",1)</f>
        <v>3</v>
      </c>
      <c r="M721" s="5">
        <f t="shared" si="11"/>
        <v>70000</v>
      </c>
    </row>
    <row r="722" spans="1:13" x14ac:dyDescent="0.3">
      <c r="A722" t="s">
        <v>59</v>
      </c>
      <c r="B722">
        <v>35</v>
      </c>
      <c r="C722">
        <v>0</v>
      </c>
      <c r="D722" t="s">
        <v>19</v>
      </c>
      <c r="E722" t="s">
        <v>30</v>
      </c>
      <c r="F722" t="s">
        <v>21</v>
      </c>
      <c r="G722" s="2" t="s">
        <v>60</v>
      </c>
      <c r="H722" t="s">
        <v>38</v>
      </c>
      <c r="I722" t="s">
        <v>23</v>
      </c>
      <c r="J722" t="s">
        <v>17</v>
      </c>
      <c r="K722" s="5" t="s">
        <v>33</v>
      </c>
      <c r="L722" s="6" cm="1">
        <f t="array" ref="L722">_xlfn.SWITCH(Table13_2[[#This Row],[Performance Score]],"A",6,"B",5,"C",4,"D",3,"E",2,"F",1)</f>
        <v>5</v>
      </c>
      <c r="M722" s="5">
        <f t="shared" si="11"/>
        <v>50777.202072538857</v>
      </c>
    </row>
    <row r="723" spans="1:13" x14ac:dyDescent="0.3">
      <c r="A723" t="s">
        <v>53</v>
      </c>
      <c r="B723">
        <v>40</v>
      </c>
      <c r="C723">
        <v>60000</v>
      </c>
      <c r="D723" t="s">
        <v>34</v>
      </c>
      <c r="E723" t="s">
        <v>35</v>
      </c>
      <c r="F723" t="s">
        <v>37</v>
      </c>
      <c r="G723" s="2" t="s">
        <v>60</v>
      </c>
      <c r="H723" t="s">
        <v>31</v>
      </c>
      <c r="I723" t="s">
        <v>39</v>
      </c>
      <c r="J723" t="s">
        <v>17</v>
      </c>
      <c r="K723" s="5" t="s">
        <v>25</v>
      </c>
      <c r="L723" s="6" cm="1">
        <f t="array" ref="L723">_xlfn.SWITCH(Table13_2[[#This Row],[Performance Score]],"A",6,"B",5,"C",4,"D",3,"E",2,"F",1)</f>
        <v>6</v>
      </c>
      <c r="M723" s="5">
        <f t="shared" si="11"/>
        <v>60000</v>
      </c>
    </row>
    <row r="724" spans="1:13" x14ac:dyDescent="0.3">
      <c r="A724" t="s">
        <v>66</v>
      </c>
      <c r="B724">
        <v>25</v>
      </c>
      <c r="C724">
        <v>70000</v>
      </c>
      <c r="D724" t="s">
        <v>12</v>
      </c>
      <c r="E724" t="s">
        <v>30</v>
      </c>
      <c r="F724" t="s">
        <v>14</v>
      </c>
      <c r="G724" s="2" t="s">
        <v>50</v>
      </c>
      <c r="H724" t="s">
        <v>31</v>
      </c>
      <c r="I724" t="s">
        <v>16</v>
      </c>
      <c r="J724" t="s">
        <v>42</v>
      </c>
      <c r="K724" s="5" t="s">
        <v>45</v>
      </c>
      <c r="L724" s="6" cm="1">
        <f t="array" ref="L724">_xlfn.SWITCH(Table13_2[[#This Row],[Performance Score]],"A",6,"B",5,"C",4,"D",3,"E",2,"F",1)</f>
        <v>6</v>
      </c>
      <c r="M724" s="5">
        <f t="shared" si="11"/>
        <v>70000</v>
      </c>
    </row>
    <row r="725" spans="1:13" x14ac:dyDescent="0.3">
      <c r="A725" t="s">
        <v>59</v>
      </c>
      <c r="B725">
        <v>25</v>
      </c>
      <c r="C725">
        <v>55000</v>
      </c>
      <c r="D725" t="s">
        <v>34</v>
      </c>
      <c r="E725" t="s">
        <v>26</v>
      </c>
      <c r="F725" t="s">
        <v>37</v>
      </c>
      <c r="G725" s="2">
        <v>43881</v>
      </c>
      <c r="H725" t="s">
        <v>22</v>
      </c>
      <c r="I725" t="s">
        <v>39</v>
      </c>
      <c r="J725" t="s">
        <v>17</v>
      </c>
      <c r="K725" s="5" t="s">
        <v>33</v>
      </c>
      <c r="L725" s="6" cm="1">
        <f t="array" ref="L725">_xlfn.SWITCH(Table13_2[[#This Row],[Performance Score]],"A",6,"B",5,"C",4,"D",3,"E",2,"F",1)</f>
        <v>1</v>
      </c>
      <c r="M725" s="5">
        <f t="shared" si="11"/>
        <v>55000</v>
      </c>
    </row>
    <row r="726" spans="1:13" x14ac:dyDescent="0.3">
      <c r="A726" t="s">
        <v>66</v>
      </c>
      <c r="B726" t="s">
        <v>51</v>
      </c>
      <c r="C726">
        <v>65000</v>
      </c>
      <c r="D726" t="s">
        <v>34</v>
      </c>
      <c r="E726" t="s">
        <v>26</v>
      </c>
      <c r="F726" t="s">
        <v>40</v>
      </c>
      <c r="G726" s="2" t="s">
        <v>50</v>
      </c>
      <c r="H726" t="s">
        <v>22</v>
      </c>
      <c r="I726" t="s">
        <v>16</v>
      </c>
      <c r="J726" t="s">
        <v>28</v>
      </c>
      <c r="K726" s="5" t="s">
        <v>45</v>
      </c>
      <c r="L726" s="6" cm="1">
        <f t="array" ref="L726">_xlfn.SWITCH(Table13_2[[#This Row],[Performance Score]],"A",6,"B",5,"C",4,"D",3,"E",2,"F",1)</f>
        <v>1</v>
      </c>
      <c r="M726" s="5">
        <f t="shared" si="11"/>
        <v>65000</v>
      </c>
    </row>
    <row r="727" spans="1:13" x14ac:dyDescent="0.3">
      <c r="A727" t="s">
        <v>52</v>
      </c>
      <c r="B727">
        <v>50</v>
      </c>
      <c r="C727">
        <v>65000</v>
      </c>
      <c r="D727" t="s">
        <v>19</v>
      </c>
      <c r="E727" t="s">
        <v>30</v>
      </c>
      <c r="F727" t="s">
        <v>37</v>
      </c>
      <c r="G727" s="2" t="s">
        <v>60</v>
      </c>
      <c r="H727" t="s">
        <v>38</v>
      </c>
      <c r="I727" t="s">
        <v>39</v>
      </c>
      <c r="J727" t="s">
        <v>24</v>
      </c>
      <c r="K727" s="5" t="s">
        <v>18</v>
      </c>
      <c r="L727" s="6" cm="1">
        <f t="array" ref="L727">_xlfn.SWITCH(Table13_2[[#This Row],[Performance Score]],"A",6,"B",5,"C",4,"D",3,"E",2,"F",1)</f>
        <v>5</v>
      </c>
      <c r="M727" s="5">
        <f t="shared" si="11"/>
        <v>65000</v>
      </c>
    </row>
    <row r="728" spans="1:13" x14ac:dyDescent="0.3">
      <c r="A728" t="s">
        <v>53</v>
      </c>
      <c r="B728">
        <v>25</v>
      </c>
      <c r="C728">
        <v>0</v>
      </c>
      <c r="D728" t="s">
        <v>34</v>
      </c>
      <c r="E728" t="s">
        <v>35</v>
      </c>
      <c r="F728" t="s">
        <v>21</v>
      </c>
      <c r="G728" s="2">
        <v>43881</v>
      </c>
      <c r="H728" t="s">
        <v>31</v>
      </c>
      <c r="I728" t="s">
        <v>39</v>
      </c>
      <c r="J728" t="s">
        <v>17</v>
      </c>
      <c r="K728" s="5" t="s">
        <v>25</v>
      </c>
      <c r="L728" s="6" cm="1">
        <f t="array" ref="L728">_xlfn.SWITCH(Table13_2[[#This Row],[Performance Score]],"A",6,"B",5,"C",4,"D",3,"E",2,"F",1)</f>
        <v>6</v>
      </c>
      <c r="M728" s="5">
        <f t="shared" si="11"/>
        <v>49144.385026737968</v>
      </c>
    </row>
    <row r="729" spans="1:13" x14ac:dyDescent="0.3">
      <c r="A729" t="s">
        <v>56</v>
      </c>
      <c r="B729">
        <v>35</v>
      </c>
      <c r="C729">
        <v>55000</v>
      </c>
      <c r="D729" t="s">
        <v>34</v>
      </c>
      <c r="E729" t="s">
        <v>30</v>
      </c>
      <c r="F729" t="s">
        <v>37</v>
      </c>
      <c r="G729" s="2" t="s">
        <v>50</v>
      </c>
      <c r="H729" t="s">
        <v>38</v>
      </c>
      <c r="I729" t="s">
        <v>39</v>
      </c>
      <c r="J729" t="s">
        <v>17</v>
      </c>
      <c r="K729" s="5" t="s">
        <v>29</v>
      </c>
      <c r="L729" s="6" cm="1">
        <f t="array" ref="L729">_xlfn.SWITCH(Table13_2[[#This Row],[Performance Score]],"A",6,"B",5,"C",4,"D",3,"E",2,"F",1)</f>
        <v>5</v>
      </c>
      <c r="M729" s="5">
        <f t="shared" si="11"/>
        <v>55000</v>
      </c>
    </row>
    <row r="730" spans="1:13" x14ac:dyDescent="0.3">
      <c r="A730" t="s">
        <v>65</v>
      </c>
      <c r="B730">
        <v>50</v>
      </c>
      <c r="C730">
        <v>0</v>
      </c>
      <c r="D730" t="s">
        <v>19</v>
      </c>
      <c r="E730" t="s">
        <v>26</v>
      </c>
      <c r="F730" t="s">
        <v>40</v>
      </c>
      <c r="G730" s="2" t="s">
        <v>62</v>
      </c>
      <c r="H730" t="s">
        <v>22</v>
      </c>
      <c r="I730" t="s">
        <v>39</v>
      </c>
      <c r="J730" t="s">
        <v>24</v>
      </c>
      <c r="K730" s="5" t="s">
        <v>44</v>
      </c>
      <c r="L730" s="6" cm="1">
        <f t="array" ref="L730">_xlfn.SWITCH(Table13_2[[#This Row],[Performance Score]],"A",6,"B",5,"C",4,"D",3,"E",2,"F",1)</f>
        <v>1</v>
      </c>
      <c r="M730" s="5">
        <f t="shared" si="11"/>
        <v>50742.574257425746</v>
      </c>
    </row>
    <row r="731" spans="1:13" x14ac:dyDescent="0.3">
      <c r="A731" t="s">
        <v>64</v>
      </c>
      <c r="B731">
        <v>35</v>
      </c>
      <c r="C731">
        <v>55000</v>
      </c>
      <c r="D731" t="s">
        <v>19</v>
      </c>
      <c r="E731" t="s">
        <v>26</v>
      </c>
      <c r="F731" t="s">
        <v>40</v>
      </c>
      <c r="G731" s="2" t="s">
        <v>62</v>
      </c>
      <c r="H731" t="s">
        <v>22</v>
      </c>
      <c r="I731" t="s">
        <v>32</v>
      </c>
      <c r="J731" t="s">
        <v>17</v>
      </c>
      <c r="K731" s="5" t="s">
        <v>43</v>
      </c>
      <c r="L731" s="6" cm="1">
        <f t="array" ref="L731">_xlfn.SWITCH(Table13_2[[#This Row],[Performance Score]],"A",6,"B",5,"C",4,"D",3,"E",2,"F",1)</f>
        <v>1</v>
      </c>
      <c r="M731" s="5">
        <f t="shared" si="11"/>
        <v>55000</v>
      </c>
    </row>
    <row r="732" spans="1:13" x14ac:dyDescent="0.3">
      <c r="A732" t="s">
        <v>56</v>
      </c>
      <c r="B732">
        <v>25</v>
      </c>
      <c r="C732">
        <v>60000</v>
      </c>
      <c r="D732" t="s">
        <v>19</v>
      </c>
      <c r="E732" t="s">
        <v>20</v>
      </c>
      <c r="F732" t="s">
        <v>40</v>
      </c>
      <c r="G732" s="2" t="s">
        <v>50</v>
      </c>
      <c r="H732" t="s">
        <v>15</v>
      </c>
      <c r="I732" t="s">
        <v>16</v>
      </c>
      <c r="J732" t="s">
        <v>42</v>
      </c>
      <c r="K732" s="5" t="s">
        <v>29</v>
      </c>
      <c r="L732" s="6" cm="1">
        <f t="array" ref="L732">_xlfn.SWITCH(Table13_2[[#This Row],[Performance Score]],"A",6,"B",5,"C",4,"D",3,"E",2,"F",1)</f>
        <v>3</v>
      </c>
      <c r="M732" s="5">
        <f t="shared" si="11"/>
        <v>60000</v>
      </c>
    </row>
    <row r="733" spans="1:13" x14ac:dyDescent="0.3">
      <c r="A733" t="s">
        <v>65</v>
      </c>
      <c r="B733">
        <v>25</v>
      </c>
      <c r="C733">
        <v>65000</v>
      </c>
      <c r="D733" t="s">
        <v>19</v>
      </c>
      <c r="E733" t="s">
        <v>20</v>
      </c>
      <c r="F733" t="s">
        <v>21</v>
      </c>
      <c r="G733" s="2">
        <v>43881</v>
      </c>
      <c r="H733" t="s">
        <v>38</v>
      </c>
      <c r="I733" t="s">
        <v>32</v>
      </c>
      <c r="J733" t="s">
        <v>17</v>
      </c>
      <c r="K733" s="5" t="s">
        <v>44</v>
      </c>
      <c r="L733" s="6" cm="1">
        <f t="array" ref="L733">_xlfn.SWITCH(Table13_2[[#This Row],[Performance Score]],"A",6,"B",5,"C",4,"D",3,"E",2,"F",1)</f>
        <v>5</v>
      </c>
      <c r="M733" s="5">
        <f t="shared" si="11"/>
        <v>65000</v>
      </c>
    </row>
    <row r="734" spans="1:13" x14ac:dyDescent="0.3">
      <c r="A734" t="s">
        <v>61</v>
      </c>
      <c r="B734" t="s">
        <v>51</v>
      </c>
      <c r="C734">
        <v>65000</v>
      </c>
      <c r="D734" t="s">
        <v>34</v>
      </c>
      <c r="E734" t="s">
        <v>13</v>
      </c>
      <c r="F734" t="s">
        <v>40</v>
      </c>
      <c r="G734" s="2" t="s">
        <v>50</v>
      </c>
      <c r="H734" t="s">
        <v>38</v>
      </c>
      <c r="I734" t="s">
        <v>16</v>
      </c>
      <c r="J734" t="s">
        <v>42</v>
      </c>
      <c r="K734" s="5" t="s">
        <v>36</v>
      </c>
      <c r="L734" s="6" cm="1">
        <f t="array" ref="L734">_xlfn.SWITCH(Table13_2[[#This Row],[Performance Score]],"A",6,"B",5,"C",4,"D",3,"E",2,"F",1)</f>
        <v>5</v>
      </c>
      <c r="M734" s="5">
        <f t="shared" si="11"/>
        <v>65000</v>
      </c>
    </row>
    <row r="735" spans="1:13" x14ac:dyDescent="0.3">
      <c r="A735" t="s">
        <v>67</v>
      </c>
      <c r="B735">
        <v>25</v>
      </c>
      <c r="C735">
        <v>60000</v>
      </c>
      <c r="D735" t="s">
        <v>34</v>
      </c>
      <c r="E735" t="s">
        <v>26</v>
      </c>
      <c r="F735" t="s">
        <v>14</v>
      </c>
      <c r="G735" s="2" t="s">
        <v>50</v>
      </c>
      <c r="H735" t="s">
        <v>31</v>
      </c>
      <c r="I735" t="s">
        <v>23</v>
      </c>
      <c r="J735" t="s">
        <v>28</v>
      </c>
      <c r="K735" s="5" t="s">
        <v>46</v>
      </c>
      <c r="L735" s="6" cm="1">
        <f t="array" ref="L735">_xlfn.SWITCH(Table13_2[[#This Row],[Performance Score]],"A",6,"B",5,"C",4,"D",3,"E",2,"F",1)</f>
        <v>6</v>
      </c>
      <c r="M735" s="5">
        <f t="shared" si="11"/>
        <v>60000</v>
      </c>
    </row>
    <row r="736" spans="1:13" x14ac:dyDescent="0.3">
      <c r="A736" t="s">
        <v>49</v>
      </c>
      <c r="B736">
        <v>50</v>
      </c>
      <c r="C736">
        <v>50000</v>
      </c>
      <c r="D736" t="s">
        <v>12</v>
      </c>
      <c r="E736" t="s">
        <v>20</v>
      </c>
      <c r="F736" t="s">
        <v>40</v>
      </c>
      <c r="G736" s="2" t="s">
        <v>60</v>
      </c>
      <c r="H736" t="s">
        <v>31</v>
      </c>
      <c r="I736" t="s">
        <v>39</v>
      </c>
      <c r="J736" t="s">
        <v>28</v>
      </c>
      <c r="K736" s="5" t="s">
        <v>11</v>
      </c>
      <c r="L736" s="6" cm="1">
        <f t="array" ref="L736">_xlfn.SWITCH(Table13_2[[#This Row],[Performance Score]],"A",6,"B",5,"C",4,"D",3,"E",2,"F",1)</f>
        <v>6</v>
      </c>
      <c r="M736" s="5">
        <f t="shared" si="11"/>
        <v>50000</v>
      </c>
    </row>
    <row r="737" spans="1:13" x14ac:dyDescent="0.3">
      <c r="A737" t="s">
        <v>49</v>
      </c>
      <c r="B737">
        <v>50</v>
      </c>
      <c r="C737">
        <v>0</v>
      </c>
      <c r="D737" t="s">
        <v>12</v>
      </c>
      <c r="E737" t="s">
        <v>30</v>
      </c>
      <c r="F737" t="s">
        <v>37</v>
      </c>
      <c r="G737" s="2" t="s">
        <v>62</v>
      </c>
      <c r="H737" t="s">
        <v>15</v>
      </c>
      <c r="I737" t="s">
        <v>23</v>
      </c>
      <c r="J737" t="s">
        <v>17</v>
      </c>
      <c r="K737" s="5" t="s">
        <v>11</v>
      </c>
      <c r="L737" s="6" cm="1">
        <f t="array" ref="L737">_xlfn.SWITCH(Table13_2[[#This Row],[Performance Score]],"A",6,"B",5,"C",4,"D",3,"E",2,"F",1)</f>
        <v>3</v>
      </c>
      <c r="M737" s="5">
        <f t="shared" si="11"/>
        <v>50777.202072538857</v>
      </c>
    </row>
    <row r="738" spans="1:13" x14ac:dyDescent="0.3">
      <c r="A738" t="s">
        <v>64</v>
      </c>
      <c r="B738">
        <v>50</v>
      </c>
      <c r="C738">
        <v>60000</v>
      </c>
      <c r="D738" t="s">
        <v>34</v>
      </c>
      <c r="E738" t="s">
        <v>35</v>
      </c>
      <c r="F738" t="s">
        <v>37</v>
      </c>
      <c r="G738" s="2" t="s">
        <v>60</v>
      </c>
      <c r="H738" t="s">
        <v>27</v>
      </c>
      <c r="I738" t="s">
        <v>23</v>
      </c>
      <c r="J738" t="s">
        <v>42</v>
      </c>
      <c r="K738" s="5" t="s">
        <v>43</v>
      </c>
      <c r="L738" s="6" cm="1">
        <f t="array" ref="L738">_xlfn.SWITCH(Table13_2[[#This Row],[Performance Score]],"A",6,"B",5,"C",4,"D",3,"E",2,"F",1)</f>
        <v>4</v>
      </c>
      <c r="M738" s="5">
        <f t="shared" si="11"/>
        <v>60000</v>
      </c>
    </row>
    <row r="739" spans="1:13" x14ac:dyDescent="0.3">
      <c r="A739" t="s">
        <v>53</v>
      </c>
      <c r="B739" t="s">
        <v>51</v>
      </c>
      <c r="C739">
        <v>0</v>
      </c>
      <c r="D739" t="s">
        <v>12</v>
      </c>
      <c r="E739" t="s">
        <v>30</v>
      </c>
      <c r="F739" t="s">
        <v>37</v>
      </c>
      <c r="G739" s="2" t="s">
        <v>60</v>
      </c>
      <c r="H739" t="s">
        <v>27</v>
      </c>
      <c r="I739" t="s">
        <v>16</v>
      </c>
      <c r="J739" t="s">
        <v>28</v>
      </c>
      <c r="K739" s="5" t="s">
        <v>25</v>
      </c>
      <c r="L739" s="6" cm="1">
        <f t="array" ref="L739">_xlfn.SWITCH(Table13_2[[#This Row],[Performance Score]],"A",6,"B",5,"C",4,"D",3,"E",2,"F",1)</f>
        <v>4</v>
      </c>
      <c r="M739" s="5">
        <f t="shared" si="11"/>
        <v>50777.202072538857</v>
      </c>
    </row>
    <row r="740" spans="1:13" x14ac:dyDescent="0.3">
      <c r="A740" t="s">
        <v>52</v>
      </c>
      <c r="B740" t="s">
        <v>51</v>
      </c>
      <c r="C740">
        <v>70000</v>
      </c>
      <c r="D740" t="s">
        <v>34</v>
      </c>
      <c r="E740" t="s">
        <v>35</v>
      </c>
      <c r="F740" t="s">
        <v>21</v>
      </c>
      <c r="G740" s="2" t="s">
        <v>50</v>
      </c>
      <c r="H740" t="s">
        <v>27</v>
      </c>
      <c r="I740" t="s">
        <v>32</v>
      </c>
      <c r="J740" t="s">
        <v>17</v>
      </c>
      <c r="K740" s="5" t="s">
        <v>18</v>
      </c>
      <c r="L740" s="6" cm="1">
        <f t="array" ref="L740">_xlfn.SWITCH(Table13_2[[#This Row],[Performance Score]],"A",6,"B",5,"C",4,"D",3,"E",2,"F",1)</f>
        <v>4</v>
      </c>
      <c r="M740" s="5">
        <f t="shared" si="11"/>
        <v>70000</v>
      </c>
    </row>
    <row r="741" spans="1:13" x14ac:dyDescent="0.3">
      <c r="A741" t="s">
        <v>53</v>
      </c>
      <c r="B741">
        <v>25</v>
      </c>
      <c r="C741">
        <v>65000</v>
      </c>
      <c r="D741" t="s">
        <v>12</v>
      </c>
      <c r="E741" t="s">
        <v>20</v>
      </c>
      <c r="F741" t="s">
        <v>37</v>
      </c>
      <c r="G741" s="2" t="s">
        <v>60</v>
      </c>
      <c r="H741" t="s">
        <v>38</v>
      </c>
      <c r="I741" t="s">
        <v>39</v>
      </c>
      <c r="J741" t="s">
        <v>24</v>
      </c>
      <c r="K741" s="5" t="s">
        <v>25</v>
      </c>
      <c r="L741" s="6" cm="1">
        <f t="array" ref="L741">_xlfn.SWITCH(Table13_2[[#This Row],[Performance Score]],"A",6,"B",5,"C",4,"D",3,"E",2,"F",1)</f>
        <v>5</v>
      </c>
      <c r="M741" s="5">
        <f t="shared" si="11"/>
        <v>65000</v>
      </c>
    </row>
    <row r="742" spans="1:13" x14ac:dyDescent="0.3">
      <c r="A742" t="s">
        <v>52</v>
      </c>
      <c r="B742" t="s">
        <v>63</v>
      </c>
      <c r="C742">
        <v>0</v>
      </c>
      <c r="D742" t="s">
        <v>19</v>
      </c>
      <c r="E742" t="s">
        <v>13</v>
      </c>
      <c r="F742" t="s">
        <v>21</v>
      </c>
      <c r="G742" s="2" t="s">
        <v>62</v>
      </c>
      <c r="H742" t="s">
        <v>38</v>
      </c>
      <c r="I742" t="s">
        <v>16</v>
      </c>
      <c r="J742" t="s">
        <v>24</v>
      </c>
      <c r="K742" s="5" t="s">
        <v>18</v>
      </c>
      <c r="L742" s="6" cm="1">
        <f t="array" ref="L742">_xlfn.SWITCH(Table13_2[[#This Row],[Performance Score]],"A",6,"B",5,"C",4,"D",3,"E",2,"F",1)</f>
        <v>5</v>
      </c>
      <c r="M742" s="5">
        <f t="shared" si="11"/>
        <v>51825</v>
      </c>
    </row>
    <row r="743" spans="1:13" x14ac:dyDescent="0.3">
      <c r="A743" t="s">
        <v>53</v>
      </c>
      <c r="B743" t="s">
        <v>63</v>
      </c>
      <c r="C743">
        <v>55000</v>
      </c>
      <c r="D743" t="s">
        <v>12</v>
      </c>
      <c r="E743" t="s">
        <v>30</v>
      </c>
      <c r="F743" t="s">
        <v>21</v>
      </c>
      <c r="G743" s="2" t="s">
        <v>60</v>
      </c>
      <c r="H743" t="s">
        <v>22</v>
      </c>
      <c r="I743" t="s">
        <v>39</v>
      </c>
      <c r="J743" t="s">
        <v>42</v>
      </c>
      <c r="K743" s="5" t="s">
        <v>25</v>
      </c>
      <c r="L743" s="6" cm="1">
        <f t="array" ref="L743">_xlfn.SWITCH(Table13_2[[#This Row],[Performance Score]],"A",6,"B",5,"C",4,"D",3,"E",2,"F",1)</f>
        <v>1</v>
      </c>
      <c r="M743" s="5">
        <f t="shared" si="11"/>
        <v>55000</v>
      </c>
    </row>
    <row r="744" spans="1:13" x14ac:dyDescent="0.3">
      <c r="A744" t="s">
        <v>67</v>
      </c>
      <c r="B744" t="s">
        <v>51</v>
      </c>
      <c r="C744">
        <v>0</v>
      </c>
      <c r="D744" t="s">
        <v>19</v>
      </c>
      <c r="E744" t="s">
        <v>30</v>
      </c>
      <c r="F744" t="s">
        <v>40</v>
      </c>
      <c r="G744" s="2" t="s">
        <v>62</v>
      </c>
      <c r="H744" t="s">
        <v>38</v>
      </c>
      <c r="I744" t="s">
        <v>23</v>
      </c>
      <c r="J744" t="s">
        <v>17</v>
      </c>
      <c r="K744" s="5" t="s">
        <v>46</v>
      </c>
      <c r="L744" s="6" cm="1">
        <f t="array" ref="L744">_xlfn.SWITCH(Table13_2[[#This Row],[Performance Score]],"A",6,"B",5,"C",4,"D",3,"E",2,"F",1)</f>
        <v>5</v>
      </c>
      <c r="M744" s="5">
        <f t="shared" si="11"/>
        <v>50777.202072538857</v>
      </c>
    </row>
    <row r="745" spans="1:13" x14ac:dyDescent="0.3">
      <c r="A745" t="s">
        <v>61</v>
      </c>
      <c r="B745">
        <v>25</v>
      </c>
      <c r="C745">
        <v>70000</v>
      </c>
      <c r="D745" t="s">
        <v>19</v>
      </c>
      <c r="E745" t="s">
        <v>30</v>
      </c>
      <c r="F745" t="s">
        <v>14</v>
      </c>
      <c r="G745" s="2" t="s">
        <v>60</v>
      </c>
      <c r="H745" t="s">
        <v>38</v>
      </c>
      <c r="I745" t="s">
        <v>39</v>
      </c>
      <c r="J745" t="s">
        <v>17</v>
      </c>
      <c r="K745" s="5" t="s">
        <v>36</v>
      </c>
      <c r="L745" s="6" cm="1">
        <f t="array" ref="L745">_xlfn.SWITCH(Table13_2[[#This Row],[Performance Score]],"A",6,"B",5,"C",4,"D",3,"E",2,"F",1)</f>
        <v>5</v>
      </c>
      <c r="M745" s="5">
        <f t="shared" si="11"/>
        <v>70000</v>
      </c>
    </row>
    <row r="746" spans="1:13" x14ac:dyDescent="0.3">
      <c r="A746" t="s">
        <v>61</v>
      </c>
      <c r="B746" t="s">
        <v>63</v>
      </c>
      <c r="C746">
        <v>65000</v>
      </c>
      <c r="D746" t="s">
        <v>19</v>
      </c>
      <c r="E746" t="s">
        <v>35</v>
      </c>
      <c r="F746" t="s">
        <v>40</v>
      </c>
      <c r="G746" s="2" t="s">
        <v>62</v>
      </c>
      <c r="H746" t="s">
        <v>38</v>
      </c>
      <c r="I746" t="s">
        <v>32</v>
      </c>
      <c r="J746" t="s">
        <v>42</v>
      </c>
      <c r="K746" s="5" t="s">
        <v>36</v>
      </c>
      <c r="L746" s="6" cm="1">
        <f t="array" ref="L746">_xlfn.SWITCH(Table13_2[[#This Row],[Performance Score]],"A",6,"B",5,"C",4,"D",3,"E",2,"F",1)</f>
        <v>5</v>
      </c>
      <c r="M746" s="5">
        <f t="shared" si="11"/>
        <v>65000</v>
      </c>
    </row>
    <row r="747" spans="1:13" x14ac:dyDescent="0.3">
      <c r="A747" t="s">
        <v>65</v>
      </c>
      <c r="B747">
        <v>25</v>
      </c>
      <c r="C747">
        <v>60000</v>
      </c>
      <c r="D747" t="s">
        <v>19</v>
      </c>
      <c r="E747" t="s">
        <v>20</v>
      </c>
      <c r="F747" t="s">
        <v>40</v>
      </c>
      <c r="G747" s="2" t="s">
        <v>60</v>
      </c>
      <c r="H747" t="s">
        <v>15</v>
      </c>
      <c r="I747" t="s">
        <v>16</v>
      </c>
      <c r="J747" t="s">
        <v>24</v>
      </c>
      <c r="K747" s="5" t="s">
        <v>44</v>
      </c>
      <c r="L747" s="6" cm="1">
        <f t="array" ref="L747">_xlfn.SWITCH(Table13_2[[#This Row],[Performance Score]],"A",6,"B",5,"C",4,"D",3,"E",2,"F",1)</f>
        <v>3</v>
      </c>
      <c r="M747" s="5">
        <f t="shared" si="11"/>
        <v>60000</v>
      </c>
    </row>
    <row r="748" spans="1:13" x14ac:dyDescent="0.3">
      <c r="A748" t="s">
        <v>59</v>
      </c>
      <c r="B748">
        <v>25</v>
      </c>
      <c r="C748">
        <v>70000</v>
      </c>
      <c r="D748" t="s">
        <v>12</v>
      </c>
      <c r="E748" t="s">
        <v>30</v>
      </c>
      <c r="F748" t="s">
        <v>21</v>
      </c>
      <c r="G748" s="2" t="s">
        <v>60</v>
      </c>
      <c r="H748" t="s">
        <v>38</v>
      </c>
      <c r="I748" t="s">
        <v>32</v>
      </c>
      <c r="J748" t="s">
        <v>42</v>
      </c>
      <c r="K748" s="5" t="s">
        <v>33</v>
      </c>
      <c r="L748" s="6" cm="1">
        <f t="array" ref="L748">_xlfn.SWITCH(Table13_2[[#This Row],[Performance Score]],"A",6,"B",5,"C",4,"D",3,"E",2,"F",1)</f>
        <v>5</v>
      </c>
      <c r="M748" s="5">
        <f t="shared" si="11"/>
        <v>70000</v>
      </c>
    </row>
    <row r="749" spans="1:13" x14ac:dyDescent="0.3">
      <c r="A749" t="s">
        <v>61</v>
      </c>
      <c r="B749">
        <v>25</v>
      </c>
      <c r="C749">
        <v>65000</v>
      </c>
      <c r="D749" t="s">
        <v>34</v>
      </c>
      <c r="E749" t="s">
        <v>30</v>
      </c>
      <c r="F749" t="s">
        <v>21</v>
      </c>
      <c r="G749" s="2">
        <v>43881</v>
      </c>
      <c r="H749" t="s">
        <v>31</v>
      </c>
      <c r="I749" t="s">
        <v>32</v>
      </c>
      <c r="J749" t="s">
        <v>17</v>
      </c>
      <c r="K749" s="5" t="s">
        <v>36</v>
      </c>
      <c r="L749" s="6" cm="1">
        <f t="array" ref="L749">_xlfn.SWITCH(Table13_2[[#This Row],[Performance Score]],"A",6,"B",5,"C",4,"D",3,"E",2,"F",1)</f>
        <v>6</v>
      </c>
      <c r="M749" s="5">
        <f t="shared" si="11"/>
        <v>65000</v>
      </c>
    </row>
    <row r="750" spans="1:13" x14ac:dyDescent="0.3">
      <c r="A750" t="s">
        <v>61</v>
      </c>
      <c r="B750">
        <v>40</v>
      </c>
      <c r="C750">
        <v>0</v>
      </c>
      <c r="D750" t="s">
        <v>19</v>
      </c>
      <c r="E750" t="s">
        <v>13</v>
      </c>
      <c r="F750" t="s">
        <v>37</v>
      </c>
      <c r="G750" s="2" t="s">
        <v>62</v>
      </c>
      <c r="H750" t="s">
        <v>31</v>
      </c>
      <c r="I750" t="s">
        <v>16</v>
      </c>
      <c r="J750" t="s">
        <v>28</v>
      </c>
      <c r="K750" s="5" t="s">
        <v>36</v>
      </c>
      <c r="L750" s="6" cm="1">
        <f t="array" ref="L750">_xlfn.SWITCH(Table13_2[[#This Row],[Performance Score]],"A",6,"B",5,"C",4,"D",3,"E",2,"F",1)</f>
        <v>6</v>
      </c>
      <c r="M750" s="5">
        <f t="shared" si="11"/>
        <v>51825</v>
      </c>
    </row>
    <row r="751" spans="1:13" x14ac:dyDescent="0.3">
      <c r="A751" t="s">
        <v>56</v>
      </c>
      <c r="B751">
        <v>50</v>
      </c>
      <c r="C751">
        <v>50000</v>
      </c>
      <c r="D751" t="s">
        <v>12</v>
      </c>
      <c r="E751" t="s">
        <v>13</v>
      </c>
      <c r="F751" t="s">
        <v>37</v>
      </c>
      <c r="G751" s="2" t="s">
        <v>62</v>
      </c>
      <c r="H751" t="s">
        <v>22</v>
      </c>
      <c r="I751" t="s">
        <v>32</v>
      </c>
      <c r="J751" t="s">
        <v>17</v>
      </c>
      <c r="K751" s="5" t="s">
        <v>29</v>
      </c>
      <c r="L751" s="6" cm="1">
        <f t="array" ref="L751">_xlfn.SWITCH(Table13_2[[#This Row],[Performance Score]],"A",6,"B",5,"C",4,"D",3,"E",2,"F",1)</f>
        <v>1</v>
      </c>
      <c r="M751" s="5">
        <f t="shared" si="11"/>
        <v>50000</v>
      </c>
    </row>
    <row r="752" spans="1:13" x14ac:dyDescent="0.3">
      <c r="A752" t="s">
        <v>56</v>
      </c>
      <c r="B752">
        <v>25</v>
      </c>
      <c r="C752">
        <v>50000</v>
      </c>
      <c r="D752" t="s">
        <v>19</v>
      </c>
      <c r="E752" t="s">
        <v>20</v>
      </c>
      <c r="F752" t="s">
        <v>40</v>
      </c>
      <c r="G752" s="2" t="s">
        <v>62</v>
      </c>
      <c r="H752" t="s">
        <v>15</v>
      </c>
      <c r="I752" t="s">
        <v>39</v>
      </c>
      <c r="J752" t="s">
        <v>28</v>
      </c>
      <c r="K752" s="5" t="s">
        <v>29</v>
      </c>
      <c r="L752" s="6" cm="1">
        <f t="array" ref="L752">_xlfn.SWITCH(Table13_2[[#This Row],[Performance Score]],"A",6,"B",5,"C",4,"D",3,"E",2,"F",1)</f>
        <v>3</v>
      </c>
      <c r="M752" s="5">
        <f t="shared" si="11"/>
        <v>50000</v>
      </c>
    </row>
    <row r="753" spans="1:13" x14ac:dyDescent="0.3">
      <c r="A753" t="s">
        <v>65</v>
      </c>
      <c r="B753">
        <v>40</v>
      </c>
      <c r="C753">
        <v>55000</v>
      </c>
      <c r="D753" t="s">
        <v>12</v>
      </c>
      <c r="E753" t="s">
        <v>20</v>
      </c>
      <c r="F753" t="s">
        <v>41</v>
      </c>
      <c r="G753" s="2" t="s">
        <v>55</v>
      </c>
      <c r="H753" t="s">
        <v>31</v>
      </c>
      <c r="I753" t="s">
        <v>39</v>
      </c>
      <c r="J753" t="s">
        <v>28</v>
      </c>
      <c r="K753" s="5" t="s">
        <v>44</v>
      </c>
      <c r="L753" s="6" cm="1">
        <f t="array" ref="L753">_xlfn.SWITCH(Table13_2[[#This Row],[Performance Score]],"A",6,"B",5,"C",4,"D",3,"E",2,"F",1)</f>
        <v>6</v>
      </c>
      <c r="M753" s="5">
        <f t="shared" si="11"/>
        <v>55000</v>
      </c>
    </row>
    <row r="754" spans="1:13" x14ac:dyDescent="0.3">
      <c r="A754" t="s">
        <v>59</v>
      </c>
      <c r="B754" t="s">
        <v>51</v>
      </c>
      <c r="C754">
        <v>65000</v>
      </c>
      <c r="D754" t="s">
        <v>12</v>
      </c>
      <c r="E754" t="s">
        <v>26</v>
      </c>
      <c r="F754" t="s">
        <v>41</v>
      </c>
      <c r="G754" s="2" t="s">
        <v>60</v>
      </c>
      <c r="H754" t="s">
        <v>15</v>
      </c>
      <c r="I754" t="s">
        <v>39</v>
      </c>
      <c r="J754" t="s">
        <v>28</v>
      </c>
      <c r="K754" s="5" t="s">
        <v>33</v>
      </c>
      <c r="L754" s="6" cm="1">
        <f t="array" ref="L754">_xlfn.SWITCH(Table13_2[[#This Row],[Performance Score]],"A",6,"B",5,"C",4,"D",3,"E",2,"F",1)</f>
        <v>3</v>
      </c>
      <c r="M754" s="5">
        <f t="shared" si="11"/>
        <v>65000</v>
      </c>
    </row>
    <row r="755" spans="1:13" x14ac:dyDescent="0.3">
      <c r="A755" t="s">
        <v>64</v>
      </c>
      <c r="B755" t="s">
        <v>63</v>
      </c>
      <c r="C755">
        <v>50000</v>
      </c>
      <c r="D755" t="s">
        <v>12</v>
      </c>
      <c r="E755" t="s">
        <v>13</v>
      </c>
      <c r="F755" t="s">
        <v>37</v>
      </c>
      <c r="G755" s="2" t="s">
        <v>62</v>
      </c>
      <c r="H755" t="s">
        <v>15</v>
      </c>
      <c r="I755" t="s">
        <v>39</v>
      </c>
      <c r="J755" t="s">
        <v>42</v>
      </c>
      <c r="K755" s="5" t="s">
        <v>43</v>
      </c>
      <c r="L755" s="6" cm="1">
        <f t="array" ref="L755">_xlfn.SWITCH(Table13_2[[#This Row],[Performance Score]],"A",6,"B",5,"C",4,"D",3,"E",2,"F",1)</f>
        <v>3</v>
      </c>
      <c r="M755" s="5">
        <f t="shared" si="11"/>
        <v>50000</v>
      </c>
    </row>
    <row r="756" spans="1:13" x14ac:dyDescent="0.3">
      <c r="A756" t="s">
        <v>56</v>
      </c>
      <c r="B756">
        <v>50</v>
      </c>
      <c r="C756">
        <v>60000</v>
      </c>
      <c r="D756" t="s">
        <v>34</v>
      </c>
      <c r="E756" t="s">
        <v>26</v>
      </c>
      <c r="F756" t="s">
        <v>41</v>
      </c>
      <c r="G756" s="2" t="s">
        <v>55</v>
      </c>
      <c r="H756" t="s">
        <v>22</v>
      </c>
      <c r="I756" t="s">
        <v>32</v>
      </c>
      <c r="J756" t="s">
        <v>24</v>
      </c>
      <c r="K756" s="5" t="s">
        <v>29</v>
      </c>
      <c r="L756" s="6" cm="1">
        <f t="array" ref="L756">_xlfn.SWITCH(Table13_2[[#This Row],[Performance Score]],"A",6,"B",5,"C",4,"D",3,"E",2,"F",1)</f>
        <v>1</v>
      </c>
      <c r="M756" s="5">
        <f t="shared" si="11"/>
        <v>60000</v>
      </c>
    </row>
    <row r="757" spans="1:13" x14ac:dyDescent="0.3">
      <c r="A757" t="s">
        <v>64</v>
      </c>
      <c r="B757" t="s">
        <v>63</v>
      </c>
      <c r="C757">
        <v>65000</v>
      </c>
      <c r="D757" t="s">
        <v>12</v>
      </c>
      <c r="E757" t="s">
        <v>35</v>
      </c>
      <c r="F757" t="s">
        <v>37</v>
      </c>
      <c r="G757" s="2">
        <v>43881</v>
      </c>
      <c r="H757" t="s">
        <v>15</v>
      </c>
      <c r="I757" t="s">
        <v>16</v>
      </c>
      <c r="J757" t="s">
        <v>42</v>
      </c>
      <c r="K757" s="5" t="s">
        <v>43</v>
      </c>
      <c r="L757" s="6" cm="1">
        <f t="array" ref="L757">_xlfn.SWITCH(Table13_2[[#This Row],[Performance Score]],"A",6,"B",5,"C",4,"D",3,"E",2,"F",1)</f>
        <v>3</v>
      </c>
      <c r="M757" s="5">
        <f t="shared" si="11"/>
        <v>65000</v>
      </c>
    </row>
    <row r="758" spans="1:13" x14ac:dyDescent="0.3">
      <c r="A758" t="s">
        <v>66</v>
      </c>
      <c r="B758">
        <v>50</v>
      </c>
      <c r="C758">
        <v>60000</v>
      </c>
      <c r="D758" t="s">
        <v>12</v>
      </c>
      <c r="E758" t="s">
        <v>26</v>
      </c>
      <c r="F758" t="s">
        <v>21</v>
      </c>
      <c r="G758" s="2" t="s">
        <v>62</v>
      </c>
      <c r="H758" t="s">
        <v>38</v>
      </c>
      <c r="I758" t="s">
        <v>16</v>
      </c>
      <c r="J758" t="s">
        <v>24</v>
      </c>
      <c r="K758" s="5" t="s">
        <v>45</v>
      </c>
      <c r="L758" s="6" cm="1">
        <f t="array" ref="L758">_xlfn.SWITCH(Table13_2[[#This Row],[Performance Score]],"A",6,"B",5,"C",4,"D",3,"E",2,"F",1)</f>
        <v>5</v>
      </c>
      <c r="M758" s="5">
        <f t="shared" si="11"/>
        <v>60000</v>
      </c>
    </row>
    <row r="759" spans="1:13" x14ac:dyDescent="0.3">
      <c r="A759" t="s">
        <v>56</v>
      </c>
      <c r="B759" t="s">
        <v>63</v>
      </c>
      <c r="C759">
        <v>60000</v>
      </c>
      <c r="D759" t="s">
        <v>34</v>
      </c>
      <c r="E759" t="s">
        <v>30</v>
      </c>
      <c r="F759" t="s">
        <v>40</v>
      </c>
      <c r="G759" s="2" t="s">
        <v>62</v>
      </c>
      <c r="H759" t="s">
        <v>15</v>
      </c>
      <c r="I759" t="s">
        <v>39</v>
      </c>
      <c r="J759" t="s">
        <v>17</v>
      </c>
      <c r="K759" s="5" t="s">
        <v>29</v>
      </c>
      <c r="L759" s="6" cm="1">
        <f t="array" ref="L759">_xlfn.SWITCH(Table13_2[[#This Row],[Performance Score]],"A",6,"B",5,"C",4,"D",3,"E",2,"F",1)</f>
        <v>3</v>
      </c>
      <c r="M759" s="5">
        <f t="shared" si="11"/>
        <v>60000</v>
      </c>
    </row>
    <row r="760" spans="1:13" x14ac:dyDescent="0.3">
      <c r="A760" t="s">
        <v>67</v>
      </c>
      <c r="B760">
        <v>50</v>
      </c>
      <c r="C760">
        <v>50000</v>
      </c>
      <c r="D760" t="s">
        <v>34</v>
      </c>
      <c r="E760" t="s">
        <v>26</v>
      </c>
      <c r="F760" t="s">
        <v>14</v>
      </c>
      <c r="G760" s="2" t="s">
        <v>55</v>
      </c>
      <c r="H760" t="s">
        <v>22</v>
      </c>
      <c r="I760" t="s">
        <v>16</v>
      </c>
      <c r="J760" t="s">
        <v>17</v>
      </c>
      <c r="K760" s="5" t="s">
        <v>46</v>
      </c>
      <c r="L760" s="6" cm="1">
        <f t="array" ref="L760">_xlfn.SWITCH(Table13_2[[#This Row],[Performance Score]],"A",6,"B",5,"C",4,"D",3,"E",2,"F",1)</f>
        <v>1</v>
      </c>
      <c r="M760" s="5">
        <f t="shared" si="11"/>
        <v>50000</v>
      </c>
    </row>
    <row r="761" spans="1:13" x14ac:dyDescent="0.3">
      <c r="A761" t="s">
        <v>59</v>
      </c>
      <c r="B761" t="s">
        <v>63</v>
      </c>
      <c r="C761">
        <v>65000</v>
      </c>
      <c r="D761" t="s">
        <v>12</v>
      </c>
      <c r="E761" t="s">
        <v>20</v>
      </c>
      <c r="F761" t="s">
        <v>40</v>
      </c>
      <c r="G761" s="2" t="s">
        <v>60</v>
      </c>
      <c r="H761" t="s">
        <v>22</v>
      </c>
      <c r="I761" t="s">
        <v>39</v>
      </c>
      <c r="J761" t="s">
        <v>17</v>
      </c>
      <c r="K761" s="5" t="s">
        <v>33</v>
      </c>
      <c r="L761" s="6" cm="1">
        <f t="array" ref="L761">_xlfn.SWITCH(Table13_2[[#This Row],[Performance Score]],"A",6,"B",5,"C",4,"D",3,"E",2,"F",1)</f>
        <v>1</v>
      </c>
      <c r="M761" s="5">
        <f t="shared" si="11"/>
        <v>65000</v>
      </c>
    </row>
    <row r="762" spans="1:13" x14ac:dyDescent="0.3">
      <c r="A762" t="s">
        <v>65</v>
      </c>
      <c r="B762" t="s">
        <v>63</v>
      </c>
      <c r="C762">
        <v>0</v>
      </c>
      <c r="D762" t="s">
        <v>34</v>
      </c>
      <c r="E762" t="s">
        <v>35</v>
      </c>
      <c r="F762" t="s">
        <v>37</v>
      </c>
      <c r="G762" s="2">
        <v>43881</v>
      </c>
      <c r="H762" t="s">
        <v>22</v>
      </c>
      <c r="I762" t="s">
        <v>32</v>
      </c>
      <c r="J762" t="s">
        <v>42</v>
      </c>
      <c r="K762" s="5" t="s">
        <v>44</v>
      </c>
      <c r="L762" s="6" cm="1">
        <f t="array" ref="L762">_xlfn.SWITCH(Table13_2[[#This Row],[Performance Score]],"A",6,"B",5,"C",4,"D",3,"E",2,"F",1)</f>
        <v>1</v>
      </c>
      <c r="M762" s="5">
        <f t="shared" si="11"/>
        <v>49144.385026737968</v>
      </c>
    </row>
    <row r="763" spans="1:13" x14ac:dyDescent="0.3">
      <c r="A763" t="s">
        <v>66</v>
      </c>
      <c r="B763" t="s">
        <v>63</v>
      </c>
      <c r="C763">
        <v>70000</v>
      </c>
      <c r="D763" t="s">
        <v>19</v>
      </c>
      <c r="E763" t="s">
        <v>30</v>
      </c>
      <c r="F763" t="s">
        <v>37</v>
      </c>
      <c r="G763" s="2" t="s">
        <v>62</v>
      </c>
      <c r="H763" t="s">
        <v>31</v>
      </c>
      <c r="I763" t="s">
        <v>16</v>
      </c>
      <c r="J763" t="s">
        <v>42</v>
      </c>
      <c r="K763" s="5" t="s">
        <v>45</v>
      </c>
      <c r="L763" s="6" cm="1">
        <f t="array" ref="L763">_xlfn.SWITCH(Table13_2[[#This Row],[Performance Score]],"A",6,"B",5,"C",4,"D",3,"E",2,"F",1)</f>
        <v>6</v>
      </c>
      <c r="M763" s="5">
        <f t="shared" si="11"/>
        <v>70000</v>
      </c>
    </row>
    <row r="764" spans="1:13" x14ac:dyDescent="0.3">
      <c r="A764" t="s">
        <v>59</v>
      </c>
      <c r="B764" t="s">
        <v>63</v>
      </c>
      <c r="C764">
        <v>50000</v>
      </c>
      <c r="D764" t="s">
        <v>19</v>
      </c>
      <c r="E764" t="s">
        <v>26</v>
      </c>
      <c r="F764" t="s">
        <v>40</v>
      </c>
      <c r="G764" s="2" t="s">
        <v>60</v>
      </c>
      <c r="H764" t="s">
        <v>38</v>
      </c>
      <c r="I764" t="s">
        <v>16</v>
      </c>
      <c r="J764" t="s">
        <v>24</v>
      </c>
      <c r="K764" s="5" t="s">
        <v>33</v>
      </c>
      <c r="L764" s="6" cm="1">
        <f t="array" ref="L764">_xlfn.SWITCH(Table13_2[[#This Row],[Performance Score]],"A",6,"B",5,"C",4,"D",3,"E",2,"F",1)</f>
        <v>5</v>
      </c>
      <c r="M764" s="5">
        <f t="shared" si="11"/>
        <v>50000</v>
      </c>
    </row>
    <row r="765" spans="1:13" x14ac:dyDescent="0.3">
      <c r="A765" t="s">
        <v>67</v>
      </c>
      <c r="B765" t="s">
        <v>51</v>
      </c>
      <c r="C765">
        <v>50000</v>
      </c>
      <c r="D765" t="s">
        <v>34</v>
      </c>
      <c r="E765" t="s">
        <v>35</v>
      </c>
      <c r="F765" t="s">
        <v>37</v>
      </c>
      <c r="G765" s="2">
        <v>43881</v>
      </c>
      <c r="H765" t="s">
        <v>31</v>
      </c>
      <c r="I765" t="s">
        <v>23</v>
      </c>
      <c r="J765" t="s">
        <v>42</v>
      </c>
      <c r="K765" s="5" t="s">
        <v>46</v>
      </c>
      <c r="L765" s="6" cm="1">
        <f t="array" ref="L765">_xlfn.SWITCH(Table13_2[[#This Row],[Performance Score]],"A",6,"B",5,"C",4,"D",3,"E",2,"F",1)</f>
        <v>6</v>
      </c>
      <c r="M765" s="5">
        <f t="shared" si="11"/>
        <v>50000</v>
      </c>
    </row>
    <row r="766" spans="1:13" x14ac:dyDescent="0.3">
      <c r="A766" t="s">
        <v>59</v>
      </c>
      <c r="B766">
        <v>25</v>
      </c>
      <c r="C766">
        <v>0</v>
      </c>
      <c r="D766" t="s">
        <v>34</v>
      </c>
      <c r="E766" t="s">
        <v>35</v>
      </c>
      <c r="F766" t="s">
        <v>41</v>
      </c>
      <c r="G766" s="2" t="s">
        <v>50</v>
      </c>
      <c r="H766" t="s">
        <v>27</v>
      </c>
      <c r="I766" t="s">
        <v>23</v>
      </c>
      <c r="J766" t="s">
        <v>28</v>
      </c>
      <c r="K766" s="5" t="s">
        <v>33</v>
      </c>
      <c r="L766" s="6" cm="1">
        <f t="array" ref="L766">_xlfn.SWITCH(Table13_2[[#This Row],[Performance Score]],"A",6,"B",5,"C",4,"D",3,"E",2,"F",1)</f>
        <v>4</v>
      </c>
      <c r="M766" s="5">
        <f t="shared" si="11"/>
        <v>49144.385026737968</v>
      </c>
    </row>
    <row r="767" spans="1:13" x14ac:dyDescent="0.3">
      <c r="A767" t="s">
        <v>67</v>
      </c>
      <c r="B767">
        <v>35</v>
      </c>
      <c r="C767">
        <v>65000</v>
      </c>
      <c r="D767" t="s">
        <v>12</v>
      </c>
      <c r="E767" t="s">
        <v>30</v>
      </c>
      <c r="F767" t="s">
        <v>41</v>
      </c>
      <c r="G767" s="2" t="s">
        <v>50</v>
      </c>
      <c r="H767" t="s">
        <v>38</v>
      </c>
      <c r="I767" t="s">
        <v>23</v>
      </c>
      <c r="J767" t="s">
        <v>42</v>
      </c>
      <c r="K767" s="5" t="s">
        <v>46</v>
      </c>
      <c r="L767" s="6" cm="1">
        <f t="array" ref="L767">_xlfn.SWITCH(Table13_2[[#This Row],[Performance Score]],"A",6,"B",5,"C",4,"D",3,"E",2,"F",1)</f>
        <v>5</v>
      </c>
      <c r="M767" s="5">
        <f t="shared" si="11"/>
        <v>65000</v>
      </c>
    </row>
    <row r="768" spans="1:13" x14ac:dyDescent="0.3">
      <c r="A768" t="s">
        <v>67</v>
      </c>
      <c r="B768">
        <v>40</v>
      </c>
      <c r="C768">
        <v>65000</v>
      </c>
      <c r="D768" t="s">
        <v>34</v>
      </c>
      <c r="E768" t="s">
        <v>26</v>
      </c>
      <c r="F768" t="s">
        <v>37</v>
      </c>
      <c r="G768" s="2">
        <v>43881</v>
      </c>
      <c r="H768" t="s">
        <v>15</v>
      </c>
      <c r="I768" t="s">
        <v>32</v>
      </c>
      <c r="J768" t="s">
        <v>24</v>
      </c>
      <c r="K768" s="5" t="s">
        <v>46</v>
      </c>
      <c r="L768" s="6" cm="1">
        <f t="array" ref="L768">_xlfn.SWITCH(Table13_2[[#This Row],[Performance Score]],"A",6,"B",5,"C",4,"D",3,"E",2,"F",1)</f>
        <v>3</v>
      </c>
      <c r="M768" s="5">
        <f t="shared" si="11"/>
        <v>65000</v>
      </c>
    </row>
    <row r="769" spans="1:13" x14ac:dyDescent="0.3">
      <c r="A769" t="s">
        <v>64</v>
      </c>
      <c r="B769">
        <v>35</v>
      </c>
      <c r="C769">
        <v>60000</v>
      </c>
      <c r="D769" t="s">
        <v>12</v>
      </c>
      <c r="E769" t="s">
        <v>35</v>
      </c>
      <c r="F769" t="s">
        <v>37</v>
      </c>
      <c r="G769" s="2" t="s">
        <v>55</v>
      </c>
      <c r="H769" t="s">
        <v>22</v>
      </c>
      <c r="I769" t="s">
        <v>39</v>
      </c>
      <c r="J769" t="s">
        <v>24</v>
      </c>
      <c r="K769" s="5" t="s">
        <v>43</v>
      </c>
      <c r="L769" s="6" cm="1">
        <f t="array" ref="L769">_xlfn.SWITCH(Table13_2[[#This Row],[Performance Score]],"A",6,"B",5,"C",4,"D",3,"E",2,"F",1)</f>
        <v>1</v>
      </c>
      <c r="M769" s="5">
        <f t="shared" si="11"/>
        <v>60000</v>
      </c>
    </row>
    <row r="770" spans="1:13" x14ac:dyDescent="0.3">
      <c r="A770" t="s">
        <v>53</v>
      </c>
      <c r="B770">
        <v>35</v>
      </c>
      <c r="C770">
        <v>0</v>
      </c>
      <c r="D770" t="s">
        <v>19</v>
      </c>
      <c r="E770" t="s">
        <v>35</v>
      </c>
      <c r="F770" t="s">
        <v>41</v>
      </c>
      <c r="G770" s="2">
        <v>43881</v>
      </c>
      <c r="H770" t="s">
        <v>27</v>
      </c>
      <c r="I770" t="s">
        <v>39</v>
      </c>
      <c r="J770" t="s">
        <v>28</v>
      </c>
      <c r="K770" s="5" t="s">
        <v>25</v>
      </c>
      <c r="L770" s="6" cm="1">
        <f t="array" ref="L770">_xlfn.SWITCH(Table13_2[[#This Row],[Performance Score]],"A",6,"B",5,"C",4,"D",3,"E",2,"F",1)</f>
        <v>4</v>
      </c>
      <c r="M770" s="5">
        <f t="shared" si="11"/>
        <v>49144.385026737968</v>
      </c>
    </row>
    <row r="771" spans="1:13" x14ac:dyDescent="0.3">
      <c r="A771" t="s">
        <v>66</v>
      </c>
      <c r="B771">
        <v>50</v>
      </c>
      <c r="C771">
        <v>0</v>
      </c>
      <c r="D771" t="s">
        <v>34</v>
      </c>
      <c r="E771" t="s">
        <v>13</v>
      </c>
      <c r="F771" t="s">
        <v>37</v>
      </c>
      <c r="G771" s="2">
        <v>43881</v>
      </c>
      <c r="H771" t="s">
        <v>38</v>
      </c>
      <c r="I771" t="s">
        <v>39</v>
      </c>
      <c r="J771" t="s">
        <v>24</v>
      </c>
      <c r="K771" s="5" t="s">
        <v>45</v>
      </c>
      <c r="L771" s="6" cm="1">
        <f t="array" ref="L771">_xlfn.SWITCH(Table13_2[[#This Row],[Performance Score]],"A",6,"B",5,"C",4,"D",3,"E",2,"F",1)</f>
        <v>5</v>
      </c>
      <c r="M771" s="5">
        <f t="shared" ref="M771:M834" si="12">IF(C771=0,AVERAGEIF($E$2:$E$1001,E771,$C$2:$C$1001),C771)</f>
        <v>51825</v>
      </c>
    </row>
    <row r="772" spans="1:13" x14ac:dyDescent="0.3">
      <c r="A772" t="s">
        <v>59</v>
      </c>
      <c r="B772">
        <v>25</v>
      </c>
      <c r="C772">
        <v>65000</v>
      </c>
      <c r="D772" t="s">
        <v>12</v>
      </c>
      <c r="E772" t="s">
        <v>35</v>
      </c>
      <c r="F772" t="s">
        <v>37</v>
      </c>
      <c r="G772" s="2" t="s">
        <v>55</v>
      </c>
      <c r="H772" t="s">
        <v>31</v>
      </c>
      <c r="I772" t="s">
        <v>32</v>
      </c>
      <c r="J772" t="s">
        <v>17</v>
      </c>
      <c r="K772" s="5" t="s">
        <v>33</v>
      </c>
      <c r="L772" s="6" cm="1">
        <f t="array" ref="L772">_xlfn.SWITCH(Table13_2[[#This Row],[Performance Score]],"A",6,"B",5,"C",4,"D",3,"E",2,"F",1)</f>
        <v>6</v>
      </c>
      <c r="M772" s="5">
        <f t="shared" si="12"/>
        <v>65000</v>
      </c>
    </row>
    <row r="773" spans="1:13" x14ac:dyDescent="0.3">
      <c r="A773" t="s">
        <v>52</v>
      </c>
      <c r="B773">
        <v>50</v>
      </c>
      <c r="C773">
        <v>60000</v>
      </c>
      <c r="D773" t="s">
        <v>12</v>
      </c>
      <c r="E773" t="s">
        <v>13</v>
      </c>
      <c r="F773" t="s">
        <v>40</v>
      </c>
      <c r="G773" s="2" t="s">
        <v>55</v>
      </c>
      <c r="H773" t="s">
        <v>22</v>
      </c>
      <c r="I773" t="s">
        <v>32</v>
      </c>
      <c r="J773" t="s">
        <v>17</v>
      </c>
      <c r="K773" s="5" t="s">
        <v>18</v>
      </c>
      <c r="L773" s="6" cm="1">
        <f t="array" ref="L773">_xlfn.SWITCH(Table13_2[[#This Row],[Performance Score]],"A",6,"B",5,"C",4,"D",3,"E",2,"F",1)</f>
        <v>1</v>
      </c>
      <c r="M773" s="5">
        <f t="shared" si="12"/>
        <v>60000</v>
      </c>
    </row>
    <row r="774" spans="1:13" x14ac:dyDescent="0.3">
      <c r="A774" t="s">
        <v>66</v>
      </c>
      <c r="B774">
        <v>25</v>
      </c>
      <c r="C774">
        <v>50000</v>
      </c>
      <c r="D774" t="s">
        <v>19</v>
      </c>
      <c r="E774" t="s">
        <v>26</v>
      </c>
      <c r="F774" t="s">
        <v>14</v>
      </c>
      <c r="G774" s="2" t="s">
        <v>60</v>
      </c>
      <c r="H774" t="s">
        <v>31</v>
      </c>
      <c r="I774" t="s">
        <v>23</v>
      </c>
      <c r="J774" t="s">
        <v>42</v>
      </c>
      <c r="K774" s="5" t="s">
        <v>45</v>
      </c>
      <c r="L774" s="6" cm="1">
        <f t="array" ref="L774">_xlfn.SWITCH(Table13_2[[#This Row],[Performance Score]],"A",6,"B",5,"C",4,"D",3,"E",2,"F",1)</f>
        <v>6</v>
      </c>
      <c r="M774" s="5">
        <f t="shared" si="12"/>
        <v>50000</v>
      </c>
    </row>
    <row r="775" spans="1:13" x14ac:dyDescent="0.3">
      <c r="A775" t="s">
        <v>53</v>
      </c>
      <c r="B775">
        <v>25</v>
      </c>
      <c r="C775">
        <v>55000</v>
      </c>
      <c r="D775" t="s">
        <v>34</v>
      </c>
      <c r="E775" t="s">
        <v>26</v>
      </c>
      <c r="F775" t="s">
        <v>41</v>
      </c>
      <c r="G775" s="2" t="s">
        <v>60</v>
      </c>
      <c r="H775" t="s">
        <v>38</v>
      </c>
      <c r="I775" t="s">
        <v>16</v>
      </c>
      <c r="J775" t="s">
        <v>17</v>
      </c>
      <c r="K775" s="5" t="s">
        <v>25</v>
      </c>
      <c r="L775" s="6" cm="1">
        <f t="array" ref="L775">_xlfn.SWITCH(Table13_2[[#This Row],[Performance Score]],"A",6,"B",5,"C",4,"D",3,"E",2,"F",1)</f>
        <v>5</v>
      </c>
      <c r="M775" s="5">
        <f t="shared" si="12"/>
        <v>55000</v>
      </c>
    </row>
    <row r="776" spans="1:13" x14ac:dyDescent="0.3">
      <c r="A776" t="s">
        <v>66</v>
      </c>
      <c r="B776" t="s">
        <v>63</v>
      </c>
      <c r="C776">
        <v>70000</v>
      </c>
      <c r="D776" t="s">
        <v>19</v>
      </c>
      <c r="E776" t="s">
        <v>26</v>
      </c>
      <c r="F776" t="s">
        <v>40</v>
      </c>
      <c r="G776" s="2" t="s">
        <v>55</v>
      </c>
      <c r="H776" t="s">
        <v>38</v>
      </c>
      <c r="I776" t="s">
        <v>39</v>
      </c>
      <c r="J776" t="s">
        <v>42</v>
      </c>
      <c r="K776" s="5" t="s">
        <v>45</v>
      </c>
      <c r="L776" s="6" cm="1">
        <f t="array" ref="L776">_xlfn.SWITCH(Table13_2[[#This Row],[Performance Score]],"A",6,"B",5,"C",4,"D",3,"E",2,"F",1)</f>
        <v>5</v>
      </c>
      <c r="M776" s="5">
        <f t="shared" si="12"/>
        <v>70000</v>
      </c>
    </row>
    <row r="777" spans="1:13" x14ac:dyDescent="0.3">
      <c r="A777" t="s">
        <v>61</v>
      </c>
      <c r="B777" t="s">
        <v>51</v>
      </c>
      <c r="C777">
        <v>50000</v>
      </c>
      <c r="D777" t="s">
        <v>12</v>
      </c>
      <c r="E777" t="s">
        <v>20</v>
      </c>
      <c r="F777" t="s">
        <v>14</v>
      </c>
      <c r="G777" s="2" t="s">
        <v>50</v>
      </c>
      <c r="H777" t="s">
        <v>27</v>
      </c>
      <c r="I777" t="s">
        <v>39</v>
      </c>
      <c r="J777" t="s">
        <v>17</v>
      </c>
      <c r="K777" s="5" t="s">
        <v>36</v>
      </c>
      <c r="L777" s="6" cm="1">
        <f t="array" ref="L777">_xlfn.SWITCH(Table13_2[[#This Row],[Performance Score]],"A",6,"B",5,"C",4,"D",3,"E",2,"F",1)</f>
        <v>4</v>
      </c>
      <c r="M777" s="5">
        <f t="shared" si="12"/>
        <v>50000</v>
      </c>
    </row>
    <row r="778" spans="1:13" x14ac:dyDescent="0.3">
      <c r="A778" t="s">
        <v>52</v>
      </c>
      <c r="B778" t="s">
        <v>63</v>
      </c>
      <c r="C778">
        <v>65000</v>
      </c>
      <c r="D778" t="s">
        <v>12</v>
      </c>
      <c r="E778" t="s">
        <v>26</v>
      </c>
      <c r="F778" t="s">
        <v>37</v>
      </c>
      <c r="G778" s="2" t="s">
        <v>50</v>
      </c>
      <c r="H778" t="s">
        <v>15</v>
      </c>
      <c r="I778" t="s">
        <v>16</v>
      </c>
      <c r="J778" t="s">
        <v>42</v>
      </c>
      <c r="K778" s="5" t="s">
        <v>18</v>
      </c>
      <c r="L778" s="6" cm="1">
        <f t="array" ref="L778">_xlfn.SWITCH(Table13_2[[#This Row],[Performance Score]],"A",6,"B",5,"C",4,"D",3,"E",2,"F",1)</f>
        <v>3</v>
      </c>
      <c r="M778" s="5">
        <f t="shared" si="12"/>
        <v>65000</v>
      </c>
    </row>
    <row r="779" spans="1:13" x14ac:dyDescent="0.3">
      <c r="A779" t="s">
        <v>53</v>
      </c>
      <c r="B779" t="s">
        <v>51</v>
      </c>
      <c r="C779">
        <v>70000</v>
      </c>
      <c r="D779" t="s">
        <v>34</v>
      </c>
      <c r="E779" t="s">
        <v>35</v>
      </c>
      <c r="F779" t="s">
        <v>37</v>
      </c>
      <c r="G779" s="2">
        <v>43881</v>
      </c>
      <c r="H779" t="s">
        <v>31</v>
      </c>
      <c r="I779" t="s">
        <v>23</v>
      </c>
      <c r="J779" t="s">
        <v>28</v>
      </c>
      <c r="K779" s="5" t="s">
        <v>25</v>
      </c>
      <c r="L779" s="6" cm="1">
        <f t="array" ref="L779">_xlfn.SWITCH(Table13_2[[#This Row],[Performance Score]],"A",6,"B",5,"C",4,"D",3,"E",2,"F",1)</f>
        <v>6</v>
      </c>
      <c r="M779" s="5">
        <f t="shared" si="12"/>
        <v>70000</v>
      </c>
    </row>
    <row r="780" spans="1:13" x14ac:dyDescent="0.3">
      <c r="A780" t="s">
        <v>64</v>
      </c>
      <c r="B780">
        <v>50</v>
      </c>
      <c r="C780">
        <v>55000</v>
      </c>
      <c r="D780" t="s">
        <v>12</v>
      </c>
      <c r="E780" t="s">
        <v>30</v>
      </c>
      <c r="F780" t="s">
        <v>40</v>
      </c>
      <c r="G780" s="2" t="s">
        <v>62</v>
      </c>
      <c r="H780" t="s">
        <v>27</v>
      </c>
      <c r="I780" t="s">
        <v>16</v>
      </c>
      <c r="J780" t="s">
        <v>24</v>
      </c>
      <c r="K780" s="5" t="s">
        <v>43</v>
      </c>
      <c r="L780" s="6" cm="1">
        <f t="array" ref="L780">_xlfn.SWITCH(Table13_2[[#This Row],[Performance Score]],"A",6,"B",5,"C",4,"D",3,"E",2,"F",1)</f>
        <v>4</v>
      </c>
      <c r="M780" s="5">
        <f t="shared" si="12"/>
        <v>55000</v>
      </c>
    </row>
    <row r="781" spans="1:13" x14ac:dyDescent="0.3">
      <c r="A781" t="s">
        <v>59</v>
      </c>
      <c r="B781" t="s">
        <v>51</v>
      </c>
      <c r="C781">
        <v>55000</v>
      </c>
      <c r="D781" t="s">
        <v>34</v>
      </c>
      <c r="E781" t="s">
        <v>13</v>
      </c>
      <c r="F781" t="s">
        <v>37</v>
      </c>
      <c r="G781" s="2">
        <v>43881</v>
      </c>
      <c r="H781" t="s">
        <v>22</v>
      </c>
      <c r="I781" t="s">
        <v>16</v>
      </c>
      <c r="J781" t="s">
        <v>24</v>
      </c>
      <c r="K781" s="5" t="s">
        <v>33</v>
      </c>
      <c r="L781" s="6" cm="1">
        <f t="array" ref="L781">_xlfn.SWITCH(Table13_2[[#This Row],[Performance Score]],"A",6,"B",5,"C",4,"D",3,"E",2,"F",1)</f>
        <v>1</v>
      </c>
      <c r="M781" s="5">
        <f t="shared" si="12"/>
        <v>55000</v>
      </c>
    </row>
    <row r="782" spans="1:13" x14ac:dyDescent="0.3">
      <c r="A782" t="s">
        <v>49</v>
      </c>
      <c r="B782">
        <v>50</v>
      </c>
      <c r="C782">
        <v>60000</v>
      </c>
      <c r="D782" t="s">
        <v>19</v>
      </c>
      <c r="E782" t="s">
        <v>20</v>
      </c>
      <c r="F782" t="s">
        <v>21</v>
      </c>
      <c r="G782" s="2">
        <v>43881</v>
      </c>
      <c r="H782" t="s">
        <v>15</v>
      </c>
      <c r="I782" t="s">
        <v>39</v>
      </c>
      <c r="J782" t="s">
        <v>28</v>
      </c>
      <c r="K782" s="5" t="s">
        <v>11</v>
      </c>
      <c r="L782" s="6" cm="1">
        <f t="array" ref="L782">_xlfn.SWITCH(Table13_2[[#This Row],[Performance Score]],"A",6,"B",5,"C",4,"D",3,"E",2,"F",1)</f>
        <v>3</v>
      </c>
      <c r="M782" s="5">
        <f t="shared" si="12"/>
        <v>60000</v>
      </c>
    </row>
    <row r="783" spans="1:13" x14ac:dyDescent="0.3">
      <c r="A783" t="s">
        <v>53</v>
      </c>
      <c r="B783">
        <v>35</v>
      </c>
      <c r="C783">
        <v>70000</v>
      </c>
      <c r="D783" t="s">
        <v>34</v>
      </c>
      <c r="E783" t="s">
        <v>26</v>
      </c>
      <c r="F783" t="s">
        <v>40</v>
      </c>
      <c r="G783" s="2" t="s">
        <v>62</v>
      </c>
      <c r="H783" t="s">
        <v>27</v>
      </c>
      <c r="I783" t="s">
        <v>23</v>
      </c>
      <c r="J783" t="s">
        <v>17</v>
      </c>
      <c r="K783" s="5" t="s">
        <v>25</v>
      </c>
      <c r="L783" s="6" cm="1">
        <f t="array" ref="L783">_xlfn.SWITCH(Table13_2[[#This Row],[Performance Score]],"A",6,"B",5,"C",4,"D",3,"E",2,"F",1)</f>
        <v>4</v>
      </c>
      <c r="M783" s="5">
        <f t="shared" si="12"/>
        <v>70000</v>
      </c>
    </row>
    <row r="784" spans="1:13" x14ac:dyDescent="0.3">
      <c r="A784" t="s">
        <v>65</v>
      </c>
      <c r="B784">
        <v>35</v>
      </c>
      <c r="C784">
        <v>60000</v>
      </c>
      <c r="D784" t="s">
        <v>34</v>
      </c>
      <c r="E784" t="s">
        <v>26</v>
      </c>
      <c r="F784" t="s">
        <v>14</v>
      </c>
      <c r="G784" s="2" t="s">
        <v>55</v>
      </c>
      <c r="H784" t="s">
        <v>31</v>
      </c>
      <c r="I784" t="s">
        <v>32</v>
      </c>
      <c r="J784" t="s">
        <v>17</v>
      </c>
      <c r="K784" s="5" t="s">
        <v>44</v>
      </c>
      <c r="L784" s="6" cm="1">
        <f t="array" ref="L784">_xlfn.SWITCH(Table13_2[[#This Row],[Performance Score]],"A",6,"B",5,"C",4,"D",3,"E",2,"F",1)</f>
        <v>6</v>
      </c>
      <c r="M784" s="5">
        <f t="shared" si="12"/>
        <v>60000</v>
      </c>
    </row>
    <row r="785" spans="1:13" x14ac:dyDescent="0.3">
      <c r="A785" t="s">
        <v>59</v>
      </c>
      <c r="B785" t="s">
        <v>51</v>
      </c>
      <c r="C785">
        <v>50000</v>
      </c>
      <c r="D785" t="s">
        <v>12</v>
      </c>
      <c r="E785" t="s">
        <v>30</v>
      </c>
      <c r="F785" t="s">
        <v>40</v>
      </c>
      <c r="G785" s="2" t="s">
        <v>50</v>
      </c>
      <c r="H785" t="s">
        <v>38</v>
      </c>
      <c r="I785" t="s">
        <v>39</v>
      </c>
      <c r="J785" t="s">
        <v>17</v>
      </c>
      <c r="K785" s="5" t="s">
        <v>33</v>
      </c>
      <c r="L785" s="6" cm="1">
        <f t="array" ref="L785">_xlfn.SWITCH(Table13_2[[#This Row],[Performance Score]],"A",6,"B",5,"C",4,"D",3,"E",2,"F",1)</f>
        <v>5</v>
      </c>
      <c r="M785" s="5">
        <f t="shared" si="12"/>
        <v>50000</v>
      </c>
    </row>
    <row r="786" spans="1:13" x14ac:dyDescent="0.3">
      <c r="A786" t="s">
        <v>53</v>
      </c>
      <c r="B786" t="s">
        <v>51</v>
      </c>
      <c r="C786">
        <v>0</v>
      </c>
      <c r="D786" t="s">
        <v>12</v>
      </c>
      <c r="E786" t="s">
        <v>30</v>
      </c>
      <c r="F786" t="s">
        <v>41</v>
      </c>
      <c r="G786" s="2">
        <v>43881</v>
      </c>
      <c r="H786" t="s">
        <v>22</v>
      </c>
      <c r="I786" t="s">
        <v>32</v>
      </c>
      <c r="J786" t="s">
        <v>24</v>
      </c>
      <c r="K786" s="5" t="s">
        <v>25</v>
      </c>
      <c r="L786" s="6" cm="1">
        <f t="array" ref="L786">_xlfn.SWITCH(Table13_2[[#This Row],[Performance Score]],"A",6,"B",5,"C",4,"D",3,"E",2,"F",1)</f>
        <v>1</v>
      </c>
      <c r="M786" s="5">
        <f t="shared" si="12"/>
        <v>50777.202072538857</v>
      </c>
    </row>
    <row r="787" spans="1:13" x14ac:dyDescent="0.3">
      <c r="A787" t="s">
        <v>61</v>
      </c>
      <c r="B787">
        <v>50</v>
      </c>
      <c r="C787">
        <v>0</v>
      </c>
      <c r="D787" t="s">
        <v>34</v>
      </c>
      <c r="E787" t="s">
        <v>20</v>
      </c>
      <c r="F787" t="s">
        <v>40</v>
      </c>
      <c r="G787" s="2" t="s">
        <v>62</v>
      </c>
      <c r="H787" t="s">
        <v>31</v>
      </c>
      <c r="I787" t="s">
        <v>23</v>
      </c>
      <c r="J787" t="s">
        <v>17</v>
      </c>
      <c r="K787" s="5" t="s">
        <v>36</v>
      </c>
      <c r="L787" s="6" cm="1">
        <f t="array" ref="L787">_xlfn.SWITCH(Table13_2[[#This Row],[Performance Score]],"A",6,"B",5,"C",4,"D",3,"E",2,"F",1)</f>
        <v>6</v>
      </c>
      <c r="M787" s="5">
        <f t="shared" si="12"/>
        <v>48417.431192660551</v>
      </c>
    </row>
    <row r="788" spans="1:13" x14ac:dyDescent="0.3">
      <c r="A788" t="s">
        <v>49</v>
      </c>
      <c r="B788" t="s">
        <v>63</v>
      </c>
      <c r="C788">
        <v>0</v>
      </c>
      <c r="D788" t="s">
        <v>12</v>
      </c>
      <c r="E788" t="s">
        <v>13</v>
      </c>
      <c r="F788" t="s">
        <v>37</v>
      </c>
      <c r="G788" s="2" t="s">
        <v>60</v>
      </c>
      <c r="H788" t="s">
        <v>15</v>
      </c>
      <c r="I788" t="s">
        <v>16</v>
      </c>
      <c r="J788" t="s">
        <v>42</v>
      </c>
      <c r="K788" s="5" t="s">
        <v>11</v>
      </c>
      <c r="L788" s="6" cm="1">
        <f t="array" ref="L788">_xlfn.SWITCH(Table13_2[[#This Row],[Performance Score]],"A",6,"B",5,"C",4,"D",3,"E",2,"F",1)</f>
        <v>3</v>
      </c>
      <c r="M788" s="5">
        <f t="shared" si="12"/>
        <v>51825</v>
      </c>
    </row>
    <row r="789" spans="1:13" x14ac:dyDescent="0.3">
      <c r="A789" t="s">
        <v>61</v>
      </c>
      <c r="B789">
        <v>50</v>
      </c>
      <c r="C789">
        <v>70000</v>
      </c>
      <c r="D789" t="s">
        <v>12</v>
      </c>
      <c r="E789" t="s">
        <v>26</v>
      </c>
      <c r="F789" t="s">
        <v>37</v>
      </c>
      <c r="G789" s="2">
        <v>43881</v>
      </c>
      <c r="H789" t="s">
        <v>15</v>
      </c>
      <c r="I789" t="s">
        <v>39</v>
      </c>
      <c r="J789" t="s">
        <v>17</v>
      </c>
      <c r="K789" s="5" t="s">
        <v>36</v>
      </c>
      <c r="L789" s="6" cm="1">
        <f t="array" ref="L789">_xlfn.SWITCH(Table13_2[[#This Row],[Performance Score]],"A",6,"B",5,"C",4,"D",3,"E",2,"F",1)</f>
        <v>3</v>
      </c>
      <c r="M789" s="5">
        <f t="shared" si="12"/>
        <v>70000</v>
      </c>
    </row>
    <row r="790" spans="1:13" x14ac:dyDescent="0.3">
      <c r="A790" t="s">
        <v>49</v>
      </c>
      <c r="B790" t="s">
        <v>63</v>
      </c>
      <c r="C790">
        <v>0</v>
      </c>
      <c r="D790" t="s">
        <v>12</v>
      </c>
      <c r="E790" t="s">
        <v>20</v>
      </c>
      <c r="F790" t="s">
        <v>21</v>
      </c>
      <c r="G790" s="2" t="s">
        <v>50</v>
      </c>
      <c r="H790" t="s">
        <v>38</v>
      </c>
      <c r="I790" t="s">
        <v>39</v>
      </c>
      <c r="J790" t="s">
        <v>17</v>
      </c>
      <c r="K790" s="5" t="s">
        <v>11</v>
      </c>
      <c r="L790" s="6" cm="1">
        <f t="array" ref="L790">_xlfn.SWITCH(Table13_2[[#This Row],[Performance Score]],"A",6,"B",5,"C",4,"D",3,"E",2,"F",1)</f>
        <v>5</v>
      </c>
      <c r="M790" s="5">
        <f t="shared" si="12"/>
        <v>48417.431192660551</v>
      </c>
    </row>
    <row r="791" spans="1:13" x14ac:dyDescent="0.3">
      <c r="A791" t="s">
        <v>65</v>
      </c>
      <c r="B791">
        <v>35</v>
      </c>
      <c r="C791">
        <v>50000</v>
      </c>
      <c r="D791" t="s">
        <v>34</v>
      </c>
      <c r="E791" t="s">
        <v>35</v>
      </c>
      <c r="F791" t="s">
        <v>21</v>
      </c>
      <c r="G791" s="2" t="s">
        <v>55</v>
      </c>
      <c r="H791" t="s">
        <v>38</v>
      </c>
      <c r="I791" t="s">
        <v>23</v>
      </c>
      <c r="J791" t="s">
        <v>28</v>
      </c>
      <c r="K791" s="5" t="s">
        <v>44</v>
      </c>
      <c r="L791" s="6" cm="1">
        <f t="array" ref="L791">_xlfn.SWITCH(Table13_2[[#This Row],[Performance Score]],"A",6,"B",5,"C",4,"D",3,"E",2,"F",1)</f>
        <v>5</v>
      </c>
      <c r="M791" s="5">
        <f t="shared" si="12"/>
        <v>50000</v>
      </c>
    </row>
    <row r="792" spans="1:13" x14ac:dyDescent="0.3">
      <c r="A792" t="s">
        <v>59</v>
      </c>
      <c r="B792">
        <v>25</v>
      </c>
      <c r="C792">
        <v>60000</v>
      </c>
      <c r="D792" t="s">
        <v>12</v>
      </c>
      <c r="E792" t="s">
        <v>35</v>
      </c>
      <c r="F792" t="s">
        <v>21</v>
      </c>
      <c r="G792" s="2">
        <v>43881</v>
      </c>
      <c r="H792" t="s">
        <v>22</v>
      </c>
      <c r="I792" t="s">
        <v>39</v>
      </c>
      <c r="J792" t="s">
        <v>42</v>
      </c>
      <c r="K792" s="5" t="s">
        <v>33</v>
      </c>
      <c r="L792" s="6" cm="1">
        <f t="array" ref="L792">_xlfn.SWITCH(Table13_2[[#This Row],[Performance Score]],"A",6,"B",5,"C",4,"D",3,"E",2,"F",1)</f>
        <v>1</v>
      </c>
      <c r="M792" s="5">
        <f t="shared" si="12"/>
        <v>60000</v>
      </c>
    </row>
    <row r="793" spans="1:13" x14ac:dyDescent="0.3">
      <c r="A793" t="s">
        <v>64</v>
      </c>
      <c r="B793" t="s">
        <v>51</v>
      </c>
      <c r="C793">
        <v>70000</v>
      </c>
      <c r="D793" t="s">
        <v>34</v>
      </c>
      <c r="E793" t="s">
        <v>20</v>
      </c>
      <c r="F793" t="s">
        <v>14</v>
      </c>
      <c r="G793" s="2">
        <v>43881</v>
      </c>
      <c r="H793" t="s">
        <v>22</v>
      </c>
      <c r="I793" t="s">
        <v>32</v>
      </c>
      <c r="J793" t="s">
        <v>17</v>
      </c>
      <c r="K793" s="5" t="s">
        <v>43</v>
      </c>
      <c r="L793" s="6" cm="1">
        <f t="array" ref="L793">_xlfn.SWITCH(Table13_2[[#This Row],[Performance Score]],"A",6,"B",5,"C",4,"D",3,"E",2,"F",1)</f>
        <v>1</v>
      </c>
      <c r="M793" s="5">
        <f t="shared" si="12"/>
        <v>70000</v>
      </c>
    </row>
    <row r="794" spans="1:13" x14ac:dyDescent="0.3">
      <c r="A794" t="s">
        <v>61</v>
      </c>
      <c r="B794" t="s">
        <v>63</v>
      </c>
      <c r="C794">
        <v>60000</v>
      </c>
      <c r="D794" t="s">
        <v>12</v>
      </c>
      <c r="E794" t="s">
        <v>26</v>
      </c>
      <c r="F794" t="s">
        <v>21</v>
      </c>
      <c r="G794" s="2" t="s">
        <v>62</v>
      </c>
      <c r="H794" t="s">
        <v>38</v>
      </c>
      <c r="I794" t="s">
        <v>39</v>
      </c>
      <c r="J794" t="s">
        <v>42</v>
      </c>
      <c r="K794" s="5" t="s">
        <v>36</v>
      </c>
      <c r="L794" s="6" cm="1">
        <f t="array" ref="L794">_xlfn.SWITCH(Table13_2[[#This Row],[Performance Score]],"A",6,"B",5,"C",4,"D",3,"E",2,"F",1)</f>
        <v>5</v>
      </c>
      <c r="M794" s="5">
        <f t="shared" si="12"/>
        <v>60000</v>
      </c>
    </row>
    <row r="795" spans="1:13" x14ac:dyDescent="0.3">
      <c r="A795" t="s">
        <v>61</v>
      </c>
      <c r="B795">
        <v>50</v>
      </c>
      <c r="C795">
        <v>70000</v>
      </c>
      <c r="D795" t="s">
        <v>19</v>
      </c>
      <c r="E795" t="s">
        <v>20</v>
      </c>
      <c r="F795" t="s">
        <v>14</v>
      </c>
      <c r="G795" s="2" t="s">
        <v>60</v>
      </c>
      <c r="H795" t="s">
        <v>38</v>
      </c>
      <c r="I795" t="s">
        <v>23</v>
      </c>
      <c r="J795" t="s">
        <v>17</v>
      </c>
      <c r="K795" s="5" t="s">
        <v>36</v>
      </c>
      <c r="L795" s="6" cm="1">
        <f t="array" ref="L795">_xlfn.SWITCH(Table13_2[[#This Row],[Performance Score]],"A",6,"B",5,"C",4,"D",3,"E",2,"F",1)</f>
        <v>5</v>
      </c>
      <c r="M795" s="5">
        <f t="shared" si="12"/>
        <v>70000</v>
      </c>
    </row>
    <row r="796" spans="1:13" x14ac:dyDescent="0.3">
      <c r="A796" t="s">
        <v>67</v>
      </c>
      <c r="B796">
        <v>35</v>
      </c>
      <c r="C796">
        <v>60000</v>
      </c>
      <c r="D796" t="s">
        <v>12</v>
      </c>
      <c r="E796" t="s">
        <v>26</v>
      </c>
      <c r="F796" t="s">
        <v>21</v>
      </c>
      <c r="G796" s="2" t="s">
        <v>60</v>
      </c>
      <c r="H796" t="s">
        <v>15</v>
      </c>
      <c r="I796" t="s">
        <v>23</v>
      </c>
      <c r="J796" t="s">
        <v>24</v>
      </c>
      <c r="K796" s="5" t="s">
        <v>46</v>
      </c>
      <c r="L796" s="6" cm="1">
        <f t="array" ref="L796">_xlfn.SWITCH(Table13_2[[#This Row],[Performance Score]],"A",6,"B",5,"C",4,"D",3,"E",2,"F",1)</f>
        <v>3</v>
      </c>
      <c r="M796" s="5">
        <f t="shared" si="12"/>
        <v>60000</v>
      </c>
    </row>
    <row r="797" spans="1:13" x14ac:dyDescent="0.3">
      <c r="A797" t="s">
        <v>49</v>
      </c>
      <c r="B797" t="s">
        <v>63</v>
      </c>
      <c r="C797">
        <v>55000</v>
      </c>
      <c r="D797" t="s">
        <v>12</v>
      </c>
      <c r="E797" t="s">
        <v>30</v>
      </c>
      <c r="F797" t="s">
        <v>14</v>
      </c>
      <c r="G797" s="2" t="s">
        <v>55</v>
      </c>
      <c r="H797" t="s">
        <v>38</v>
      </c>
      <c r="I797" t="s">
        <v>32</v>
      </c>
      <c r="J797" t="s">
        <v>17</v>
      </c>
      <c r="K797" s="5" t="s">
        <v>11</v>
      </c>
      <c r="L797" s="6" cm="1">
        <f t="array" ref="L797">_xlfn.SWITCH(Table13_2[[#This Row],[Performance Score]],"A",6,"B",5,"C",4,"D",3,"E",2,"F",1)</f>
        <v>5</v>
      </c>
      <c r="M797" s="5">
        <f t="shared" si="12"/>
        <v>55000</v>
      </c>
    </row>
    <row r="798" spans="1:13" x14ac:dyDescent="0.3">
      <c r="A798" t="s">
        <v>56</v>
      </c>
      <c r="B798">
        <v>50</v>
      </c>
      <c r="C798">
        <v>60000</v>
      </c>
      <c r="D798" t="s">
        <v>34</v>
      </c>
      <c r="E798" t="s">
        <v>20</v>
      </c>
      <c r="F798" t="s">
        <v>40</v>
      </c>
      <c r="G798" s="2" t="s">
        <v>50</v>
      </c>
      <c r="H798" t="s">
        <v>27</v>
      </c>
      <c r="I798" t="s">
        <v>39</v>
      </c>
      <c r="J798" t="s">
        <v>28</v>
      </c>
      <c r="K798" s="5" t="s">
        <v>29</v>
      </c>
      <c r="L798" s="6" cm="1">
        <f t="array" ref="L798">_xlfn.SWITCH(Table13_2[[#This Row],[Performance Score]],"A",6,"B",5,"C",4,"D",3,"E",2,"F",1)</f>
        <v>4</v>
      </c>
      <c r="M798" s="5">
        <f t="shared" si="12"/>
        <v>60000</v>
      </c>
    </row>
    <row r="799" spans="1:13" x14ac:dyDescent="0.3">
      <c r="A799" t="s">
        <v>59</v>
      </c>
      <c r="B799" t="s">
        <v>51</v>
      </c>
      <c r="C799">
        <v>0</v>
      </c>
      <c r="D799" t="s">
        <v>34</v>
      </c>
      <c r="E799" t="s">
        <v>26</v>
      </c>
      <c r="F799" t="s">
        <v>40</v>
      </c>
      <c r="G799" s="2" t="s">
        <v>55</v>
      </c>
      <c r="H799" t="s">
        <v>31</v>
      </c>
      <c r="I799" t="s">
        <v>39</v>
      </c>
      <c r="J799" t="s">
        <v>17</v>
      </c>
      <c r="K799" s="5" t="s">
        <v>33</v>
      </c>
      <c r="L799" s="6" cm="1">
        <f t="array" ref="L799">_xlfn.SWITCH(Table13_2[[#This Row],[Performance Score]],"A",6,"B",5,"C",4,"D",3,"E",2,"F",1)</f>
        <v>6</v>
      </c>
      <c r="M799" s="5">
        <f t="shared" si="12"/>
        <v>50742.574257425746</v>
      </c>
    </row>
    <row r="800" spans="1:13" x14ac:dyDescent="0.3">
      <c r="A800" t="s">
        <v>49</v>
      </c>
      <c r="B800" t="s">
        <v>51</v>
      </c>
      <c r="C800">
        <v>55000</v>
      </c>
      <c r="D800" t="s">
        <v>12</v>
      </c>
      <c r="E800" t="s">
        <v>20</v>
      </c>
      <c r="F800" t="s">
        <v>37</v>
      </c>
      <c r="G800" s="2">
        <v>43881</v>
      </c>
      <c r="H800" t="s">
        <v>38</v>
      </c>
      <c r="I800" t="s">
        <v>16</v>
      </c>
      <c r="J800" t="s">
        <v>17</v>
      </c>
      <c r="K800" s="5" t="s">
        <v>11</v>
      </c>
      <c r="L800" s="6" cm="1">
        <f t="array" ref="L800">_xlfn.SWITCH(Table13_2[[#This Row],[Performance Score]],"A",6,"B",5,"C",4,"D",3,"E",2,"F",1)</f>
        <v>5</v>
      </c>
      <c r="M800" s="5">
        <f t="shared" si="12"/>
        <v>55000</v>
      </c>
    </row>
    <row r="801" spans="1:13" x14ac:dyDescent="0.3">
      <c r="A801" t="s">
        <v>67</v>
      </c>
      <c r="B801">
        <v>40</v>
      </c>
      <c r="C801">
        <v>60000</v>
      </c>
      <c r="D801" t="s">
        <v>19</v>
      </c>
      <c r="E801" t="s">
        <v>20</v>
      </c>
      <c r="F801" t="s">
        <v>14</v>
      </c>
      <c r="G801" s="2">
        <v>43881</v>
      </c>
      <c r="H801" t="s">
        <v>22</v>
      </c>
      <c r="I801" t="s">
        <v>39</v>
      </c>
      <c r="J801" t="s">
        <v>28</v>
      </c>
      <c r="K801" s="5" t="s">
        <v>46</v>
      </c>
      <c r="L801" s="6" cm="1">
        <f t="array" ref="L801">_xlfn.SWITCH(Table13_2[[#This Row],[Performance Score]],"A",6,"B",5,"C",4,"D",3,"E",2,"F",1)</f>
        <v>1</v>
      </c>
      <c r="M801" s="5">
        <f t="shared" si="12"/>
        <v>60000</v>
      </c>
    </row>
    <row r="802" spans="1:13" x14ac:dyDescent="0.3">
      <c r="A802" t="s">
        <v>66</v>
      </c>
      <c r="B802">
        <v>25</v>
      </c>
      <c r="C802">
        <v>70000</v>
      </c>
      <c r="D802" t="s">
        <v>12</v>
      </c>
      <c r="E802" t="s">
        <v>26</v>
      </c>
      <c r="F802" t="s">
        <v>41</v>
      </c>
      <c r="G802" s="2" t="s">
        <v>60</v>
      </c>
      <c r="H802" t="s">
        <v>27</v>
      </c>
      <c r="I802" t="s">
        <v>23</v>
      </c>
      <c r="J802" t="s">
        <v>17</v>
      </c>
      <c r="K802" s="5" t="s">
        <v>45</v>
      </c>
      <c r="L802" s="6" cm="1">
        <f t="array" ref="L802">_xlfn.SWITCH(Table13_2[[#This Row],[Performance Score]],"A",6,"B",5,"C",4,"D",3,"E",2,"F",1)</f>
        <v>4</v>
      </c>
      <c r="M802" s="5">
        <f t="shared" si="12"/>
        <v>70000</v>
      </c>
    </row>
    <row r="803" spans="1:13" x14ac:dyDescent="0.3">
      <c r="A803" t="s">
        <v>49</v>
      </c>
      <c r="B803">
        <v>40</v>
      </c>
      <c r="C803">
        <v>70000</v>
      </c>
      <c r="D803" t="s">
        <v>12</v>
      </c>
      <c r="E803" t="s">
        <v>26</v>
      </c>
      <c r="F803" t="s">
        <v>37</v>
      </c>
      <c r="G803" s="2" t="s">
        <v>50</v>
      </c>
      <c r="H803" t="s">
        <v>22</v>
      </c>
      <c r="I803" t="s">
        <v>16</v>
      </c>
      <c r="J803" t="s">
        <v>17</v>
      </c>
      <c r="K803" s="5" t="s">
        <v>11</v>
      </c>
      <c r="L803" s="6" cm="1">
        <f t="array" ref="L803">_xlfn.SWITCH(Table13_2[[#This Row],[Performance Score]],"A",6,"B",5,"C",4,"D",3,"E",2,"F",1)</f>
        <v>1</v>
      </c>
      <c r="M803" s="5">
        <f t="shared" si="12"/>
        <v>70000</v>
      </c>
    </row>
    <row r="804" spans="1:13" x14ac:dyDescent="0.3">
      <c r="A804" t="s">
        <v>64</v>
      </c>
      <c r="B804">
        <v>35</v>
      </c>
      <c r="C804">
        <v>70000</v>
      </c>
      <c r="D804" t="s">
        <v>19</v>
      </c>
      <c r="E804" t="s">
        <v>13</v>
      </c>
      <c r="F804" t="s">
        <v>40</v>
      </c>
      <c r="G804" s="2" t="s">
        <v>62</v>
      </c>
      <c r="H804" t="s">
        <v>27</v>
      </c>
      <c r="I804" t="s">
        <v>23</v>
      </c>
      <c r="J804" t="s">
        <v>17</v>
      </c>
      <c r="K804" s="5" t="s">
        <v>43</v>
      </c>
      <c r="L804" s="6" cm="1">
        <f t="array" ref="L804">_xlfn.SWITCH(Table13_2[[#This Row],[Performance Score]],"A",6,"B",5,"C",4,"D",3,"E",2,"F",1)</f>
        <v>4</v>
      </c>
      <c r="M804" s="5">
        <f t="shared" si="12"/>
        <v>70000</v>
      </c>
    </row>
    <row r="805" spans="1:13" x14ac:dyDescent="0.3">
      <c r="A805" t="s">
        <v>59</v>
      </c>
      <c r="B805" t="s">
        <v>63</v>
      </c>
      <c r="C805">
        <v>65000</v>
      </c>
      <c r="D805" t="s">
        <v>34</v>
      </c>
      <c r="E805" t="s">
        <v>20</v>
      </c>
      <c r="F805" t="s">
        <v>14</v>
      </c>
      <c r="G805" s="2" t="s">
        <v>50</v>
      </c>
      <c r="H805" t="s">
        <v>38</v>
      </c>
      <c r="I805" t="s">
        <v>16</v>
      </c>
      <c r="J805" t="s">
        <v>42</v>
      </c>
      <c r="K805" s="5" t="s">
        <v>33</v>
      </c>
      <c r="L805" s="6" cm="1">
        <f t="array" ref="L805">_xlfn.SWITCH(Table13_2[[#This Row],[Performance Score]],"A",6,"B",5,"C",4,"D",3,"E",2,"F",1)</f>
        <v>5</v>
      </c>
      <c r="M805" s="5">
        <f t="shared" si="12"/>
        <v>65000</v>
      </c>
    </row>
    <row r="806" spans="1:13" x14ac:dyDescent="0.3">
      <c r="A806" t="s">
        <v>67</v>
      </c>
      <c r="B806">
        <v>35</v>
      </c>
      <c r="C806">
        <v>50000</v>
      </c>
      <c r="D806" t="s">
        <v>12</v>
      </c>
      <c r="E806" t="s">
        <v>35</v>
      </c>
      <c r="F806" t="s">
        <v>21</v>
      </c>
      <c r="G806" s="2">
        <v>43881</v>
      </c>
      <c r="H806" t="s">
        <v>31</v>
      </c>
      <c r="I806" t="s">
        <v>39</v>
      </c>
      <c r="J806" t="s">
        <v>17</v>
      </c>
      <c r="K806" s="5" t="s">
        <v>46</v>
      </c>
      <c r="L806" s="6" cm="1">
        <f t="array" ref="L806">_xlfn.SWITCH(Table13_2[[#This Row],[Performance Score]],"A",6,"B",5,"C",4,"D",3,"E",2,"F",1)</f>
        <v>6</v>
      </c>
      <c r="M806" s="5">
        <f t="shared" si="12"/>
        <v>50000</v>
      </c>
    </row>
    <row r="807" spans="1:13" x14ac:dyDescent="0.3">
      <c r="A807" t="s">
        <v>66</v>
      </c>
      <c r="B807">
        <v>50</v>
      </c>
      <c r="C807">
        <v>70000</v>
      </c>
      <c r="D807" t="s">
        <v>34</v>
      </c>
      <c r="E807" t="s">
        <v>20</v>
      </c>
      <c r="F807" t="s">
        <v>41</v>
      </c>
      <c r="G807" s="2" t="s">
        <v>62</v>
      </c>
      <c r="H807" t="s">
        <v>22</v>
      </c>
      <c r="I807" t="s">
        <v>16</v>
      </c>
      <c r="J807" t="s">
        <v>17</v>
      </c>
      <c r="K807" s="5" t="s">
        <v>45</v>
      </c>
      <c r="L807" s="6" cm="1">
        <f t="array" ref="L807">_xlfn.SWITCH(Table13_2[[#This Row],[Performance Score]],"A",6,"B",5,"C",4,"D",3,"E",2,"F",1)</f>
        <v>1</v>
      </c>
      <c r="M807" s="5">
        <f t="shared" si="12"/>
        <v>70000</v>
      </c>
    </row>
    <row r="808" spans="1:13" x14ac:dyDescent="0.3">
      <c r="A808" t="s">
        <v>52</v>
      </c>
      <c r="B808" t="s">
        <v>51</v>
      </c>
      <c r="C808">
        <v>55000</v>
      </c>
      <c r="D808" t="s">
        <v>34</v>
      </c>
      <c r="E808" t="s">
        <v>20</v>
      </c>
      <c r="F808" t="s">
        <v>40</v>
      </c>
      <c r="G808" s="2" t="s">
        <v>50</v>
      </c>
      <c r="H808" t="s">
        <v>27</v>
      </c>
      <c r="I808" t="s">
        <v>23</v>
      </c>
      <c r="J808" t="s">
        <v>24</v>
      </c>
      <c r="K808" s="5" t="s">
        <v>18</v>
      </c>
      <c r="L808" s="6" cm="1">
        <f t="array" ref="L808">_xlfn.SWITCH(Table13_2[[#This Row],[Performance Score]],"A",6,"B",5,"C",4,"D",3,"E",2,"F",1)</f>
        <v>4</v>
      </c>
      <c r="M808" s="5">
        <f t="shared" si="12"/>
        <v>55000</v>
      </c>
    </row>
    <row r="809" spans="1:13" x14ac:dyDescent="0.3">
      <c r="A809" t="s">
        <v>67</v>
      </c>
      <c r="B809">
        <v>40</v>
      </c>
      <c r="C809">
        <v>70000</v>
      </c>
      <c r="D809" t="s">
        <v>19</v>
      </c>
      <c r="E809" t="s">
        <v>26</v>
      </c>
      <c r="F809" t="s">
        <v>37</v>
      </c>
      <c r="G809" s="2" t="s">
        <v>50</v>
      </c>
      <c r="H809" t="s">
        <v>15</v>
      </c>
      <c r="I809" t="s">
        <v>39</v>
      </c>
      <c r="J809" t="s">
        <v>17</v>
      </c>
      <c r="K809" s="5" t="s">
        <v>46</v>
      </c>
      <c r="L809" s="6" cm="1">
        <f t="array" ref="L809">_xlfn.SWITCH(Table13_2[[#This Row],[Performance Score]],"A",6,"B",5,"C",4,"D",3,"E",2,"F",1)</f>
        <v>3</v>
      </c>
      <c r="M809" s="5">
        <f t="shared" si="12"/>
        <v>70000</v>
      </c>
    </row>
    <row r="810" spans="1:13" x14ac:dyDescent="0.3">
      <c r="A810" t="s">
        <v>52</v>
      </c>
      <c r="B810">
        <v>40</v>
      </c>
      <c r="C810">
        <v>65000</v>
      </c>
      <c r="D810" t="s">
        <v>19</v>
      </c>
      <c r="E810" t="s">
        <v>20</v>
      </c>
      <c r="F810" t="s">
        <v>14</v>
      </c>
      <c r="G810" s="2" t="s">
        <v>62</v>
      </c>
      <c r="H810" t="s">
        <v>38</v>
      </c>
      <c r="I810" t="s">
        <v>23</v>
      </c>
      <c r="J810" t="s">
        <v>42</v>
      </c>
      <c r="K810" s="5" t="s">
        <v>18</v>
      </c>
      <c r="L810" s="6" cm="1">
        <f t="array" ref="L810">_xlfn.SWITCH(Table13_2[[#This Row],[Performance Score]],"A",6,"B",5,"C",4,"D",3,"E",2,"F",1)</f>
        <v>5</v>
      </c>
      <c r="M810" s="5">
        <f t="shared" si="12"/>
        <v>65000</v>
      </c>
    </row>
    <row r="811" spans="1:13" x14ac:dyDescent="0.3">
      <c r="A811" t="s">
        <v>59</v>
      </c>
      <c r="B811">
        <v>40</v>
      </c>
      <c r="C811">
        <v>0</v>
      </c>
      <c r="D811" t="s">
        <v>34</v>
      </c>
      <c r="E811" t="s">
        <v>20</v>
      </c>
      <c r="F811" t="s">
        <v>41</v>
      </c>
      <c r="G811" s="2">
        <v>43881</v>
      </c>
      <c r="H811" t="s">
        <v>31</v>
      </c>
      <c r="I811" t="s">
        <v>32</v>
      </c>
      <c r="J811" t="s">
        <v>28</v>
      </c>
      <c r="K811" s="5" t="s">
        <v>33</v>
      </c>
      <c r="L811" s="6" cm="1">
        <f t="array" ref="L811">_xlfn.SWITCH(Table13_2[[#This Row],[Performance Score]],"A",6,"B",5,"C",4,"D",3,"E",2,"F",1)</f>
        <v>6</v>
      </c>
      <c r="M811" s="5">
        <f t="shared" si="12"/>
        <v>48417.431192660551</v>
      </c>
    </row>
    <row r="812" spans="1:13" x14ac:dyDescent="0.3">
      <c r="A812" t="s">
        <v>61</v>
      </c>
      <c r="B812">
        <v>35</v>
      </c>
      <c r="C812">
        <v>55000</v>
      </c>
      <c r="D812" t="s">
        <v>12</v>
      </c>
      <c r="E812" t="s">
        <v>35</v>
      </c>
      <c r="F812" t="s">
        <v>14</v>
      </c>
      <c r="G812" s="2" t="s">
        <v>50</v>
      </c>
      <c r="H812" t="s">
        <v>38</v>
      </c>
      <c r="I812" t="s">
        <v>32</v>
      </c>
      <c r="J812" t="s">
        <v>28</v>
      </c>
      <c r="K812" s="5" t="s">
        <v>36</v>
      </c>
      <c r="L812" s="6" cm="1">
        <f t="array" ref="L812">_xlfn.SWITCH(Table13_2[[#This Row],[Performance Score]],"A",6,"B",5,"C",4,"D",3,"E",2,"F",1)</f>
        <v>5</v>
      </c>
      <c r="M812" s="5">
        <f t="shared" si="12"/>
        <v>55000</v>
      </c>
    </row>
    <row r="813" spans="1:13" x14ac:dyDescent="0.3">
      <c r="A813" t="s">
        <v>67</v>
      </c>
      <c r="B813" t="s">
        <v>51</v>
      </c>
      <c r="C813">
        <v>65000</v>
      </c>
      <c r="D813" t="s">
        <v>34</v>
      </c>
      <c r="E813" t="s">
        <v>26</v>
      </c>
      <c r="F813" t="s">
        <v>21</v>
      </c>
      <c r="G813" s="2" t="s">
        <v>62</v>
      </c>
      <c r="H813" t="s">
        <v>15</v>
      </c>
      <c r="I813" t="s">
        <v>32</v>
      </c>
      <c r="J813" t="s">
        <v>28</v>
      </c>
      <c r="K813" s="5" t="s">
        <v>46</v>
      </c>
      <c r="L813" s="6" cm="1">
        <f t="array" ref="L813">_xlfn.SWITCH(Table13_2[[#This Row],[Performance Score]],"A",6,"B",5,"C",4,"D",3,"E",2,"F",1)</f>
        <v>3</v>
      </c>
      <c r="M813" s="5">
        <f t="shared" si="12"/>
        <v>65000</v>
      </c>
    </row>
    <row r="814" spans="1:13" x14ac:dyDescent="0.3">
      <c r="A814" t="s">
        <v>65</v>
      </c>
      <c r="B814" t="s">
        <v>63</v>
      </c>
      <c r="C814">
        <v>0</v>
      </c>
      <c r="D814" t="s">
        <v>12</v>
      </c>
      <c r="E814" t="s">
        <v>20</v>
      </c>
      <c r="F814" t="s">
        <v>37</v>
      </c>
      <c r="G814" s="2">
        <v>43881</v>
      </c>
      <c r="H814" t="s">
        <v>31</v>
      </c>
      <c r="I814" t="s">
        <v>32</v>
      </c>
      <c r="J814" t="s">
        <v>24</v>
      </c>
      <c r="K814" s="5" t="s">
        <v>44</v>
      </c>
      <c r="L814" s="6" cm="1">
        <f t="array" ref="L814">_xlfn.SWITCH(Table13_2[[#This Row],[Performance Score]],"A",6,"B",5,"C",4,"D",3,"E",2,"F",1)</f>
        <v>6</v>
      </c>
      <c r="M814" s="5">
        <f t="shared" si="12"/>
        <v>48417.431192660551</v>
      </c>
    </row>
    <row r="815" spans="1:13" x14ac:dyDescent="0.3">
      <c r="A815" t="s">
        <v>52</v>
      </c>
      <c r="B815">
        <v>50</v>
      </c>
      <c r="C815">
        <v>55000</v>
      </c>
      <c r="D815" t="s">
        <v>12</v>
      </c>
      <c r="E815" t="s">
        <v>30</v>
      </c>
      <c r="F815" t="s">
        <v>14</v>
      </c>
      <c r="G815" s="2" t="s">
        <v>62</v>
      </c>
      <c r="H815" t="s">
        <v>15</v>
      </c>
      <c r="I815" t="s">
        <v>39</v>
      </c>
      <c r="J815" t="s">
        <v>42</v>
      </c>
      <c r="K815" s="5" t="s">
        <v>18</v>
      </c>
      <c r="L815" s="6" cm="1">
        <f t="array" ref="L815">_xlfn.SWITCH(Table13_2[[#This Row],[Performance Score]],"A",6,"B",5,"C",4,"D",3,"E",2,"F",1)</f>
        <v>3</v>
      </c>
      <c r="M815" s="5">
        <f t="shared" si="12"/>
        <v>55000</v>
      </c>
    </row>
    <row r="816" spans="1:13" x14ac:dyDescent="0.3">
      <c r="A816" t="s">
        <v>64</v>
      </c>
      <c r="B816" t="s">
        <v>63</v>
      </c>
      <c r="C816">
        <v>60000</v>
      </c>
      <c r="D816" t="s">
        <v>19</v>
      </c>
      <c r="E816" t="s">
        <v>13</v>
      </c>
      <c r="F816" t="s">
        <v>40</v>
      </c>
      <c r="G816" s="2" t="s">
        <v>62</v>
      </c>
      <c r="H816" t="s">
        <v>38</v>
      </c>
      <c r="I816" t="s">
        <v>39</v>
      </c>
      <c r="J816" t="s">
        <v>17</v>
      </c>
      <c r="K816" s="5" t="s">
        <v>43</v>
      </c>
      <c r="L816" s="6" cm="1">
        <f t="array" ref="L816">_xlfn.SWITCH(Table13_2[[#This Row],[Performance Score]],"A",6,"B",5,"C",4,"D",3,"E",2,"F",1)</f>
        <v>5</v>
      </c>
      <c r="M816" s="5">
        <f t="shared" si="12"/>
        <v>60000</v>
      </c>
    </row>
    <row r="817" spans="1:13" x14ac:dyDescent="0.3">
      <c r="A817" t="s">
        <v>65</v>
      </c>
      <c r="B817">
        <v>35</v>
      </c>
      <c r="C817">
        <v>50000</v>
      </c>
      <c r="D817" t="s">
        <v>12</v>
      </c>
      <c r="E817" t="s">
        <v>35</v>
      </c>
      <c r="F817" t="s">
        <v>37</v>
      </c>
      <c r="G817" s="2" t="s">
        <v>50</v>
      </c>
      <c r="H817" t="s">
        <v>27</v>
      </c>
      <c r="I817" t="s">
        <v>39</v>
      </c>
      <c r="J817" t="s">
        <v>28</v>
      </c>
      <c r="K817" s="5" t="s">
        <v>44</v>
      </c>
      <c r="L817" s="6" cm="1">
        <f t="array" ref="L817">_xlfn.SWITCH(Table13_2[[#This Row],[Performance Score]],"A",6,"B",5,"C",4,"D",3,"E",2,"F",1)</f>
        <v>4</v>
      </c>
      <c r="M817" s="5">
        <f t="shared" si="12"/>
        <v>50000</v>
      </c>
    </row>
    <row r="818" spans="1:13" x14ac:dyDescent="0.3">
      <c r="A818" t="s">
        <v>53</v>
      </c>
      <c r="B818">
        <v>50</v>
      </c>
      <c r="C818">
        <v>50000</v>
      </c>
      <c r="D818" t="s">
        <v>12</v>
      </c>
      <c r="E818" t="s">
        <v>20</v>
      </c>
      <c r="F818" t="s">
        <v>40</v>
      </c>
      <c r="G818" s="2">
        <v>43881</v>
      </c>
      <c r="H818" t="s">
        <v>38</v>
      </c>
      <c r="I818" t="s">
        <v>23</v>
      </c>
      <c r="J818" t="s">
        <v>42</v>
      </c>
      <c r="K818" s="5" t="s">
        <v>25</v>
      </c>
      <c r="L818" s="6" cm="1">
        <f t="array" ref="L818">_xlfn.SWITCH(Table13_2[[#This Row],[Performance Score]],"A",6,"B",5,"C",4,"D",3,"E",2,"F",1)</f>
        <v>5</v>
      </c>
      <c r="M818" s="5">
        <f t="shared" si="12"/>
        <v>50000</v>
      </c>
    </row>
    <row r="819" spans="1:13" x14ac:dyDescent="0.3">
      <c r="A819" t="s">
        <v>53</v>
      </c>
      <c r="B819">
        <v>40</v>
      </c>
      <c r="C819">
        <v>65000</v>
      </c>
      <c r="D819" t="s">
        <v>34</v>
      </c>
      <c r="E819" t="s">
        <v>30</v>
      </c>
      <c r="F819" t="s">
        <v>14</v>
      </c>
      <c r="G819" s="2" t="s">
        <v>50</v>
      </c>
      <c r="H819" t="s">
        <v>38</v>
      </c>
      <c r="I819" t="s">
        <v>16</v>
      </c>
      <c r="J819" t="s">
        <v>17</v>
      </c>
      <c r="K819" s="5" t="s">
        <v>25</v>
      </c>
      <c r="L819" s="6" cm="1">
        <f t="array" ref="L819">_xlfn.SWITCH(Table13_2[[#This Row],[Performance Score]],"A",6,"B",5,"C",4,"D",3,"E",2,"F",1)</f>
        <v>5</v>
      </c>
      <c r="M819" s="5">
        <f t="shared" si="12"/>
        <v>65000</v>
      </c>
    </row>
    <row r="820" spans="1:13" x14ac:dyDescent="0.3">
      <c r="A820" t="s">
        <v>66</v>
      </c>
      <c r="B820">
        <v>25</v>
      </c>
      <c r="C820">
        <v>0</v>
      </c>
      <c r="D820" t="s">
        <v>19</v>
      </c>
      <c r="E820" t="s">
        <v>20</v>
      </c>
      <c r="F820" t="s">
        <v>37</v>
      </c>
      <c r="G820" s="2" t="s">
        <v>55</v>
      </c>
      <c r="H820" t="s">
        <v>38</v>
      </c>
      <c r="I820" t="s">
        <v>23</v>
      </c>
      <c r="J820" t="s">
        <v>24</v>
      </c>
      <c r="K820" s="5" t="s">
        <v>45</v>
      </c>
      <c r="L820" s="6" cm="1">
        <f t="array" ref="L820">_xlfn.SWITCH(Table13_2[[#This Row],[Performance Score]],"A",6,"B",5,"C",4,"D",3,"E",2,"F",1)</f>
        <v>5</v>
      </c>
      <c r="M820" s="5">
        <f t="shared" si="12"/>
        <v>48417.431192660551</v>
      </c>
    </row>
    <row r="821" spans="1:13" x14ac:dyDescent="0.3">
      <c r="A821" t="s">
        <v>61</v>
      </c>
      <c r="B821">
        <v>35</v>
      </c>
      <c r="C821">
        <v>50000</v>
      </c>
      <c r="D821" t="s">
        <v>12</v>
      </c>
      <c r="E821" t="s">
        <v>20</v>
      </c>
      <c r="F821" t="s">
        <v>40</v>
      </c>
      <c r="G821" s="2" t="s">
        <v>55</v>
      </c>
      <c r="H821" t="s">
        <v>22</v>
      </c>
      <c r="I821" t="s">
        <v>23</v>
      </c>
      <c r="J821" t="s">
        <v>42</v>
      </c>
      <c r="K821" s="5" t="s">
        <v>36</v>
      </c>
      <c r="L821" s="6" cm="1">
        <f t="array" ref="L821">_xlfn.SWITCH(Table13_2[[#This Row],[Performance Score]],"A",6,"B",5,"C",4,"D",3,"E",2,"F",1)</f>
        <v>1</v>
      </c>
      <c r="M821" s="5">
        <f t="shared" si="12"/>
        <v>50000</v>
      </c>
    </row>
    <row r="822" spans="1:13" x14ac:dyDescent="0.3">
      <c r="A822" t="s">
        <v>59</v>
      </c>
      <c r="B822">
        <v>35</v>
      </c>
      <c r="C822">
        <v>0</v>
      </c>
      <c r="D822" t="s">
        <v>12</v>
      </c>
      <c r="E822" t="s">
        <v>26</v>
      </c>
      <c r="F822" t="s">
        <v>21</v>
      </c>
      <c r="G822" s="2">
        <v>43881</v>
      </c>
      <c r="H822" t="s">
        <v>15</v>
      </c>
      <c r="I822" t="s">
        <v>23</v>
      </c>
      <c r="J822" t="s">
        <v>42</v>
      </c>
      <c r="K822" s="5" t="s">
        <v>33</v>
      </c>
      <c r="L822" s="6" cm="1">
        <f t="array" ref="L822">_xlfn.SWITCH(Table13_2[[#This Row],[Performance Score]],"A",6,"B",5,"C",4,"D",3,"E",2,"F",1)</f>
        <v>3</v>
      </c>
      <c r="M822" s="5">
        <f t="shared" si="12"/>
        <v>50742.574257425746</v>
      </c>
    </row>
    <row r="823" spans="1:13" x14ac:dyDescent="0.3">
      <c r="A823" t="s">
        <v>67</v>
      </c>
      <c r="B823" t="s">
        <v>51</v>
      </c>
      <c r="C823">
        <v>0</v>
      </c>
      <c r="D823" t="s">
        <v>19</v>
      </c>
      <c r="E823" t="s">
        <v>26</v>
      </c>
      <c r="F823" t="s">
        <v>21</v>
      </c>
      <c r="G823" s="2" t="s">
        <v>62</v>
      </c>
      <c r="H823" t="s">
        <v>15</v>
      </c>
      <c r="I823" t="s">
        <v>23</v>
      </c>
      <c r="J823" t="s">
        <v>17</v>
      </c>
      <c r="K823" s="5" t="s">
        <v>46</v>
      </c>
      <c r="L823" s="6" cm="1">
        <f t="array" ref="L823">_xlfn.SWITCH(Table13_2[[#This Row],[Performance Score]],"A",6,"B",5,"C",4,"D",3,"E",2,"F",1)</f>
        <v>3</v>
      </c>
      <c r="M823" s="5">
        <f t="shared" si="12"/>
        <v>50742.574257425746</v>
      </c>
    </row>
    <row r="824" spans="1:13" x14ac:dyDescent="0.3">
      <c r="A824" t="s">
        <v>56</v>
      </c>
      <c r="B824" t="s">
        <v>63</v>
      </c>
      <c r="C824">
        <v>65000</v>
      </c>
      <c r="D824" t="s">
        <v>34</v>
      </c>
      <c r="E824" t="s">
        <v>26</v>
      </c>
      <c r="F824" t="s">
        <v>14</v>
      </c>
      <c r="G824" s="2" t="s">
        <v>50</v>
      </c>
      <c r="H824" t="s">
        <v>15</v>
      </c>
      <c r="I824" t="s">
        <v>39</v>
      </c>
      <c r="J824" t="s">
        <v>42</v>
      </c>
      <c r="K824" s="5" t="s">
        <v>29</v>
      </c>
      <c r="L824" s="6" cm="1">
        <f t="array" ref="L824">_xlfn.SWITCH(Table13_2[[#This Row],[Performance Score]],"A",6,"B",5,"C",4,"D",3,"E",2,"F",1)</f>
        <v>3</v>
      </c>
      <c r="M824" s="5">
        <f t="shared" si="12"/>
        <v>65000</v>
      </c>
    </row>
    <row r="825" spans="1:13" x14ac:dyDescent="0.3">
      <c r="A825" t="s">
        <v>64</v>
      </c>
      <c r="B825">
        <v>35</v>
      </c>
      <c r="C825">
        <v>65000</v>
      </c>
      <c r="D825" t="s">
        <v>19</v>
      </c>
      <c r="E825" t="s">
        <v>30</v>
      </c>
      <c r="F825" t="s">
        <v>37</v>
      </c>
      <c r="G825" s="2" t="s">
        <v>50</v>
      </c>
      <c r="H825" t="s">
        <v>22</v>
      </c>
      <c r="I825" t="s">
        <v>16</v>
      </c>
      <c r="J825" t="s">
        <v>17</v>
      </c>
      <c r="K825" s="5" t="s">
        <v>43</v>
      </c>
      <c r="L825" s="6" cm="1">
        <f t="array" ref="L825">_xlfn.SWITCH(Table13_2[[#This Row],[Performance Score]],"A",6,"B",5,"C",4,"D",3,"E",2,"F",1)</f>
        <v>1</v>
      </c>
      <c r="M825" s="5">
        <f t="shared" si="12"/>
        <v>65000</v>
      </c>
    </row>
    <row r="826" spans="1:13" x14ac:dyDescent="0.3">
      <c r="A826" t="s">
        <v>52</v>
      </c>
      <c r="B826">
        <v>35</v>
      </c>
      <c r="C826">
        <v>65000</v>
      </c>
      <c r="D826" t="s">
        <v>19</v>
      </c>
      <c r="E826" t="s">
        <v>20</v>
      </c>
      <c r="F826" t="s">
        <v>41</v>
      </c>
      <c r="G826" s="2">
        <v>43881</v>
      </c>
      <c r="H826" t="s">
        <v>27</v>
      </c>
      <c r="I826" t="s">
        <v>23</v>
      </c>
      <c r="J826" t="s">
        <v>24</v>
      </c>
      <c r="K826" s="5" t="s">
        <v>18</v>
      </c>
      <c r="L826" s="6" cm="1">
        <f t="array" ref="L826">_xlfn.SWITCH(Table13_2[[#This Row],[Performance Score]],"A",6,"B",5,"C",4,"D",3,"E",2,"F",1)</f>
        <v>4</v>
      </c>
      <c r="M826" s="5">
        <f t="shared" si="12"/>
        <v>65000</v>
      </c>
    </row>
    <row r="827" spans="1:13" x14ac:dyDescent="0.3">
      <c r="A827" t="s">
        <v>59</v>
      </c>
      <c r="B827">
        <v>40</v>
      </c>
      <c r="C827">
        <v>50000</v>
      </c>
      <c r="D827" t="s">
        <v>12</v>
      </c>
      <c r="E827" t="s">
        <v>13</v>
      </c>
      <c r="F827" t="s">
        <v>37</v>
      </c>
      <c r="G827" s="2">
        <v>43881</v>
      </c>
      <c r="H827" t="s">
        <v>38</v>
      </c>
      <c r="I827" t="s">
        <v>39</v>
      </c>
      <c r="J827" t="s">
        <v>24</v>
      </c>
      <c r="K827" s="5" t="s">
        <v>33</v>
      </c>
      <c r="L827" s="6" cm="1">
        <f t="array" ref="L827">_xlfn.SWITCH(Table13_2[[#This Row],[Performance Score]],"A",6,"B",5,"C",4,"D",3,"E",2,"F",1)</f>
        <v>5</v>
      </c>
      <c r="M827" s="5">
        <f t="shared" si="12"/>
        <v>50000</v>
      </c>
    </row>
    <row r="828" spans="1:13" x14ac:dyDescent="0.3">
      <c r="A828" t="s">
        <v>65</v>
      </c>
      <c r="B828">
        <v>40</v>
      </c>
      <c r="C828">
        <v>65000</v>
      </c>
      <c r="D828" t="s">
        <v>12</v>
      </c>
      <c r="E828" t="s">
        <v>35</v>
      </c>
      <c r="F828" t="s">
        <v>21</v>
      </c>
      <c r="G828" s="2" t="s">
        <v>55</v>
      </c>
      <c r="H828" t="s">
        <v>27</v>
      </c>
      <c r="I828" t="s">
        <v>23</v>
      </c>
      <c r="J828" t="s">
        <v>17</v>
      </c>
      <c r="K828" s="5" t="s">
        <v>44</v>
      </c>
      <c r="L828" s="6" cm="1">
        <f t="array" ref="L828">_xlfn.SWITCH(Table13_2[[#This Row],[Performance Score]],"A",6,"B",5,"C",4,"D",3,"E",2,"F",1)</f>
        <v>4</v>
      </c>
      <c r="M828" s="5">
        <f t="shared" si="12"/>
        <v>65000</v>
      </c>
    </row>
    <row r="829" spans="1:13" x14ac:dyDescent="0.3">
      <c r="A829" t="s">
        <v>53</v>
      </c>
      <c r="B829">
        <v>50</v>
      </c>
      <c r="C829">
        <v>50000</v>
      </c>
      <c r="D829" t="s">
        <v>34</v>
      </c>
      <c r="E829" t="s">
        <v>26</v>
      </c>
      <c r="F829" t="s">
        <v>40</v>
      </c>
      <c r="G829" s="2" t="s">
        <v>60</v>
      </c>
      <c r="H829" t="s">
        <v>22</v>
      </c>
      <c r="I829" t="s">
        <v>32</v>
      </c>
      <c r="J829" t="s">
        <v>17</v>
      </c>
      <c r="K829" s="5" t="s">
        <v>25</v>
      </c>
      <c r="L829" s="6" cm="1">
        <f t="array" ref="L829">_xlfn.SWITCH(Table13_2[[#This Row],[Performance Score]],"A",6,"B",5,"C",4,"D",3,"E",2,"F",1)</f>
        <v>1</v>
      </c>
      <c r="M829" s="5">
        <f t="shared" si="12"/>
        <v>50000</v>
      </c>
    </row>
    <row r="830" spans="1:13" x14ac:dyDescent="0.3">
      <c r="A830" t="s">
        <v>64</v>
      </c>
      <c r="B830">
        <v>25</v>
      </c>
      <c r="C830">
        <v>65000</v>
      </c>
      <c r="D830" t="s">
        <v>12</v>
      </c>
      <c r="E830" t="s">
        <v>26</v>
      </c>
      <c r="F830" t="s">
        <v>41</v>
      </c>
      <c r="G830" s="2">
        <v>43881</v>
      </c>
      <c r="H830" t="s">
        <v>15</v>
      </c>
      <c r="I830" t="s">
        <v>23</v>
      </c>
      <c r="J830" t="s">
        <v>17</v>
      </c>
      <c r="K830" s="5" t="s">
        <v>43</v>
      </c>
      <c r="L830" s="6" cm="1">
        <f t="array" ref="L830">_xlfn.SWITCH(Table13_2[[#This Row],[Performance Score]],"A",6,"B",5,"C",4,"D",3,"E",2,"F",1)</f>
        <v>3</v>
      </c>
      <c r="M830" s="5">
        <f t="shared" si="12"/>
        <v>65000</v>
      </c>
    </row>
    <row r="831" spans="1:13" x14ac:dyDescent="0.3">
      <c r="A831" t="s">
        <v>56</v>
      </c>
      <c r="B831" t="s">
        <v>51</v>
      </c>
      <c r="C831">
        <v>70000</v>
      </c>
      <c r="D831" t="s">
        <v>12</v>
      </c>
      <c r="E831" t="s">
        <v>20</v>
      </c>
      <c r="F831" t="s">
        <v>14</v>
      </c>
      <c r="G831" s="2" t="s">
        <v>60</v>
      </c>
      <c r="H831" t="s">
        <v>38</v>
      </c>
      <c r="I831" t="s">
        <v>23</v>
      </c>
      <c r="J831" t="s">
        <v>28</v>
      </c>
      <c r="K831" s="5" t="s">
        <v>29</v>
      </c>
      <c r="L831" s="6" cm="1">
        <f t="array" ref="L831">_xlfn.SWITCH(Table13_2[[#This Row],[Performance Score]],"A",6,"B",5,"C",4,"D",3,"E",2,"F",1)</f>
        <v>5</v>
      </c>
      <c r="M831" s="5">
        <f t="shared" si="12"/>
        <v>70000</v>
      </c>
    </row>
    <row r="832" spans="1:13" x14ac:dyDescent="0.3">
      <c r="A832" t="s">
        <v>67</v>
      </c>
      <c r="B832">
        <v>25</v>
      </c>
      <c r="C832">
        <v>0</v>
      </c>
      <c r="D832" t="s">
        <v>19</v>
      </c>
      <c r="E832" t="s">
        <v>20</v>
      </c>
      <c r="F832" t="s">
        <v>41</v>
      </c>
      <c r="G832" s="2">
        <v>43881</v>
      </c>
      <c r="H832" t="s">
        <v>31</v>
      </c>
      <c r="I832" t="s">
        <v>39</v>
      </c>
      <c r="J832" t="s">
        <v>28</v>
      </c>
      <c r="K832" s="5" t="s">
        <v>46</v>
      </c>
      <c r="L832" s="6" cm="1">
        <f t="array" ref="L832">_xlfn.SWITCH(Table13_2[[#This Row],[Performance Score]],"A",6,"B",5,"C",4,"D",3,"E",2,"F",1)</f>
        <v>6</v>
      </c>
      <c r="M832" s="5">
        <f t="shared" si="12"/>
        <v>48417.431192660551</v>
      </c>
    </row>
    <row r="833" spans="1:13" x14ac:dyDescent="0.3">
      <c r="A833" t="s">
        <v>66</v>
      </c>
      <c r="B833">
        <v>50</v>
      </c>
      <c r="C833">
        <v>65000</v>
      </c>
      <c r="D833" t="s">
        <v>12</v>
      </c>
      <c r="E833" t="s">
        <v>30</v>
      </c>
      <c r="F833" t="s">
        <v>14</v>
      </c>
      <c r="G833" s="2" t="s">
        <v>62</v>
      </c>
      <c r="H833" t="s">
        <v>31</v>
      </c>
      <c r="I833" t="s">
        <v>32</v>
      </c>
      <c r="J833" t="s">
        <v>17</v>
      </c>
      <c r="K833" s="5" t="s">
        <v>45</v>
      </c>
      <c r="L833" s="6" cm="1">
        <f t="array" ref="L833">_xlfn.SWITCH(Table13_2[[#This Row],[Performance Score]],"A",6,"B",5,"C",4,"D",3,"E",2,"F",1)</f>
        <v>6</v>
      </c>
      <c r="M833" s="5">
        <f t="shared" si="12"/>
        <v>65000</v>
      </c>
    </row>
    <row r="834" spans="1:13" x14ac:dyDescent="0.3">
      <c r="A834" t="s">
        <v>56</v>
      </c>
      <c r="B834">
        <v>40</v>
      </c>
      <c r="C834">
        <v>55000</v>
      </c>
      <c r="D834" t="s">
        <v>34</v>
      </c>
      <c r="E834" t="s">
        <v>30</v>
      </c>
      <c r="F834" t="s">
        <v>41</v>
      </c>
      <c r="G834" s="2" t="s">
        <v>62</v>
      </c>
      <c r="H834" t="s">
        <v>27</v>
      </c>
      <c r="I834" t="s">
        <v>16</v>
      </c>
      <c r="J834" t="s">
        <v>24</v>
      </c>
      <c r="K834" s="5" t="s">
        <v>29</v>
      </c>
      <c r="L834" s="6" cm="1">
        <f t="array" ref="L834">_xlfn.SWITCH(Table13_2[[#This Row],[Performance Score]],"A",6,"B",5,"C",4,"D",3,"E",2,"F",1)</f>
        <v>4</v>
      </c>
      <c r="M834" s="5">
        <f t="shared" si="12"/>
        <v>55000</v>
      </c>
    </row>
    <row r="835" spans="1:13" x14ac:dyDescent="0.3">
      <c r="A835" t="s">
        <v>64</v>
      </c>
      <c r="B835" t="s">
        <v>63</v>
      </c>
      <c r="C835">
        <v>0</v>
      </c>
      <c r="D835" t="s">
        <v>19</v>
      </c>
      <c r="E835" t="s">
        <v>26</v>
      </c>
      <c r="F835" t="s">
        <v>14</v>
      </c>
      <c r="G835" s="2" t="s">
        <v>55</v>
      </c>
      <c r="H835" t="s">
        <v>15</v>
      </c>
      <c r="I835" t="s">
        <v>23</v>
      </c>
      <c r="J835" t="s">
        <v>28</v>
      </c>
      <c r="K835" s="5" t="s">
        <v>43</v>
      </c>
      <c r="L835" s="6" cm="1">
        <f t="array" ref="L835">_xlfn.SWITCH(Table13_2[[#This Row],[Performance Score]],"A",6,"B",5,"C",4,"D",3,"E",2,"F",1)</f>
        <v>3</v>
      </c>
      <c r="M835" s="5">
        <f t="shared" ref="M835:M898" si="13">IF(C835=0,AVERAGEIF($E$2:$E$1001,E835,$C$2:$C$1001),C835)</f>
        <v>50742.574257425746</v>
      </c>
    </row>
    <row r="836" spans="1:13" x14ac:dyDescent="0.3">
      <c r="A836" t="s">
        <v>56</v>
      </c>
      <c r="B836">
        <v>40</v>
      </c>
      <c r="C836">
        <v>0</v>
      </c>
      <c r="D836" t="s">
        <v>34</v>
      </c>
      <c r="E836" t="s">
        <v>20</v>
      </c>
      <c r="F836" t="s">
        <v>14</v>
      </c>
      <c r="G836" s="2" t="s">
        <v>55</v>
      </c>
      <c r="H836" t="s">
        <v>31</v>
      </c>
      <c r="I836" t="s">
        <v>16</v>
      </c>
      <c r="J836" t="s">
        <v>42</v>
      </c>
      <c r="K836" s="5" t="s">
        <v>29</v>
      </c>
      <c r="L836" s="6" cm="1">
        <f t="array" ref="L836">_xlfn.SWITCH(Table13_2[[#This Row],[Performance Score]],"A",6,"B",5,"C",4,"D",3,"E",2,"F",1)</f>
        <v>6</v>
      </c>
      <c r="M836" s="5">
        <f t="shared" si="13"/>
        <v>48417.431192660551</v>
      </c>
    </row>
    <row r="837" spans="1:13" x14ac:dyDescent="0.3">
      <c r="A837" t="s">
        <v>64</v>
      </c>
      <c r="B837" t="s">
        <v>51</v>
      </c>
      <c r="C837">
        <v>65000</v>
      </c>
      <c r="D837" t="s">
        <v>19</v>
      </c>
      <c r="E837" t="s">
        <v>13</v>
      </c>
      <c r="F837" t="s">
        <v>41</v>
      </c>
      <c r="G837" s="2" t="s">
        <v>60</v>
      </c>
      <c r="H837" t="s">
        <v>27</v>
      </c>
      <c r="I837" t="s">
        <v>32</v>
      </c>
      <c r="J837" t="s">
        <v>24</v>
      </c>
      <c r="K837" s="5" t="s">
        <v>43</v>
      </c>
      <c r="L837" s="6" cm="1">
        <f t="array" ref="L837">_xlfn.SWITCH(Table13_2[[#This Row],[Performance Score]],"A",6,"B",5,"C",4,"D",3,"E",2,"F",1)</f>
        <v>4</v>
      </c>
      <c r="M837" s="5">
        <f t="shared" si="13"/>
        <v>65000</v>
      </c>
    </row>
    <row r="838" spans="1:13" x14ac:dyDescent="0.3">
      <c r="A838" t="s">
        <v>64</v>
      </c>
      <c r="B838">
        <v>40</v>
      </c>
      <c r="C838">
        <v>60000</v>
      </c>
      <c r="D838" t="s">
        <v>12</v>
      </c>
      <c r="E838" t="s">
        <v>35</v>
      </c>
      <c r="F838" t="s">
        <v>41</v>
      </c>
      <c r="G838" s="2">
        <v>43881</v>
      </c>
      <c r="H838" t="s">
        <v>22</v>
      </c>
      <c r="I838" t="s">
        <v>23</v>
      </c>
      <c r="J838" t="s">
        <v>42</v>
      </c>
      <c r="K838" s="5" t="s">
        <v>43</v>
      </c>
      <c r="L838" s="6" cm="1">
        <f t="array" ref="L838">_xlfn.SWITCH(Table13_2[[#This Row],[Performance Score]],"A",6,"B",5,"C",4,"D",3,"E",2,"F",1)</f>
        <v>1</v>
      </c>
      <c r="M838" s="5">
        <f t="shared" si="13"/>
        <v>60000</v>
      </c>
    </row>
    <row r="839" spans="1:13" x14ac:dyDescent="0.3">
      <c r="A839" t="s">
        <v>49</v>
      </c>
      <c r="B839" t="s">
        <v>51</v>
      </c>
      <c r="C839">
        <v>65000</v>
      </c>
      <c r="D839" t="s">
        <v>19</v>
      </c>
      <c r="E839" t="s">
        <v>20</v>
      </c>
      <c r="F839" t="s">
        <v>14</v>
      </c>
      <c r="G839" s="2" t="s">
        <v>50</v>
      </c>
      <c r="H839" t="s">
        <v>27</v>
      </c>
      <c r="I839" t="s">
        <v>39</v>
      </c>
      <c r="J839" t="s">
        <v>17</v>
      </c>
      <c r="K839" s="5" t="s">
        <v>11</v>
      </c>
      <c r="L839" s="6" cm="1">
        <f t="array" ref="L839">_xlfn.SWITCH(Table13_2[[#This Row],[Performance Score]],"A",6,"B",5,"C",4,"D",3,"E",2,"F",1)</f>
        <v>4</v>
      </c>
      <c r="M839" s="5">
        <f t="shared" si="13"/>
        <v>65000</v>
      </c>
    </row>
    <row r="840" spans="1:13" x14ac:dyDescent="0.3">
      <c r="A840" t="s">
        <v>52</v>
      </c>
      <c r="B840" t="s">
        <v>51</v>
      </c>
      <c r="C840">
        <v>0</v>
      </c>
      <c r="D840" t="s">
        <v>19</v>
      </c>
      <c r="E840" t="s">
        <v>20</v>
      </c>
      <c r="F840" t="s">
        <v>21</v>
      </c>
      <c r="G840" s="2" t="s">
        <v>55</v>
      </c>
      <c r="H840" t="s">
        <v>27</v>
      </c>
      <c r="I840" t="s">
        <v>39</v>
      </c>
      <c r="J840" t="s">
        <v>24</v>
      </c>
      <c r="K840" s="5" t="s">
        <v>18</v>
      </c>
      <c r="L840" s="6" cm="1">
        <f t="array" ref="L840">_xlfn.SWITCH(Table13_2[[#This Row],[Performance Score]],"A",6,"B",5,"C",4,"D",3,"E",2,"F",1)</f>
        <v>4</v>
      </c>
      <c r="M840" s="5">
        <f t="shared" si="13"/>
        <v>48417.431192660551</v>
      </c>
    </row>
    <row r="841" spans="1:13" x14ac:dyDescent="0.3">
      <c r="A841" t="s">
        <v>53</v>
      </c>
      <c r="B841" t="s">
        <v>51</v>
      </c>
      <c r="C841">
        <v>55000</v>
      </c>
      <c r="D841" t="s">
        <v>12</v>
      </c>
      <c r="E841" t="s">
        <v>30</v>
      </c>
      <c r="F841" t="s">
        <v>41</v>
      </c>
      <c r="G841" s="2" t="s">
        <v>50</v>
      </c>
      <c r="H841" t="s">
        <v>27</v>
      </c>
      <c r="I841" t="s">
        <v>39</v>
      </c>
      <c r="J841" t="s">
        <v>17</v>
      </c>
      <c r="K841" s="5" t="s">
        <v>25</v>
      </c>
      <c r="L841" s="6" cm="1">
        <f t="array" ref="L841">_xlfn.SWITCH(Table13_2[[#This Row],[Performance Score]],"A",6,"B",5,"C",4,"D",3,"E",2,"F",1)</f>
        <v>4</v>
      </c>
      <c r="M841" s="5">
        <f t="shared" si="13"/>
        <v>55000</v>
      </c>
    </row>
    <row r="842" spans="1:13" x14ac:dyDescent="0.3">
      <c r="A842" t="s">
        <v>49</v>
      </c>
      <c r="B842">
        <v>50</v>
      </c>
      <c r="C842">
        <v>0</v>
      </c>
      <c r="D842" t="s">
        <v>12</v>
      </c>
      <c r="E842" t="s">
        <v>35</v>
      </c>
      <c r="F842" t="s">
        <v>37</v>
      </c>
      <c r="G842" s="2" t="s">
        <v>50</v>
      </c>
      <c r="H842" t="s">
        <v>38</v>
      </c>
      <c r="I842" t="s">
        <v>39</v>
      </c>
      <c r="J842" t="s">
        <v>17</v>
      </c>
      <c r="K842" s="5" t="s">
        <v>11</v>
      </c>
      <c r="L842" s="6" cm="1">
        <f t="array" ref="L842">_xlfn.SWITCH(Table13_2[[#This Row],[Performance Score]],"A",6,"B",5,"C",4,"D",3,"E",2,"F",1)</f>
        <v>5</v>
      </c>
      <c r="M842" s="5">
        <f t="shared" si="13"/>
        <v>49144.385026737968</v>
      </c>
    </row>
    <row r="843" spans="1:13" x14ac:dyDescent="0.3">
      <c r="A843" t="s">
        <v>67</v>
      </c>
      <c r="B843" t="s">
        <v>51</v>
      </c>
      <c r="C843">
        <v>55000</v>
      </c>
      <c r="D843" t="s">
        <v>34</v>
      </c>
      <c r="E843" t="s">
        <v>26</v>
      </c>
      <c r="F843" t="s">
        <v>40</v>
      </c>
      <c r="G843" s="2">
        <v>43881</v>
      </c>
      <c r="H843" t="s">
        <v>27</v>
      </c>
      <c r="I843" t="s">
        <v>39</v>
      </c>
      <c r="J843" t="s">
        <v>17</v>
      </c>
      <c r="K843" s="5" t="s">
        <v>46</v>
      </c>
      <c r="L843" s="6" cm="1">
        <f t="array" ref="L843">_xlfn.SWITCH(Table13_2[[#This Row],[Performance Score]],"A",6,"B",5,"C",4,"D",3,"E",2,"F",1)</f>
        <v>4</v>
      </c>
      <c r="M843" s="5">
        <f t="shared" si="13"/>
        <v>55000</v>
      </c>
    </row>
    <row r="844" spans="1:13" x14ac:dyDescent="0.3">
      <c r="A844" t="s">
        <v>49</v>
      </c>
      <c r="B844" t="s">
        <v>51</v>
      </c>
      <c r="C844">
        <v>50000</v>
      </c>
      <c r="D844" t="s">
        <v>34</v>
      </c>
      <c r="E844" t="s">
        <v>20</v>
      </c>
      <c r="F844" t="s">
        <v>14</v>
      </c>
      <c r="G844" s="2" t="s">
        <v>60</v>
      </c>
      <c r="H844" t="s">
        <v>27</v>
      </c>
      <c r="I844" t="s">
        <v>39</v>
      </c>
      <c r="J844" t="s">
        <v>42</v>
      </c>
      <c r="K844" s="5" t="s">
        <v>11</v>
      </c>
      <c r="L844" s="6" cm="1">
        <f t="array" ref="L844">_xlfn.SWITCH(Table13_2[[#This Row],[Performance Score]],"A",6,"B",5,"C",4,"D",3,"E",2,"F",1)</f>
        <v>4</v>
      </c>
      <c r="M844" s="5">
        <f t="shared" si="13"/>
        <v>50000</v>
      </c>
    </row>
    <row r="845" spans="1:13" x14ac:dyDescent="0.3">
      <c r="A845" t="s">
        <v>61</v>
      </c>
      <c r="B845" t="s">
        <v>63</v>
      </c>
      <c r="C845">
        <v>70000</v>
      </c>
      <c r="D845" t="s">
        <v>12</v>
      </c>
      <c r="E845" t="s">
        <v>26</v>
      </c>
      <c r="F845" t="s">
        <v>14</v>
      </c>
      <c r="G845" s="2">
        <v>43881</v>
      </c>
      <c r="H845" t="s">
        <v>38</v>
      </c>
      <c r="I845" t="s">
        <v>39</v>
      </c>
      <c r="J845" t="s">
        <v>17</v>
      </c>
      <c r="K845" s="5" t="s">
        <v>36</v>
      </c>
      <c r="L845" s="6" cm="1">
        <f t="array" ref="L845">_xlfn.SWITCH(Table13_2[[#This Row],[Performance Score]],"A",6,"B",5,"C",4,"D",3,"E",2,"F",1)</f>
        <v>5</v>
      </c>
      <c r="M845" s="5">
        <f t="shared" si="13"/>
        <v>70000</v>
      </c>
    </row>
    <row r="846" spans="1:13" x14ac:dyDescent="0.3">
      <c r="A846" t="s">
        <v>61</v>
      </c>
      <c r="B846">
        <v>25</v>
      </c>
      <c r="C846">
        <v>0</v>
      </c>
      <c r="D846" t="s">
        <v>12</v>
      </c>
      <c r="E846" t="s">
        <v>20</v>
      </c>
      <c r="F846" t="s">
        <v>40</v>
      </c>
      <c r="G846" s="2" t="s">
        <v>55</v>
      </c>
      <c r="H846" t="s">
        <v>38</v>
      </c>
      <c r="I846" t="s">
        <v>23</v>
      </c>
      <c r="J846" t="s">
        <v>28</v>
      </c>
      <c r="K846" s="5" t="s">
        <v>36</v>
      </c>
      <c r="L846" s="6" cm="1">
        <f t="array" ref="L846">_xlfn.SWITCH(Table13_2[[#This Row],[Performance Score]],"A",6,"B",5,"C",4,"D",3,"E",2,"F",1)</f>
        <v>5</v>
      </c>
      <c r="M846" s="5">
        <f t="shared" si="13"/>
        <v>48417.431192660551</v>
      </c>
    </row>
    <row r="847" spans="1:13" x14ac:dyDescent="0.3">
      <c r="A847" t="s">
        <v>53</v>
      </c>
      <c r="B847">
        <v>35</v>
      </c>
      <c r="C847">
        <v>65000</v>
      </c>
      <c r="D847" t="s">
        <v>12</v>
      </c>
      <c r="E847" t="s">
        <v>26</v>
      </c>
      <c r="F847" t="s">
        <v>21</v>
      </c>
      <c r="G847" s="2" t="s">
        <v>50</v>
      </c>
      <c r="H847" t="s">
        <v>22</v>
      </c>
      <c r="I847" t="s">
        <v>16</v>
      </c>
      <c r="J847" t="s">
        <v>24</v>
      </c>
      <c r="K847" s="5" t="s">
        <v>25</v>
      </c>
      <c r="L847" s="6" cm="1">
        <f t="array" ref="L847">_xlfn.SWITCH(Table13_2[[#This Row],[Performance Score]],"A",6,"B",5,"C",4,"D",3,"E",2,"F",1)</f>
        <v>1</v>
      </c>
      <c r="M847" s="5">
        <f t="shared" si="13"/>
        <v>65000</v>
      </c>
    </row>
    <row r="848" spans="1:13" x14ac:dyDescent="0.3">
      <c r="A848" t="s">
        <v>56</v>
      </c>
      <c r="B848">
        <v>25</v>
      </c>
      <c r="C848">
        <v>50000</v>
      </c>
      <c r="D848" t="s">
        <v>19</v>
      </c>
      <c r="E848" t="s">
        <v>35</v>
      </c>
      <c r="F848" t="s">
        <v>40</v>
      </c>
      <c r="G848" s="2">
        <v>43881</v>
      </c>
      <c r="H848" t="s">
        <v>15</v>
      </c>
      <c r="I848" t="s">
        <v>16</v>
      </c>
      <c r="J848" t="s">
        <v>28</v>
      </c>
      <c r="K848" s="5" t="s">
        <v>29</v>
      </c>
      <c r="L848" s="6" cm="1">
        <f t="array" ref="L848">_xlfn.SWITCH(Table13_2[[#This Row],[Performance Score]],"A",6,"B",5,"C",4,"D",3,"E",2,"F",1)</f>
        <v>3</v>
      </c>
      <c r="M848" s="5">
        <f t="shared" si="13"/>
        <v>50000</v>
      </c>
    </row>
    <row r="849" spans="1:13" x14ac:dyDescent="0.3">
      <c r="A849" t="s">
        <v>52</v>
      </c>
      <c r="B849" t="s">
        <v>51</v>
      </c>
      <c r="C849">
        <v>70000</v>
      </c>
      <c r="D849" t="s">
        <v>19</v>
      </c>
      <c r="E849" t="s">
        <v>30</v>
      </c>
      <c r="F849" t="s">
        <v>41</v>
      </c>
      <c r="G849" s="2">
        <v>43881</v>
      </c>
      <c r="H849" t="s">
        <v>31</v>
      </c>
      <c r="I849" t="s">
        <v>39</v>
      </c>
      <c r="J849" t="s">
        <v>42</v>
      </c>
      <c r="K849" s="5" t="s">
        <v>18</v>
      </c>
      <c r="L849" s="6" cm="1">
        <f t="array" ref="L849">_xlfn.SWITCH(Table13_2[[#This Row],[Performance Score]],"A",6,"B",5,"C",4,"D",3,"E",2,"F",1)</f>
        <v>6</v>
      </c>
      <c r="M849" s="5">
        <f t="shared" si="13"/>
        <v>70000</v>
      </c>
    </row>
    <row r="850" spans="1:13" x14ac:dyDescent="0.3">
      <c r="A850" t="s">
        <v>53</v>
      </c>
      <c r="B850" t="s">
        <v>63</v>
      </c>
      <c r="C850">
        <v>65000</v>
      </c>
      <c r="D850" t="s">
        <v>19</v>
      </c>
      <c r="E850" t="s">
        <v>35</v>
      </c>
      <c r="F850" t="s">
        <v>40</v>
      </c>
      <c r="G850" s="2">
        <v>43881</v>
      </c>
      <c r="H850" t="s">
        <v>31</v>
      </c>
      <c r="I850" t="s">
        <v>39</v>
      </c>
      <c r="J850" t="s">
        <v>42</v>
      </c>
      <c r="K850" s="5" t="s">
        <v>25</v>
      </c>
      <c r="L850" s="6" cm="1">
        <f t="array" ref="L850">_xlfn.SWITCH(Table13_2[[#This Row],[Performance Score]],"A",6,"B",5,"C",4,"D",3,"E",2,"F",1)</f>
        <v>6</v>
      </c>
      <c r="M850" s="5">
        <f t="shared" si="13"/>
        <v>65000</v>
      </c>
    </row>
    <row r="851" spans="1:13" x14ac:dyDescent="0.3">
      <c r="A851" t="s">
        <v>64</v>
      </c>
      <c r="B851">
        <v>40</v>
      </c>
      <c r="C851">
        <v>60000</v>
      </c>
      <c r="D851" t="s">
        <v>12</v>
      </c>
      <c r="E851" t="s">
        <v>13</v>
      </c>
      <c r="F851" t="s">
        <v>14</v>
      </c>
      <c r="G851" s="2" t="s">
        <v>55</v>
      </c>
      <c r="H851" t="s">
        <v>27</v>
      </c>
      <c r="I851" t="s">
        <v>32</v>
      </c>
      <c r="J851" t="s">
        <v>24</v>
      </c>
      <c r="K851" s="5" t="s">
        <v>43</v>
      </c>
      <c r="L851" s="6" cm="1">
        <f t="array" ref="L851">_xlfn.SWITCH(Table13_2[[#This Row],[Performance Score]],"A",6,"B",5,"C",4,"D",3,"E",2,"F",1)</f>
        <v>4</v>
      </c>
      <c r="M851" s="5">
        <f t="shared" si="13"/>
        <v>60000</v>
      </c>
    </row>
    <row r="852" spans="1:13" x14ac:dyDescent="0.3">
      <c r="A852" t="s">
        <v>65</v>
      </c>
      <c r="B852" t="s">
        <v>63</v>
      </c>
      <c r="C852">
        <v>65000</v>
      </c>
      <c r="D852" t="s">
        <v>34</v>
      </c>
      <c r="E852" t="s">
        <v>30</v>
      </c>
      <c r="F852" t="s">
        <v>40</v>
      </c>
      <c r="G852" s="2" t="s">
        <v>60</v>
      </c>
      <c r="H852" t="s">
        <v>22</v>
      </c>
      <c r="I852" t="s">
        <v>39</v>
      </c>
      <c r="J852" t="s">
        <v>17</v>
      </c>
      <c r="K852" s="5" t="s">
        <v>44</v>
      </c>
      <c r="L852" s="6" cm="1">
        <f t="array" ref="L852">_xlfn.SWITCH(Table13_2[[#This Row],[Performance Score]],"A",6,"B",5,"C",4,"D",3,"E",2,"F",1)</f>
        <v>1</v>
      </c>
      <c r="M852" s="5">
        <f t="shared" si="13"/>
        <v>65000</v>
      </c>
    </row>
    <row r="853" spans="1:13" x14ac:dyDescent="0.3">
      <c r="A853" t="s">
        <v>52</v>
      </c>
      <c r="B853" t="s">
        <v>51</v>
      </c>
      <c r="C853">
        <v>55000</v>
      </c>
      <c r="D853" t="s">
        <v>12</v>
      </c>
      <c r="E853" t="s">
        <v>35</v>
      </c>
      <c r="F853" t="s">
        <v>37</v>
      </c>
      <c r="G853" s="2">
        <v>43881</v>
      </c>
      <c r="H853" t="s">
        <v>27</v>
      </c>
      <c r="I853" t="s">
        <v>39</v>
      </c>
      <c r="J853" t="s">
        <v>17</v>
      </c>
      <c r="K853" s="5" t="s">
        <v>18</v>
      </c>
      <c r="L853" s="6" cm="1">
        <f t="array" ref="L853">_xlfn.SWITCH(Table13_2[[#This Row],[Performance Score]],"A",6,"B",5,"C",4,"D",3,"E",2,"F",1)</f>
        <v>4</v>
      </c>
      <c r="M853" s="5">
        <f t="shared" si="13"/>
        <v>55000</v>
      </c>
    </row>
    <row r="854" spans="1:13" x14ac:dyDescent="0.3">
      <c r="A854" t="s">
        <v>52</v>
      </c>
      <c r="B854" t="s">
        <v>63</v>
      </c>
      <c r="C854">
        <v>55000</v>
      </c>
      <c r="D854" t="s">
        <v>19</v>
      </c>
      <c r="E854" t="s">
        <v>13</v>
      </c>
      <c r="F854" t="s">
        <v>41</v>
      </c>
      <c r="G854" s="2" t="s">
        <v>55</v>
      </c>
      <c r="H854" t="s">
        <v>31</v>
      </c>
      <c r="I854" t="s">
        <v>39</v>
      </c>
      <c r="J854" t="s">
        <v>42</v>
      </c>
      <c r="K854" s="5" t="s">
        <v>18</v>
      </c>
      <c r="L854" s="6" cm="1">
        <f t="array" ref="L854">_xlfn.SWITCH(Table13_2[[#This Row],[Performance Score]],"A",6,"B",5,"C",4,"D",3,"E",2,"F",1)</f>
        <v>6</v>
      </c>
      <c r="M854" s="5">
        <f t="shared" si="13"/>
        <v>55000</v>
      </c>
    </row>
    <row r="855" spans="1:13" x14ac:dyDescent="0.3">
      <c r="A855" t="s">
        <v>64</v>
      </c>
      <c r="B855" t="s">
        <v>63</v>
      </c>
      <c r="C855">
        <v>60000</v>
      </c>
      <c r="D855" t="s">
        <v>19</v>
      </c>
      <c r="E855" t="s">
        <v>20</v>
      </c>
      <c r="F855" t="s">
        <v>40</v>
      </c>
      <c r="G855" s="2" t="s">
        <v>50</v>
      </c>
      <c r="H855" t="s">
        <v>38</v>
      </c>
      <c r="I855" t="s">
        <v>23</v>
      </c>
      <c r="J855" t="s">
        <v>24</v>
      </c>
      <c r="K855" s="5" t="s">
        <v>43</v>
      </c>
      <c r="L855" s="6" cm="1">
        <f t="array" ref="L855">_xlfn.SWITCH(Table13_2[[#This Row],[Performance Score]],"A",6,"B",5,"C",4,"D",3,"E",2,"F",1)</f>
        <v>5</v>
      </c>
      <c r="M855" s="5">
        <f t="shared" si="13"/>
        <v>60000</v>
      </c>
    </row>
    <row r="856" spans="1:13" x14ac:dyDescent="0.3">
      <c r="A856" t="s">
        <v>64</v>
      </c>
      <c r="B856" t="s">
        <v>51</v>
      </c>
      <c r="C856">
        <v>50000</v>
      </c>
      <c r="D856" t="s">
        <v>12</v>
      </c>
      <c r="E856" t="s">
        <v>20</v>
      </c>
      <c r="F856" t="s">
        <v>14</v>
      </c>
      <c r="G856" s="2" t="s">
        <v>62</v>
      </c>
      <c r="H856" t="s">
        <v>15</v>
      </c>
      <c r="I856" t="s">
        <v>23</v>
      </c>
      <c r="J856" t="s">
        <v>17</v>
      </c>
      <c r="K856" s="5" t="s">
        <v>43</v>
      </c>
      <c r="L856" s="6" cm="1">
        <f t="array" ref="L856">_xlfn.SWITCH(Table13_2[[#This Row],[Performance Score]],"A",6,"B",5,"C",4,"D",3,"E",2,"F",1)</f>
        <v>3</v>
      </c>
      <c r="M856" s="5">
        <f t="shared" si="13"/>
        <v>50000</v>
      </c>
    </row>
    <row r="857" spans="1:13" x14ac:dyDescent="0.3">
      <c r="A857" t="s">
        <v>66</v>
      </c>
      <c r="B857">
        <v>50</v>
      </c>
      <c r="C857">
        <v>70000</v>
      </c>
      <c r="D857" t="s">
        <v>12</v>
      </c>
      <c r="E857" t="s">
        <v>26</v>
      </c>
      <c r="F857" t="s">
        <v>41</v>
      </c>
      <c r="G857" s="2" t="s">
        <v>55</v>
      </c>
      <c r="H857" t="s">
        <v>22</v>
      </c>
      <c r="I857" t="s">
        <v>16</v>
      </c>
      <c r="J857" t="s">
        <v>17</v>
      </c>
      <c r="K857" s="5" t="s">
        <v>45</v>
      </c>
      <c r="L857" s="6" cm="1">
        <f t="array" ref="L857">_xlfn.SWITCH(Table13_2[[#This Row],[Performance Score]],"A",6,"B",5,"C",4,"D",3,"E",2,"F",1)</f>
        <v>1</v>
      </c>
      <c r="M857" s="5">
        <f t="shared" si="13"/>
        <v>70000</v>
      </c>
    </row>
    <row r="858" spans="1:13" x14ac:dyDescent="0.3">
      <c r="A858" t="s">
        <v>53</v>
      </c>
      <c r="B858" t="s">
        <v>63</v>
      </c>
      <c r="C858">
        <v>65000</v>
      </c>
      <c r="D858" t="s">
        <v>19</v>
      </c>
      <c r="E858" t="s">
        <v>30</v>
      </c>
      <c r="F858" t="s">
        <v>14</v>
      </c>
      <c r="G858" s="2" t="s">
        <v>62</v>
      </c>
      <c r="H858" t="s">
        <v>38</v>
      </c>
      <c r="I858" t="s">
        <v>16</v>
      </c>
      <c r="J858" t="s">
        <v>42</v>
      </c>
      <c r="K858" s="5" t="s">
        <v>25</v>
      </c>
      <c r="L858" s="6" cm="1">
        <f t="array" ref="L858">_xlfn.SWITCH(Table13_2[[#This Row],[Performance Score]],"A",6,"B",5,"C",4,"D",3,"E",2,"F",1)</f>
        <v>5</v>
      </c>
      <c r="M858" s="5">
        <f t="shared" si="13"/>
        <v>65000</v>
      </c>
    </row>
    <row r="859" spans="1:13" x14ac:dyDescent="0.3">
      <c r="A859" t="s">
        <v>64</v>
      </c>
      <c r="B859">
        <v>35</v>
      </c>
      <c r="C859">
        <v>55000</v>
      </c>
      <c r="D859" t="s">
        <v>19</v>
      </c>
      <c r="E859" t="s">
        <v>20</v>
      </c>
      <c r="F859" t="s">
        <v>21</v>
      </c>
      <c r="G859" s="2">
        <v>43881</v>
      </c>
      <c r="H859" t="s">
        <v>15</v>
      </c>
      <c r="I859" t="s">
        <v>32</v>
      </c>
      <c r="J859" t="s">
        <v>24</v>
      </c>
      <c r="K859" s="5" t="s">
        <v>43</v>
      </c>
      <c r="L859" s="6" cm="1">
        <f t="array" ref="L859">_xlfn.SWITCH(Table13_2[[#This Row],[Performance Score]],"A",6,"B",5,"C",4,"D",3,"E",2,"F",1)</f>
        <v>3</v>
      </c>
      <c r="M859" s="5">
        <f t="shared" si="13"/>
        <v>55000</v>
      </c>
    </row>
    <row r="860" spans="1:13" x14ac:dyDescent="0.3">
      <c r="A860" t="s">
        <v>61</v>
      </c>
      <c r="B860">
        <v>35</v>
      </c>
      <c r="C860">
        <v>50000</v>
      </c>
      <c r="D860" t="s">
        <v>19</v>
      </c>
      <c r="E860" t="s">
        <v>30</v>
      </c>
      <c r="F860" t="s">
        <v>37</v>
      </c>
      <c r="G860" s="2">
        <v>43881</v>
      </c>
      <c r="H860" t="s">
        <v>22</v>
      </c>
      <c r="I860" t="s">
        <v>32</v>
      </c>
      <c r="J860" t="s">
        <v>24</v>
      </c>
      <c r="K860" s="5" t="s">
        <v>36</v>
      </c>
      <c r="L860" s="6" cm="1">
        <f t="array" ref="L860">_xlfn.SWITCH(Table13_2[[#This Row],[Performance Score]],"A",6,"B",5,"C",4,"D",3,"E",2,"F",1)</f>
        <v>1</v>
      </c>
      <c r="M860" s="5">
        <f t="shared" si="13"/>
        <v>50000</v>
      </c>
    </row>
    <row r="861" spans="1:13" x14ac:dyDescent="0.3">
      <c r="A861" t="s">
        <v>67</v>
      </c>
      <c r="B861" t="s">
        <v>63</v>
      </c>
      <c r="C861">
        <v>60000</v>
      </c>
      <c r="D861" t="s">
        <v>12</v>
      </c>
      <c r="E861" t="s">
        <v>20</v>
      </c>
      <c r="F861" t="s">
        <v>21</v>
      </c>
      <c r="G861" s="2" t="s">
        <v>55</v>
      </c>
      <c r="H861" t="s">
        <v>22</v>
      </c>
      <c r="I861" t="s">
        <v>32</v>
      </c>
      <c r="J861" t="s">
        <v>24</v>
      </c>
      <c r="K861" s="5" t="s">
        <v>46</v>
      </c>
      <c r="L861" s="6" cm="1">
        <f t="array" ref="L861">_xlfn.SWITCH(Table13_2[[#This Row],[Performance Score]],"A",6,"B",5,"C",4,"D",3,"E",2,"F",1)</f>
        <v>1</v>
      </c>
      <c r="M861" s="5">
        <f t="shared" si="13"/>
        <v>60000</v>
      </c>
    </row>
    <row r="862" spans="1:13" x14ac:dyDescent="0.3">
      <c r="A862" t="s">
        <v>65</v>
      </c>
      <c r="B862">
        <v>50</v>
      </c>
      <c r="C862">
        <v>0</v>
      </c>
      <c r="D862" t="s">
        <v>19</v>
      </c>
      <c r="E862" t="s">
        <v>26</v>
      </c>
      <c r="F862" t="s">
        <v>37</v>
      </c>
      <c r="G862" s="2" t="s">
        <v>62</v>
      </c>
      <c r="H862" t="s">
        <v>31</v>
      </c>
      <c r="I862" t="s">
        <v>32</v>
      </c>
      <c r="J862" t="s">
        <v>42</v>
      </c>
      <c r="K862" s="5" t="s">
        <v>44</v>
      </c>
      <c r="L862" s="6" cm="1">
        <f t="array" ref="L862">_xlfn.SWITCH(Table13_2[[#This Row],[Performance Score]],"A",6,"B",5,"C",4,"D",3,"E",2,"F",1)</f>
        <v>6</v>
      </c>
      <c r="M862" s="5">
        <f t="shared" si="13"/>
        <v>50742.574257425746</v>
      </c>
    </row>
    <row r="863" spans="1:13" x14ac:dyDescent="0.3">
      <c r="A863" t="s">
        <v>53</v>
      </c>
      <c r="B863">
        <v>40</v>
      </c>
      <c r="C863">
        <v>55000</v>
      </c>
      <c r="D863" t="s">
        <v>19</v>
      </c>
      <c r="E863" t="s">
        <v>35</v>
      </c>
      <c r="F863" t="s">
        <v>40</v>
      </c>
      <c r="G863" s="2">
        <v>43881</v>
      </c>
      <c r="H863" t="s">
        <v>38</v>
      </c>
      <c r="I863" t="s">
        <v>39</v>
      </c>
      <c r="J863" t="s">
        <v>17</v>
      </c>
      <c r="K863" s="5" t="s">
        <v>25</v>
      </c>
      <c r="L863" s="6" cm="1">
        <f t="array" ref="L863">_xlfn.SWITCH(Table13_2[[#This Row],[Performance Score]],"A",6,"B",5,"C",4,"D",3,"E",2,"F",1)</f>
        <v>5</v>
      </c>
      <c r="M863" s="5">
        <f t="shared" si="13"/>
        <v>55000</v>
      </c>
    </row>
    <row r="864" spans="1:13" x14ac:dyDescent="0.3">
      <c r="A864" t="s">
        <v>59</v>
      </c>
      <c r="B864" t="s">
        <v>51</v>
      </c>
      <c r="C864">
        <v>60000</v>
      </c>
      <c r="D864" t="s">
        <v>34</v>
      </c>
      <c r="E864" t="s">
        <v>26</v>
      </c>
      <c r="F864" t="s">
        <v>41</v>
      </c>
      <c r="G864" s="2" t="s">
        <v>50</v>
      </c>
      <c r="H864" t="s">
        <v>22</v>
      </c>
      <c r="I864" t="s">
        <v>39</v>
      </c>
      <c r="J864" t="s">
        <v>24</v>
      </c>
      <c r="K864" s="5" t="s">
        <v>33</v>
      </c>
      <c r="L864" s="6" cm="1">
        <f t="array" ref="L864">_xlfn.SWITCH(Table13_2[[#This Row],[Performance Score]],"A",6,"B",5,"C",4,"D",3,"E",2,"F",1)</f>
        <v>1</v>
      </c>
      <c r="M864" s="5">
        <f t="shared" si="13"/>
        <v>60000</v>
      </c>
    </row>
    <row r="865" spans="1:13" x14ac:dyDescent="0.3">
      <c r="A865" t="s">
        <v>61</v>
      </c>
      <c r="B865">
        <v>35</v>
      </c>
      <c r="C865">
        <v>65000</v>
      </c>
      <c r="D865" t="s">
        <v>12</v>
      </c>
      <c r="E865" t="s">
        <v>13</v>
      </c>
      <c r="F865" t="s">
        <v>40</v>
      </c>
      <c r="G865" s="2" t="s">
        <v>60</v>
      </c>
      <c r="H865" t="s">
        <v>22</v>
      </c>
      <c r="I865" t="s">
        <v>16</v>
      </c>
      <c r="J865" t="s">
        <v>17</v>
      </c>
      <c r="K865" s="5" t="s">
        <v>36</v>
      </c>
      <c r="L865" s="6" cm="1">
        <f t="array" ref="L865">_xlfn.SWITCH(Table13_2[[#This Row],[Performance Score]],"A",6,"B",5,"C",4,"D",3,"E",2,"F",1)</f>
        <v>1</v>
      </c>
      <c r="M865" s="5">
        <f t="shared" si="13"/>
        <v>65000</v>
      </c>
    </row>
    <row r="866" spans="1:13" x14ac:dyDescent="0.3">
      <c r="A866" t="s">
        <v>56</v>
      </c>
      <c r="B866">
        <v>40</v>
      </c>
      <c r="C866">
        <v>70000</v>
      </c>
      <c r="D866" t="s">
        <v>34</v>
      </c>
      <c r="E866" t="s">
        <v>20</v>
      </c>
      <c r="F866" t="s">
        <v>37</v>
      </c>
      <c r="G866" s="2" t="s">
        <v>60</v>
      </c>
      <c r="H866" t="s">
        <v>15</v>
      </c>
      <c r="I866" t="s">
        <v>23</v>
      </c>
      <c r="J866" t="s">
        <v>24</v>
      </c>
      <c r="K866" s="5" t="s">
        <v>29</v>
      </c>
      <c r="L866" s="6" cm="1">
        <f t="array" ref="L866">_xlfn.SWITCH(Table13_2[[#This Row],[Performance Score]],"A",6,"B",5,"C",4,"D",3,"E",2,"F",1)</f>
        <v>3</v>
      </c>
      <c r="M866" s="5">
        <f t="shared" si="13"/>
        <v>70000</v>
      </c>
    </row>
    <row r="867" spans="1:13" x14ac:dyDescent="0.3">
      <c r="A867" t="s">
        <v>64</v>
      </c>
      <c r="B867" t="s">
        <v>63</v>
      </c>
      <c r="C867">
        <v>55000</v>
      </c>
      <c r="D867" t="s">
        <v>34</v>
      </c>
      <c r="E867" t="s">
        <v>13</v>
      </c>
      <c r="F867" t="s">
        <v>37</v>
      </c>
      <c r="G867" s="2">
        <v>43881</v>
      </c>
      <c r="H867" t="s">
        <v>31</v>
      </c>
      <c r="I867" t="s">
        <v>23</v>
      </c>
      <c r="J867" t="s">
        <v>17</v>
      </c>
      <c r="K867" s="5" t="s">
        <v>43</v>
      </c>
      <c r="L867" s="6" cm="1">
        <f t="array" ref="L867">_xlfn.SWITCH(Table13_2[[#This Row],[Performance Score]],"A",6,"B",5,"C",4,"D",3,"E",2,"F",1)</f>
        <v>6</v>
      </c>
      <c r="M867" s="5">
        <f t="shared" si="13"/>
        <v>55000</v>
      </c>
    </row>
    <row r="868" spans="1:13" x14ac:dyDescent="0.3">
      <c r="A868" t="s">
        <v>59</v>
      </c>
      <c r="B868">
        <v>40</v>
      </c>
      <c r="C868">
        <v>55000</v>
      </c>
      <c r="D868" t="s">
        <v>19</v>
      </c>
      <c r="E868" t="s">
        <v>13</v>
      </c>
      <c r="F868" t="s">
        <v>37</v>
      </c>
      <c r="G868" s="2" t="s">
        <v>62</v>
      </c>
      <c r="H868" t="s">
        <v>27</v>
      </c>
      <c r="I868" t="s">
        <v>39</v>
      </c>
      <c r="J868" t="s">
        <v>42</v>
      </c>
      <c r="K868" s="5" t="s">
        <v>33</v>
      </c>
      <c r="L868" s="6" cm="1">
        <f t="array" ref="L868">_xlfn.SWITCH(Table13_2[[#This Row],[Performance Score]],"A",6,"B",5,"C",4,"D",3,"E",2,"F",1)</f>
        <v>4</v>
      </c>
      <c r="M868" s="5">
        <f t="shared" si="13"/>
        <v>55000</v>
      </c>
    </row>
    <row r="869" spans="1:13" x14ac:dyDescent="0.3">
      <c r="A869" t="s">
        <v>64</v>
      </c>
      <c r="B869">
        <v>25</v>
      </c>
      <c r="C869">
        <v>65000</v>
      </c>
      <c r="D869" t="s">
        <v>12</v>
      </c>
      <c r="E869" t="s">
        <v>30</v>
      </c>
      <c r="F869" t="s">
        <v>14</v>
      </c>
      <c r="G869" s="2">
        <v>43881</v>
      </c>
      <c r="H869" t="s">
        <v>31</v>
      </c>
      <c r="I869" t="s">
        <v>39</v>
      </c>
      <c r="J869" t="s">
        <v>24</v>
      </c>
      <c r="K869" s="5" t="s">
        <v>43</v>
      </c>
      <c r="L869" s="6" cm="1">
        <f t="array" ref="L869">_xlfn.SWITCH(Table13_2[[#This Row],[Performance Score]],"A",6,"B",5,"C",4,"D",3,"E",2,"F",1)</f>
        <v>6</v>
      </c>
      <c r="M869" s="5">
        <f t="shared" si="13"/>
        <v>65000</v>
      </c>
    </row>
    <row r="870" spans="1:13" x14ac:dyDescent="0.3">
      <c r="A870" t="s">
        <v>52</v>
      </c>
      <c r="B870">
        <v>35</v>
      </c>
      <c r="C870">
        <v>0</v>
      </c>
      <c r="D870" t="s">
        <v>19</v>
      </c>
      <c r="E870" t="s">
        <v>20</v>
      </c>
      <c r="F870" t="s">
        <v>41</v>
      </c>
      <c r="G870" s="2" t="s">
        <v>62</v>
      </c>
      <c r="H870" t="s">
        <v>27</v>
      </c>
      <c r="I870" t="s">
        <v>32</v>
      </c>
      <c r="J870" t="s">
        <v>24</v>
      </c>
      <c r="K870" s="5" t="s">
        <v>18</v>
      </c>
      <c r="L870" s="6" cm="1">
        <f t="array" ref="L870">_xlfn.SWITCH(Table13_2[[#This Row],[Performance Score]],"A",6,"B",5,"C",4,"D",3,"E",2,"F",1)</f>
        <v>4</v>
      </c>
      <c r="M870" s="5">
        <f t="shared" si="13"/>
        <v>48417.431192660551</v>
      </c>
    </row>
    <row r="871" spans="1:13" x14ac:dyDescent="0.3">
      <c r="A871" t="s">
        <v>61</v>
      </c>
      <c r="B871" t="s">
        <v>63</v>
      </c>
      <c r="C871">
        <v>50000</v>
      </c>
      <c r="D871" t="s">
        <v>12</v>
      </c>
      <c r="E871" t="s">
        <v>13</v>
      </c>
      <c r="F871" t="s">
        <v>40</v>
      </c>
      <c r="G871" s="2" t="s">
        <v>50</v>
      </c>
      <c r="H871" t="s">
        <v>38</v>
      </c>
      <c r="I871" t="s">
        <v>32</v>
      </c>
      <c r="J871" t="s">
        <v>17</v>
      </c>
      <c r="K871" s="5" t="s">
        <v>36</v>
      </c>
      <c r="L871" s="6" cm="1">
        <f t="array" ref="L871">_xlfn.SWITCH(Table13_2[[#This Row],[Performance Score]],"A",6,"B",5,"C",4,"D",3,"E",2,"F",1)</f>
        <v>5</v>
      </c>
      <c r="M871" s="5">
        <f t="shared" si="13"/>
        <v>50000</v>
      </c>
    </row>
    <row r="872" spans="1:13" x14ac:dyDescent="0.3">
      <c r="A872" t="s">
        <v>52</v>
      </c>
      <c r="B872" t="s">
        <v>51</v>
      </c>
      <c r="C872">
        <v>70000</v>
      </c>
      <c r="D872" t="s">
        <v>34</v>
      </c>
      <c r="E872" t="s">
        <v>35</v>
      </c>
      <c r="F872" t="s">
        <v>40</v>
      </c>
      <c r="G872" s="2" t="s">
        <v>62</v>
      </c>
      <c r="H872" t="s">
        <v>38</v>
      </c>
      <c r="I872" t="s">
        <v>39</v>
      </c>
      <c r="J872" t="s">
        <v>17</v>
      </c>
      <c r="K872" s="5" t="s">
        <v>18</v>
      </c>
      <c r="L872" s="6" cm="1">
        <f t="array" ref="L872">_xlfn.SWITCH(Table13_2[[#This Row],[Performance Score]],"A",6,"B",5,"C",4,"D",3,"E",2,"F",1)</f>
        <v>5</v>
      </c>
      <c r="M872" s="5">
        <f t="shared" si="13"/>
        <v>70000</v>
      </c>
    </row>
    <row r="873" spans="1:13" x14ac:dyDescent="0.3">
      <c r="A873" t="s">
        <v>66</v>
      </c>
      <c r="B873">
        <v>50</v>
      </c>
      <c r="C873">
        <v>55000</v>
      </c>
      <c r="D873" t="s">
        <v>12</v>
      </c>
      <c r="E873" t="s">
        <v>13</v>
      </c>
      <c r="F873" t="s">
        <v>21</v>
      </c>
      <c r="G873" s="2">
        <v>43881</v>
      </c>
      <c r="H873" t="s">
        <v>22</v>
      </c>
      <c r="I873" t="s">
        <v>23</v>
      </c>
      <c r="J873" t="s">
        <v>24</v>
      </c>
      <c r="K873" s="5" t="s">
        <v>45</v>
      </c>
      <c r="L873" s="6" cm="1">
        <f t="array" ref="L873">_xlfn.SWITCH(Table13_2[[#This Row],[Performance Score]],"A",6,"B",5,"C",4,"D",3,"E",2,"F",1)</f>
        <v>1</v>
      </c>
      <c r="M873" s="5">
        <f t="shared" si="13"/>
        <v>55000</v>
      </c>
    </row>
    <row r="874" spans="1:13" x14ac:dyDescent="0.3">
      <c r="A874" t="s">
        <v>52</v>
      </c>
      <c r="B874" t="s">
        <v>63</v>
      </c>
      <c r="C874">
        <v>70000</v>
      </c>
      <c r="D874" t="s">
        <v>19</v>
      </c>
      <c r="E874" t="s">
        <v>35</v>
      </c>
      <c r="F874" t="s">
        <v>37</v>
      </c>
      <c r="G874" s="2" t="s">
        <v>50</v>
      </c>
      <c r="H874" t="s">
        <v>38</v>
      </c>
      <c r="I874" t="s">
        <v>32</v>
      </c>
      <c r="J874" t="s">
        <v>24</v>
      </c>
      <c r="K874" s="5" t="s">
        <v>18</v>
      </c>
      <c r="L874" s="6" cm="1">
        <f t="array" ref="L874">_xlfn.SWITCH(Table13_2[[#This Row],[Performance Score]],"A",6,"B",5,"C",4,"D",3,"E",2,"F",1)</f>
        <v>5</v>
      </c>
      <c r="M874" s="5">
        <f t="shared" si="13"/>
        <v>70000</v>
      </c>
    </row>
    <row r="875" spans="1:13" x14ac:dyDescent="0.3">
      <c r="A875" t="s">
        <v>66</v>
      </c>
      <c r="B875" t="s">
        <v>51</v>
      </c>
      <c r="C875">
        <v>55000</v>
      </c>
      <c r="D875" t="s">
        <v>19</v>
      </c>
      <c r="E875" t="s">
        <v>30</v>
      </c>
      <c r="F875" t="s">
        <v>37</v>
      </c>
      <c r="G875" s="2" t="s">
        <v>55</v>
      </c>
      <c r="H875" t="s">
        <v>22</v>
      </c>
      <c r="I875" t="s">
        <v>23</v>
      </c>
      <c r="J875" t="s">
        <v>17</v>
      </c>
      <c r="K875" s="5" t="s">
        <v>45</v>
      </c>
      <c r="L875" s="6" cm="1">
        <f t="array" ref="L875">_xlfn.SWITCH(Table13_2[[#This Row],[Performance Score]],"A",6,"B",5,"C",4,"D",3,"E",2,"F",1)</f>
        <v>1</v>
      </c>
      <c r="M875" s="5">
        <f t="shared" si="13"/>
        <v>55000</v>
      </c>
    </row>
    <row r="876" spans="1:13" x14ac:dyDescent="0.3">
      <c r="A876" t="s">
        <v>66</v>
      </c>
      <c r="B876">
        <v>50</v>
      </c>
      <c r="C876">
        <v>70000</v>
      </c>
      <c r="D876" t="s">
        <v>19</v>
      </c>
      <c r="E876" t="s">
        <v>13</v>
      </c>
      <c r="F876" t="s">
        <v>37</v>
      </c>
      <c r="G876" s="2" t="s">
        <v>60</v>
      </c>
      <c r="H876" t="s">
        <v>31</v>
      </c>
      <c r="I876" t="s">
        <v>39</v>
      </c>
      <c r="J876" t="s">
        <v>17</v>
      </c>
      <c r="K876" s="5" t="s">
        <v>45</v>
      </c>
      <c r="L876" s="6" cm="1">
        <f t="array" ref="L876">_xlfn.SWITCH(Table13_2[[#This Row],[Performance Score]],"A",6,"B",5,"C",4,"D",3,"E",2,"F",1)</f>
        <v>6</v>
      </c>
      <c r="M876" s="5">
        <f t="shared" si="13"/>
        <v>70000</v>
      </c>
    </row>
    <row r="877" spans="1:13" x14ac:dyDescent="0.3">
      <c r="A877" t="s">
        <v>59</v>
      </c>
      <c r="B877">
        <v>50</v>
      </c>
      <c r="C877">
        <v>60000</v>
      </c>
      <c r="D877" t="s">
        <v>12</v>
      </c>
      <c r="E877" t="s">
        <v>26</v>
      </c>
      <c r="F877" t="s">
        <v>40</v>
      </c>
      <c r="G877" s="2">
        <v>43881</v>
      </c>
      <c r="H877" t="s">
        <v>38</v>
      </c>
      <c r="I877" t="s">
        <v>23</v>
      </c>
      <c r="J877" t="s">
        <v>28</v>
      </c>
      <c r="K877" s="5" t="s">
        <v>33</v>
      </c>
      <c r="L877" s="6" cm="1">
        <f t="array" ref="L877">_xlfn.SWITCH(Table13_2[[#This Row],[Performance Score]],"A",6,"B",5,"C",4,"D",3,"E",2,"F",1)</f>
        <v>5</v>
      </c>
      <c r="M877" s="5">
        <f t="shared" si="13"/>
        <v>60000</v>
      </c>
    </row>
    <row r="878" spans="1:13" x14ac:dyDescent="0.3">
      <c r="A878" t="s">
        <v>64</v>
      </c>
      <c r="B878" t="s">
        <v>63</v>
      </c>
      <c r="C878">
        <v>55000</v>
      </c>
      <c r="D878" t="s">
        <v>34</v>
      </c>
      <c r="E878" t="s">
        <v>30</v>
      </c>
      <c r="F878" t="s">
        <v>21</v>
      </c>
      <c r="G878" s="2">
        <v>43881</v>
      </c>
      <c r="H878" t="s">
        <v>31</v>
      </c>
      <c r="I878" t="s">
        <v>23</v>
      </c>
      <c r="J878" t="s">
        <v>28</v>
      </c>
      <c r="K878" s="5" t="s">
        <v>43</v>
      </c>
      <c r="L878" s="6" cm="1">
        <f t="array" ref="L878">_xlfn.SWITCH(Table13_2[[#This Row],[Performance Score]],"A",6,"B",5,"C",4,"D",3,"E",2,"F",1)</f>
        <v>6</v>
      </c>
      <c r="M878" s="5">
        <f t="shared" si="13"/>
        <v>55000</v>
      </c>
    </row>
    <row r="879" spans="1:13" x14ac:dyDescent="0.3">
      <c r="A879" t="s">
        <v>56</v>
      </c>
      <c r="B879">
        <v>40</v>
      </c>
      <c r="C879">
        <v>70000</v>
      </c>
      <c r="D879" t="s">
        <v>34</v>
      </c>
      <c r="E879" t="s">
        <v>35</v>
      </c>
      <c r="F879" t="s">
        <v>14</v>
      </c>
      <c r="G879" s="2">
        <v>43881</v>
      </c>
      <c r="H879" t="s">
        <v>31</v>
      </c>
      <c r="I879" t="s">
        <v>23</v>
      </c>
      <c r="J879" t="s">
        <v>24</v>
      </c>
      <c r="K879" s="5" t="s">
        <v>29</v>
      </c>
      <c r="L879" s="6" cm="1">
        <f t="array" ref="L879">_xlfn.SWITCH(Table13_2[[#This Row],[Performance Score]],"A",6,"B",5,"C",4,"D",3,"E",2,"F",1)</f>
        <v>6</v>
      </c>
      <c r="M879" s="5">
        <f t="shared" si="13"/>
        <v>70000</v>
      </c>
    </row>
    <row r="880" spans="1:13" x14ac:dyDescent="0.3">
      <c r="A880" t="s">
        <v>52</v>
      </c>
      <c r="B880">
        <v>40</v>
      </c>
      <c r="C880">
        <v>50000</v>
      </c>
      <c r="D880" t="s">
        <v>12</v>
      </c>
      <c r="E880" t="s">
        <v>30</v>
      </c>
      <c r="F880" t="s">
        <v>41</v>
      </c>
      <c r="G880" s="2" t="s">
        <v>50</v>
      </c>
      <c r="H880" t="s">
        <v>38</v>
      </c>
      <c r="I880" t="s">
        <v>32</v>
      </c>
      <c r="J880" t="s">
        <v>17</v>
      </c>
      <c r="K880" s="5" t="s">
        <v>18</v>
      </c>
      <c r="L880" s="6" cm="1">
        <f t="array" ref="L880">_xlfn.SWITCH(Table13_2[[#This Row],[Performance Score]],"A",6,"B",5,"C",4,"D",3,"E",2,"F",1)</f>
        <v>5</v>
      </c>
      <c r="M880" s="5">
        <f t="shared" si="13"/>
        <v>50000</v>
      </c>
    </row>
    <row r="881" spans="1:13" x14ac:dyDescent="0.3">
      <c r="A881" t="s">
        <v>61</v>
      </c>
      <c r="B881">
        <v>50</v>
      </c>
      <c r="C881">
        <v>60000</v>
      </c>
      <c r="D881" t="s">
        <v>19</v>
      </c>
      <c r="E881" t="s">
        <v>13</v>
      </c>
      <c r="F881" t="s">
        <v>14</v>
      </c>
      <c r="G881" s="2" t="s">
        <v>55</v>
      </c>
      <c r="H881" t="s">
        <v>31</v>
      </c>
      <c r="I881" t="s">
        <v>16</v>
      </c>
      <c r="J881" t="s">
        <v>42</v>
      </c>
      <c r="K881" s="5" t="s">
        <v>36</v>
      </c>
      <c r="L881" s="6" cm="1">
        <f t="array" ref="L881">_xlfn.SWITCH(Table13_2[[#This Row],[Performance Score]],"A",6,"B",5,"C",4,"D",3,"E",2,"F",1)</f>
        <v>6</v>
      </c>
      <c r="M881" s="5">
        <f t="shared" si="13"/>
        <v>60000</v>
      </c>
    </row>
    <row r="882" spans="1:13" x14ac:dyDescent="0.3">
      <c r="A882" t="s">
        <v>66</v>
      </c>
      <c r="B882">
        <v>40</v>
      </c>
      <c r="C882">
        <v>60000</v>
      </c>
      <c r="D882" t="s">
        <v>34</v>
      </c>
      <c r="E882" t="s">
        <v>20</v>
      </c>
      <c r="F882" t="s">
        <v>40</v>
      </c>
      <c r="G882" s="2" t="s">
        <v>62</v>
      </c>
      <c r="H882" t="s">
        <v>38</v>
      </c>
      <c r="I882" t="s">
        <v>39</v>
      </c>
      <c r="J882" t="s">
        <v>42</v>
      </c>
      <c r="K882" s="5" t="s">
        <v>45</v>
      </c>
      <c r="L882" s="6" cm="1">
        <f t="array" ref="L882">_xlfn.SWITCH(Table13_2[[#This Row],[Performance Score]],"A",6,"B",5,"C",4,"D",3,"E",2,"F",1)</f>
        <v>5</v>
      </c>
      <c r="M882" s="5">
        <f t="shared" si="13"/>
        <v>60000</v>
      </c>
    </row>
    <row r="883" spans="1:13" x14ac:dyDescent="0.3">
      <c r="A883" t="s">
        <v>64</v>
      </c>
      <c r="B883">
        <v>25</v>
      </c>
      <c r="C883">
        <v>50000</v>
      </c>
      <c r="D883" t="s">
        <v>19</v>
      </c>
      <c r="E883" t="s">
        <v>20</v>
      </c>
      <c r="F883" t="s">
        <v>37</v>
      </c>
      <c r="G883" s="2" t="s">
        <v>55</v>
      </c>
      <c r="H883" t="s">
        <v>38</v>
      </c>
      <c r="I883" t="s">
        <v>23</v>
      </c>
      <c r="J883" t="s">
        <v>28</v>
      </c>
      <c r="K883" s="5" t="s">
        <v>43</v>
      </c>
      <c r="L883" s="6" cm="1">
        <f t="array" ref="L883">_xlfn.SWITCH(Table13_2[[#This Row],[Performance Score]],"A",6,"B",5,"C",4,"D",3,"E",2,"F",1)</f>
        <v>5</v>
      </c>
      <c r="M883" s="5">
        <f t="shared" si="13"/>
        <v>50000</v>
      </c>
    </row>
    <row r="884" spans="1:13" x14ac:dyDescent="0.3">
      <c r="A884" t="s">
        <v>65</v>
      </c>
      <c r="B884">
        <v>50</v>
      </c>
      <c r="C884">
        <v>70000</v>
      </c>
      <c r="D884" t="s">
        <v>12</v>
      </c>
      <c r="E884" t="s">
        <v>35</v>
      </c>
      <c r="F884" t="s">
        <v>41</v>
      </c>
      <c r="G884" s="2" t="s">
        <v>50</v>
      </c>
      <c r="H884" t="s">
        <v>38</v>
      </c>
      <c r="I884" t="s">
        <v>23</v>
      </c>
      <c r="J884" t="s">
        <v>17</v>
      </c>
      <c r="K884" s="5" t="s">
        <v>44</v>
      </c>
      <c r="L884" s="6" cm="1">
        <f t="array" ref="L884">_xlfn.SWITCH(Table13_2[[#This Row],[Performance Score]],"A",6,"B",5,"C",4,"D",3,"E",2,"F",1)</f>
        <v>5</v>
      </c>
      <c r="M884" s="5">
        <f t="shared" si="13"/>
        <v>70000</v>
      </c>
    </row>
    <row r="885" spans="1:13" x14ac:dyDescent="0.3">
      <c r="A885" t="s">
        <v>53</v>
      </c>
      <c r="B885">
        <v>50</v>
      </c>
      <c r="C885">
        <v>65000</v>
      </c>
      <c r="D885" t="s">
        <v>19</v>
      </c>
      <c r="E885" t="s">
        <v>35</v>
      </c>
      <c r="F885" t="s">
        <v>40</v>
      </c>
      <c r="G885" s="2">
        <v>43881</v>
      </c>
      <c r="H885" t="s">
        <v>27</v>
      </c>
      <c r="I885" t="s">
        <v>23</v>
      </c>
      <c r="J885" t="s">
        <v>28</v>
      </c>
      <c r="K885" s="5" t="s">
        <v>25</v>
      </c>
      <c r="L885" s="6" cm="1">
        <f t="array" ref="L885">_xlfn.SWITCH(Table13_2[[#This Row],[Performance Score]],"A",6,"B",5,"C",4,"D",3,"E",2,"F",1)</f>
        <v>4</v>
      </c>
      <c r="M885" s="5">
        <f t="shared" si="13"/>
        <v>65000</v>
      </c>
    </row>
    <row r="886" spans="1:13" x14ac:dyDescent="0.3">
      <c r="A886" t="s">
        <v>59</v>
      </c>
      <c r="B886" t="s">
        <v>51</v>
      </c>
      <c r="C886">
        <v>50000</v>
      </c>
      <c r="D886" t="s">
        <v>34</v>
      </c>
      <c r="E886" t="s">
        <v>20</v>
      </c>
      <c r="F886" t="s">
        <v>40</v>
      </c>
      <c r="G886" s="2" t="s">
        <v>60</v>
      </c>
      <c r="H886" t="s">
        <v>31</v>
      </c>
      <c r="I886" t="s">
        <v>16</v>
      </c>
      <c r="J886" t="s">
        <v>24</v>
      </c>
      <c r="K886" s="5" t="s">
        <v>33</v>
      </c>
      <c r="L886" s="6" cm="1">
        <f t="array" ref="L886">_xlfn.SWITCH(Table13_2[[#This Row],[Performance Score]],"A",6,"B",5,"C",4,"D",3,"E",2,"F",1)</f>
        <v>6</v>
      </c>
      <c r="M886" s="5">
        <f t="shared" si="13"/>
        <v>50000</v>
      </c>
    </row>
    <row r="887" spans="1:13" x14ac:dyDescent="0.3">
      <c r="A887" t="s">
        <v>56</v>
      </c>
      <c r="B887">
        <v>40</v>
      </c>
      <c r="C887">
        <v>70000</v>
      </c>
      <c r="D887" t="s">
        <v>34</v>
      </c>
      <c r="E887" t="s">
        <v>35</v>
      </c>
      <c r="F887" t="s">
        <v>40</v>
      </c>
      <c r="G887" s="2">
        <v>43881</v>
      </c>
      <c r="H887" t="s">
        <v>15</v>
      </c>
      <c r="I887" t="s">
        <v>39</v>
      </c>
      <c r="J887" t="s">
        <v>17</v>
      </c>
      <c r="K887" s="5" t="s">
        <v>29</v>
      </c>
      <c r="L887" s="6" cm="1">
        <f t="array" ref="L887">_xlfn.SWITCH(Table13_2[[#This Row],[Performance Score]],"A",6,"B",5,"C",4,"D",3,"E",2,"F",1)</f>
        <v>3</v>
      </c>
      <c r="M887" s="5">
        <f t="shared" si="13"/>
        <v>70000</v>
      </c>
    </row>
    <row r="888" spans="1:13" x14ac:dyDescent="0.3">
      <c r="A888" t="s">
        <v>49</v>
      </c>
      <c r="B888">
        <v>50</v>
      </c>
      <c r="C888">
        <v>50000</v>
      </c>
      <c r="D888" t="s">
        <v>19</v>
      </c>
      <c r="E888" t="s">
        <v>30</v>
      </c>
      <c r="F888" t="s">
        <v>41</v>
      </c>
      <c r="G888" s="2" t="s">
        <v>62</v>
      </c>
      <c r="H888" t="s">
        <v>38</v>
      </c>
      <c r="I888" t="s">
        <v>32</v>
      </c>
      <c r="J888" t="s">
        <v>42</v>
      </c>
      <c r="K888" s="5" t="s">
        <v>11</v>
      </c>
      <c r="L888" s="6" cm="1">
        <f t="array" ref="L888">_xlfn.SWITCH(Table13_2[[#This Row],[Performance Score]],"A",6,"B",5,"C",4,"D",3,"E",2,"F",1)</f>
        <v>5</v>
      </c>
      <c r="M888" s="5">
        <f t="shared" si="13"/>
        <v>50000</v>
      </c>
    </row>
    <row r="889" spans="1:13" x14ac:dyDescent="0.3">
      <c r="A889" t="s">
        <v>59</v>
      </c>
      <c r="B889">
        <v>25</v>
      </c>
      <c r="C889">
        <v>50000</v>
      </c>
      <c r="D889" t="s">
        <v>12</v>
      </c>
      <c r="E889" t="s">
        <v>26</v>
      </c>
      <c r="F889" t="s">
        <v>41</v>
      </c>
      <c r="G889" s="2" t="s">
        <v>60</v>
      </c>
      <c r="H889" t="s">
        <v>31</v>
      </c>
      <c r="I889" t="s">
        <v>16</v>
      </c>
      <c r="J889" t="s">
        <v>17</v>
      </c>
      <c r="K889" s="5" t="s">
        <v>33</v>
      </c>
      <c r="L889" s="6" cm="1">
        <f t="array" ref="L889">_xlfn.SWITCH(Table13_2[[#This Row],[Performance Score]],"A",6,"B",5,"C",4,"D",3,"E",2,"F",1)</f>
        <v>6</v>
      </c>
      <c r="M889" s="5">
        <f t="shared" si="13"/>
        <v>50000</v>
      </c>
    </row>
    <row r="890" spans="1:13" x14ac:dyDescent="0.3">
      <c r="A890" t="s">
        <v>65</v>
      </c>
      <c r="B890" t="s">
        <v>51</v>
      </c>
      <c r="C890">
        <v>55000</v>
      </c>
      <c r="D890" t="s">
        <v>19</v>
      </c>
      <c r="E890" t="s">
        <v>26</v>
      </c>
      <c r="F890" t="s">
        <v>21</v>
      </c>
      <c r="G890" s="2">
        <v>43881</v>
      </c>
      <c r="H890" t="s">
        <v>22</v>
      </c>
      <c r="I890" t="s">
        <v>23</v>
      </c>
      <c r="J890" t="s">
        <v>17</v>
      </c>
      <c r="K890" s="5" t="s">
        <v>44</v>
      </c>
      <c r="L890" s="6" cm="1">
        <f t="array" ref="L890">_xlfn.SWITCH(Table13_2[[#This Row],[Performance Score]],"A",6,"B",5,"C",4,"D",3,"E",2,"F",1)</f>
        <v>1</v>
      </c>
      <c r="M890" s="5">
        <f t="shared" si="13"/>
        <v>55000</v>
      </c>
    </row>
    <row r="891" spans="1:13" x14ac:dyDescent="0.3">
      <c r="A891" t="s">
        <v>53</v>
      </c>
      <c r="B891" t="s">
        <v>63</v>
      </c>
      <c r="C891">
        <v>70000</v>
      </c>
      <c r="D891" t="s">
        <v>12</v>
      </c>
      <c r="E891" t="s">
        <v>30</v>
      </c>
      <c r="F891" t="s">
        <v>21</v>
      </c>
      <c r="G891" s="2" t="s">
        <v>60</v>
      </c>
      <c r="H891" t="s">
        <v>38</v>
      </c>
      <c r="I891" t="s">
        <v>16</v>
      </c>
      <c r="J891" t="s">
        <v>24</v>
      </c>
      <c r="K891" s="5" t="s">
        <v>25</v>
      </c>
      <c r="L891" s="6" cm="1">
        <f t="array" ref="L891">_xlfn.SWITCH(Table13_2[[#This Row],[Performance Score]],"A",6,"B",5,"C",4,"D",3,"E",2,"F",1)</f>
        <v>5</v>
      </c>
      <c r="M891" s="5">
        <f t="shared" si="13"/>
        <v>70000</v>
      </c>
    </row>
    <row r="892" spans="1:13" x14ac:dyDescent="0.3">
      <c r="A892" t="s">
        <v>65</v>
      </c>
      <c r="B892">
        <v>50</v>
      </c>
      <c r="C892">
        <v>65000</v>
      </c>
      <c r="D892" t="s">
        <v>19</v>
      </c>
      <c r="E892" t="s">
        <v>26</v>
      </c>
      <c r="F892" t="s">
        <v>14</v>
      </c>
      <c r="G892" s="2" t="s">
        <v>55</v>
      </c>
      <c r="H892" t="s">
        <v>38</v>
      </c>
      <c r="I892" t="s">
        <v>16</v>
      </c>
      <c r="J892" t="s">
        <v>28</v>
      </c>
      <c r="K892" s="5" t="s">
        <v>44</v>
      </c>
      <c r="L892" s="6" cm="1">
        <f t="array" ref="L892">_xlfn.SWITCH(Table13_2[[#This Row],[Performance Score]],"A",6,"B",5,"C",4,"D",3,"E",2,"F",1)</f>
        <v>5</v>
      </c>
      <c r="M892" s="5">
        <f t="shared" si="13"/>
        <v>65000</v>
      </c>
    </row>
    <row r="893" spans="1:13" x14ac:dyDescent="0.3">
      <c r="A893" t="s">
        <v>52</v>
      </c>
      <c r="B893">
        <v>25</v>
      </c>
      <c r="C893">
        <v>55000</v>
      </c>
      <c r="D893" t="s">
        <v>34</v>
      </c>
      <c r="E893" t="s">
        <v>13</v>
      </c>
      <c r="F893" t="s">
        <v>41</v>
      </c>
      <c r="G893" s="2" t="s">
        <v>50</v>
      </c>
      <c r="H893" t="s">
        <v>15</v>
      </c>
      <c r="I893" t="s">
        <v>16</v>
      </c>
      <c r="J893" t="s">
        <v>24</v>
      </c>
      <c r="K893" s="5" t="s">
        <v>18</v>
      </c>
      <c r="L893" s="6" cm="1">
        <f t="array" ref="L893">_xlfn.SWITCH(Table13_2[[#This Row],[Performance Score]],"A",6,"B",5,"C",4,"D",3,"E",2,"F",1)</f>
        <v>3</v>
      </c>
      <c r="M893" s="5">
        <f t="shared" si="13"/>
        <v>55000</v>
      </c>
    </row>
    <row r="894" spans="1:13" x14ac:dyDescent="0.3">
      <c r="A894" t="s">
        <v>66</v>
      </c>
      <c r="B894">
        <v>35</v>
      </c>
      <c r="C894">
        <v>50000</v>
      </c>
      <c r="D894" t="s">
        <v>12</v>
      </c>
      <c r="E894" t="s">
        <v>30</v>
      </c>
      <c r="F894" t="s">
        <v>41</v>
      </c>
      <c r="G894" s="2">
        <v>43881</v>
      </c>
      <c r="H894" t="s">
        <v>27</v>
      </c>
      <c r="I894" t="s">
        <v>39</v>
      </c>
      <c r="J894" t="s">
        <v>17</v>
      </c>
      <c r="K894" s="5" t="s">
        <v>45</v>
      </c>
      <c r="L894" s="6" cm="1">
        <f t="array" ref="L894">_xlfn.SWITCH(Table13_2[[#This Row],[Performance Score]],"A",6,"B",5,"C",4,"D",3,"E",2,"F",1)</f>
        <v>4</v>
      </c>
      <c r="M894" s="5">
        <f t="shared" si="13"/>
        <v>50000</v>
      </c>
    </row>
    <row r="895" spans="1:13" x14ac:dyDescent="0.3">
      <c r="A895" t="s">
        <v>56</v>
      </c>
      <c r="B895">
        <v>25</v>
      </c>
      <c r="C895">
        <v>0</v>
      </c>
      <c r="D895" t="s">
        <v>12</v>
      </c>
      <c r="E895" t="s">
        <v>35</v>
      </c>
      <c r="F895" t="s">
        <v>41</v>
      </c>
      <c r="G895" s="2" t="s">
        <v>62</v>
      </c>
      <c r="H895" t="s">
        <v>27</v>
      </c>
      <c r="I895" t="s">
        <v>39</v>
      </c>
      <c r="J895" t="s">
        <v>42</v>
      </c>
      <c r="K895" s="5" t="s">
        <v>29</v>
      </c>
      <c r="L895" s="6" cm="1">
        <f t="array" ref="L895">_xlfn.SWITCH(Table13_2[[#This Row],[Performance Score]],"A",6,"B",5,"C",4,"D",3,"E",2,"F",1)</f>
        <v>4</v>
      </c>
      <c r="M895" s="5">
        <f t="shared" si="13"/>
        <v>49144.385026737968</v>
      </c>
    </row>
    <row r="896" spans="1:13" x14ac:dyDescent="0.3">
      <c r="A896" t="s">
        <v>67</v>
      </c>
      <c r="B896">
        <v>25</v>
      </c>
      <c r="C896">
        <v>50000</v>
      </c>
      <c r="D896" t="s">
        <v>12</v>
      </c>
      <c r="E896" t="s">
        <v>30</v>
      </c>
      <c r="F896" t="s">
        <v>21</v>
      </c>
      <c r="G896" s="2" t="s">
        <v>55</v>
      </c>
      <c r="H896" t="s">
        <v>38</v>
      </c>
      <c r="I896" t="s">
        <v>32</v>
      </c>
      <c r="J896" t="s">
        <v>17</v>
      </c>
      <c r="K896" s="5" t="s">
        <v>46</v>
      </c>
      <c r="L896" s="6" cm="1">
        <f t="array" ref="L896">_xlfn.SWITCH(Table13_2[[#This Row],[Performance Score]],"A",6,"B",5,"C",4,"D",3,"E",2,"F",1)</f>
        <v>5</v>
      </c>
      <c r="M896" s="5">
        <f t="shared" si="13"/>
        <v>50000</v>
      </c>
    </row>
    <row r="897" spans="1:13" x14ac:dyDescent="0.3">
      <c r="A897" t="s">
        <v>66</v>
      </c>
      <c r="B897" t="s">
        <v>51</v>
      </c>
      <c r="C897">
        <v>50000</v>
      </c>
      <c r="D897" t="s">
        <v>34</v>
      </c>
      <c r="E897" t="s">
        <v>20</v>
      </c>
      <c r="F897" t="s">
        <v>40</v>
      </c>
      <c r="G897" s="2">
        <v>43881</v>
      </c>
      <c r="H897" t="s">
        <v>31</v>
      </c>
      <c r="I897" t="s">
        <v>39</v>
      </c>
      <c r="J897" t="s">
        <v>17</v>
      </c>
      <c r="K897" s="5" t="s">
        <v>45</v>
      </c>
      <c r="L897" s="6" cm="1">
        <f t="array" ref="L897">_xlfn.SWITCH(Table13_2[[#This Row],[Performance Score]],"A",6,"B",5,"C",4,"D",3,"E",2,"F",1)</f>
        <v>6</v>
      </c>
      <c r="M897" s="5">
        <f t="shared" si="13"/>
        <v>50000</v>
      </c>
    </row>
    <row r="898" spans="1:13" x14ac:dyDescent="0.3">
      <c r="A898" t="s">
        <v>67</v>
      </c>
      <c r="B898" t="s">
        <v>63</v>
      </c>
      <c r="C898">
        <v>70000</v>
      </c>
      <c r="D898" t="s">
        <v>19</v>
      </c>
      <c r="E898" t="s">
        <v>35</v>
      </c>
      <c r="F898" t="s">
        <v>37</v>
      </c>
      <c r="G898" s="2" t="s">
        <v>55</v>
      </c>
      <c r="H898" t="s">
        <v>22</v>
      </c>
      <c r="I898" t="s">
        <v>39</v>
      </c>
      <c r="J898" t="s">
        <v>17</v>
      </c>
      <c r="K898" s="5" t="s">
        <v>46</v>
      </c>
      <c r="L898" s="6" cm="1">
        <f t="array" ref="L898">_xlfn.SWITCH(Table13_2[[#This Row],[Performance Score]],"A",6,"B",5,"C",4,"D",3,"E",2,"F",1)</f>
        <v>1</v>
      </c>
      <c r="M898" s="5">
        <f t="shared" si="13"/>
        <v>70000</v>
      </c>
    </row>
    <row r="899" spans="1:13" x14ac:dyDescent="0.3">
      <c r="A899" t="s">
        <v>53</v>
      </c>
      <c r="B899">
        <v>35</v>
      </c>
      <c r="C899">
        <v>70000</v>
      </c>
      <c r="D899" t="s">
        <v>34</v>
      </c>
      <c r="E899" t="s">
        <v>20</v>
      </c>
      <c r="F899" t="s">
        <v>21</v>
      </c>
      <c r="G899" s="2" t="s">
        <v>62</v>
      </c>
      <c r="H899" t="s">
        <v>22</v>
      </c>
      <c r="I899" t="s">
        <v>39</v>
      </c>
      <c r="J899" t="s">
        <v>17</v>
      </c>
      <c r="K899" s="5" t="s">
        <v>25</v>
      </c>
      <c r="L899" s="6" cm="1">
        <f t="array" ref="L899">_xlfn.SWITCH(Table13_2[[#This Row],[Performance Score]],"A",6,"B",5,"C",4,"D",3,"E",2,"F",1)</f>
        <v>1</v>
      </c>
      <c r="M899" s="5">
        <f t="shared" ref="M899:M962" si="14">IF(C899=0,AVERAGEIF($E$2:$E$1001,E899,$C$2:$C$1001),C899)</f>
        <v>70000</v>
      </c>
    </row>
    <row r="900" spans="1:13" x14ac:dyDescent="0.3">
      <c r="A900" t="s">
        <v>64</v>
      </c>
      <c r="B900">
        <v>40</v>
      </c>
      <c r="C900">
        <v>55000</v>
      </c>
      <c r="D900" t="s">
        <v>12</v>
      </c>
      <c r="E900" t="s">
        <v>35</v>
      </c>
      <c r="F900" t="s">
        <v>41</v>
      </c>
      <c r="G900" s="2">
        <v>43881</v>
      </c>
      <c r="H900" t="s">
        <v>31</v>
      </c>
      <c r="I900" t="s">
        <v>39</v>
      </c>
      <c r="J900" t="s">
        <v>17</v>
      </c>
      <c r="K900" s="5" t="s">
        <v>43</v>
      </c>
      <c r="L900" s="6" cm="1">
        <f t="array" ref="L900">_xlfn.SWITCH(Table13_2[[#This Row],[Performance Score]],"A",6,"B",5,"C",4,"D",3,"E",2,"F",1)</f>
        <v>6</v>
      </c>
      <c r="M900" s="5">
        <f t="shared" si="14"/>
        <v>55000</v>
      </c>
    </row>
    <row r="901" spans="1:13" x14ac:dyDescent="0.3">
      <c r="A901" t="s">
        <v>49</v>
      </c>
      <c r="B901">
        <v>40</v>
      </c>
      <c r="C901">
        <v>65000</v>
      </c>
      <c r="D901" t="s">
        <v>19</v>
      </c>
      <c r="E901" t="s">
        <v>26</v>
      </c>
      <c r="F901" t="s">
        <v>21</v>
      </c>
      <c r="G901" s="2" t="s">
        <v>62</v>
      </c>
      <c r="H901" t="s">
        <v>38</v>
      </c>
      <c r="I901" t="s">
        <v>16</v>
      </c>
      <c r="J901" t="s">
        <v>28</v>
      </c>
      <c r="K901" s="5" t="s">
        <v>11</v>
      </c>
      <c r="L901" s="6" cm="1">
        <f t="array" ref="L901">_xlfn.SWITCH(Table13_2[[#This Row],[Performance Score]],"A",6,"B",5,"C",4,"D",3,"E",2,"F",1)</f>
        <v>5</v>
      </c>
      <c r="M901" s="5">
        <f t="shared" si="14"/>
        <v>65000</v>
      </c>
    </row>
    <row r="902" spans="1:13" x14ac:dyDescent="0.3">
      <c r="A902" t="s">
        <v>61</v>
      </c>
      <c r="B902">
        <v>25</v>
      </c>
      <c r="C902">
        <v>55000</v>
      </c>
      <c r="D902" t="s">
        <v>34</v>
      </c>
      <c r="E902" t="s">
        <v>30</v>
      </c>
      <c r="F902" t="s">
        <v>14</v>
      </c>
      <c r="G902" s="2" t="s">
        <v>60</v>
      </c>
      <c r="H902" t="s">
        <v>22</v>
      </c>
      <c r="I902" t="s">
        <v>16</v>
      </c>
      <c r="J902" t="s">
        <v>17</v>
      </c>
      <c r="K902" s="5" t="s">
        <v>36</v>
      </c>
      <c r="L902" s="6" cm="1">
        <f t="array" ref="L902">_xlfn.SWITCH(Table13_2[[#This Row],[Performance Score]],"A",6,"B",5,"C",4,"D",3,"E",2,"F",1)</f>
        <v>1</v>
      </c>
      <c r="M902" s="5">
        <f t="shared" si="14"/>
        <v>55000</v>
      </c>
    </row>
    <row r="903" spans="1:13" x14ac:dyDescent="0.3">
      <c r="A903" t="s">
        <v>66</v>
      </c>
      <c r="B903" t="s">
        <v>51</v>
      </c>
      <c r="C903">
        <v>60000</v>
      </c>
      <c r="D903" t="s">
        <v>12</v>
      </c>
      <c r="E903" t="s">
        <v>13</v>
      </c>
      <c r="F903" t="s">
        <v>41</v>
      </c>
      <c r="G903" s="2" t="s">
        <v>62</v>
      </c>
      <c r="H903" t="s">
        <v>27</v>
      </c>
      <c r="I903" t="s">
        <v>23</v>
      </c>
      <c r="J903" t="s">
        <v>24</v>
      </c>
      <c r="K903" s="5" t="s">
        <v>45</v>
      </c>
      <c r="L903" s="6" cm="1">
        <f t="array" ref="L903">_xlfn.SWITCH(Table13_2[[#This Row],[Performance Score]],"A",6,"B",5,"C",4,"D",3,"E",2,"F",1)</f>
        <v>4</v>
      </c>
      <c r="M903" s="5">
        <f t="shared" si="14"/>
        <v>60000</v>
      </c>
    </row>
    <row r="904" spans="1:13" x14ac:dyDescent="0.3">
      <c r="A904" t="s">
        <v>56</v>
      </c>
      <c r="B904" t="s">
        <v>51</v>
      </c>
      <c r="C904">
        <v>50000</v>
      </c>
      <c r="D904" t="s">
        <v>12</v>
      </c>
      <c r="E904" t="s">
        <v>35</v>
      </c>
      <c r="F904" t="s">
        <v>14</v>
      </c>
      <c r="G904" s="2" t="s">
        <v>60</v>
      </c>
      <c r="H904" t="s">
        <v>31</v>
      </c>
      <c r="I904" t="s">
        <v>39</v>
      </c>
      <c r="J904" t="s">
        <v>17</v>
      </c>
      <c r="K904" s="5" t="s">
        <v>29</v>
      </c>
      <c r="L904" s="6" cm="1">
        <f t="array" ref="L904">_xlfn.SWITCH(Table13_2[[#This Row],[Performance Score]],"A",6,"B",5,"C",4,"D",3,"E",2,"F",1)</f>
        <v>6</v>
      </c>
      <c r="M904" s="5">
        <f t="shared" si="14"/>
        <v>50000</v>
      </c>
    </row>
    <row r="905" spans="1:13" x14ac:dyDescent="0.3">
      <c r="A905" t="s">
        <v>65</v>
      </c>
      <c r="B905">
        <v>40</v>
      </c>
      <c r="C905">
        <v>0</v>
      </c>
      <c r="D905" t="s">
        <v>34</v>
      </c>
      <c r="E905" t="s">
        <v>35</v>
      </c>
      <c r="F905" t="s">
        <v>41</v>
      </c>
      <c r="G905" s="2">
        <v>43881</v>
      </c>
      <c r="H905" t="s">
        <v>15</v>
      </c>
      <c r="I905" t="s">
        <v>23</v>
      </c>
      <c r="J905" t="s">
        <v>24</v>
      </c>
      <c r="K905" s="5" t="s">
        <v>44</v>
      </c>
      <c r="L905" s="6" cm="1">
        <f t="array" ref="L905">_xlfn.SWITCH(Table13_2[[#This Row],[Performance Score]],"A",6,"B",5,"C",4,"D",3,"E",2,"F",1)</f>
        <v>3</v>
      </c>
      <c r="M905" s="5">
        <f t="shared" si="14"/>
        <v>49144.385026737968</v>
      </c>
    </row>
    <row r="906" spans="1:13" x14ac:dyDescent="0.3">
      <c r="A906" t="s">
        <v>56</v>
      </c>
      <c r="B906">
        <v>35</v>
      </c>
      <c r="C906">
        <v>50000</v>
      </c>
      <c r="D906" t="s">
        <v>34</v>
      </c>
      <c r="E906" t="s">
        <v>20</v>
      </c>
      <c r="F906" t="s">
        <v>21</v>
      </c>
      <c r="G906" s="2" t="s">
        <v>60</v>
      </c>
      <c r="H906" t="s">
        <v>38</v>
      </c>
      <c r="I906" t="s">
        <v>32</v>
      </c>
      <c r="J906" t="s">
        <v>17</v>
      </c>
      <c r="K906" s="5" t="s">
        <v>29</v>
      </c>
      <c r="L906" s="6" cm="1">
        <f t="array" ref="L906">_xlfn.SWITCH(Table13_2[[#This Row],[Performance Score]],"A",6,"B",5,"C",4,"D",3,"E",2,"F",1)</f>
        <v>5</v>
      </c>
      <c r="M906" s="5">
        <f t="shared" si="14"/>
        <v>50000</v>
      </c>
    </row>
    <row r="907" spans="1:13" x14ac:dyDescent="0.3">
      <c r="A907" t="s">
        <v>53</v>
      </c>
      <c r="B907" t="s">
        <v>63</v>
      </c>
      <c r="C907">
        <v>50000</v>
      </c>
      <c r="D907" t="s">
        <v>34</v>
      </c>
      <c r="E907" t="s">
        <v>26</v>
      </c>
      <c r="F907" t="s">
        <v>40</v>
      </c>
      <c r="G907" s="2">
        <v>43881</v>
      </c>
      <c r="H907" t="s">
        <v>31</v>
      </c>
      <c r="I907" t="s">
        <v>16</v>
      </c>
      <c r="J907" t="s">
        <v>17</v>
      </c>
      <c r="K907" s="5" t="s">
        <v>25</v>
      </c>
      <c r="L907" s="6" cm="1">
        <f t="array" ref="L907">_xlfn.SWITCH(Table13_2[[#This Row],[Performance Score]],"A",6,"B",5,"C",4,"D",3,"E",2,"F",1)</f>
        <v>6</v>
      </c>
      <c r="M907" s="5">
        <f t="shared" si="14"/>
        <v>50000</v>
      </c>
    </row>
    <row r="908" spans="1:13" x14ac:dyDescent="0.3">
      <c r="A908" t="s">
        <v>67</v>
      </c>
      <c r="B908">
        <v>35</v>
      </c>
      <c r="C908">
        <v>55000</v>
      </c>
      <c r="D908" t="s">
        <v>12</v>
      </c>
      <c r="E908" t="s">
        <v>20</v>
      </c>
      <c r="F908" t="s">
        <v>37</v>
      </c>
      <c r="G908" s="2">
        <v>43881</v>
      </c>
      <c r="H908" t="s">
        <v>22</v>
      </c>
      <c r="I908" t="s">
        <v>32</v>
      </c>
      <c r="J908" t="s">
        <v>17</v>
      </c>
      <c r="K908" s="5" t="s">
        <v>46</v>
      </c>
      <c r="L908" s="6" cm="1">
        <f t="array" ref="L908">_xlfn.SWITCH(Table13_2[[#This Row],[Performance Score]],"A",6,"B",5,"C",4,"D",3,"E",2,"F",1)</f>
        <v>1</v>
      </c>
      <c r="M908" s="5">
        <f t="shared" si="14"/>
        <v>55000</v>
      </c>
    </row>
    <row r="909" spans="1:13" x14ac:dyDescent="0.3">
      <c r="A909" t="s">
        <v>65</v>
      </c>
      <c r="B909">
        <v>50</v>
      </c>
      <c r="C909">
        <v>0</v>
      </c>
      <c r="D909" t="s">
        <v>34</v>
      </c>
      <c r="E909" t="s">
        <v>20</v>
      </c>
      <c r="F909" t="s">
        <v>14</v>
      </c>
      <c r="G909" s="2" t="s">
        <v>50</v>
      </c>
      <c r="H909" t="s">
        <v>38</v>
      </c>
      <c r="I909" t="s">
        <v>39</v>
      </c>
      <c r="J909" t="s">
        <v>17</v>
      </c>
      <c r="K909" s="5" t="s">
        <v>44</v>
      </c>
      <c r="L909" s="6" cm="1">
        <f t="array" ref="L909">_xlfn.SWITCH(Table13_2[[#This Row],[Performance Score]],"A",6,"B",5,"C",4,"D",3,"E",2,"F",1)</f>
        <v>5</v>
      </c>
      <c r="M909" s="5">
        <f t="shared" si="14"/>
        <v>48417.431192660551</v>
      </c>
    </row>
    <row r="910" spans="1:13" x14ac:dyDescent="0.3">
      <c r="A910" t="s">
        <v>61</v>
      </c>
      <c r="B910">
        <v>50</v>
      </c>
      <c r="C910">
        <v>0</v>
      </c>
      <c r="D910" t="s">
        <v>12</v>
      </c>
      <c r="E910" t="s">
        <v>26</v>
      </c>
      <c r="F910" t="s">
        <v>21</v>
      </c>
      <c r="G910" s="2">
        <v>43881</v>
      </c>
      <c r="H910" t="s">
        <v>27</v>
      </c>
      <c r="I910" t="s">
        <v>16</v>
      </c>
      <c r="J910" t="s">
        <v>28</v>
      </c>
      <c r="K910" s="5" t="s">
        <v>36</v>
      </c>
      <c r="L910" s="6" cm="1">
        <f t="array" ref="L910">_xlfn.SWITCH(Table13_2[[#This Row],[Performance Score]],"A",6,"B",5,"C",4,"D",3,"E",2,"F",1)</f>
        <v>4</v>
      </c>
      <c r="M910" s="5">
        <f t="shared" si="14"/>
        <v>50742.574257425746</v>
      </c>
    </row>
    <row r="911" spans="1:13" x14ac:dyDescent="0.3">
      <c r="A911" t="s">
        <v>61</v>
      </c>
      <c r="B911" t="s">
        <v>63</v>
      </c>
      <c r="C911">
        <v>0</v>
      </c>
      <c r="D911" t="s">
        <v>34</v>
      </c>
      <c r="E911" t="s">
        <v>13</v>
      </c>
      <c r="F911" t="s">
        <v>40</v>
      </c>
      <c r="G911" s="2" t="s">
        <v>60</v>
      </c>
      <c r="H911" t="s">
        <v>38</v>
      </c>
      <c r="I911" t="s">
        <v>32</v>
      </c>
      <c r="J911" t="s">
        <v>17</v>
      </c>
      <c r="K911" s="5" t="s">
        <v>36</v>
      </c>
      <c r="L911" s="6" cm="1">
        <f t="array" ref="L911">_xlfn.SWITCH(Table13_2[[#This Row],[Performance Score]],"A",6,"B",5,"C",4,"D",3,"E",2,"F",1)</f>
        <v>5</v>
      </c>
      <c r="M911" s="5">
        <f t="shared" si="14"/>
        <v>51825</v>
      </c>
    </row>
    <row r="912" spans="1:13" x14ac:dyDescent="0.3">
      <c r="A912" t="s">
        <v>66</v>
      </c>
      <c r="B912">
        <v>40</v>
      </c>
      <c r="C912">
        <v>55000</v>
      </c>
      <c r="D912" t="s">
        <v>12</v>
      </c>
      <c r="E912" t="s">
        <v>20</v>
      </c>
      <c r="F912" t="s">
        <v>21</v>
      </c>
      <c r="G912" s="2" t="s">
        <v>50</v>
      </c>
      <c r="H912" t="s">
        <v>38</v>
      </c>
      <c r="I912" t="s">
        <v>39</v>
      </c>
      <c r="J912" t="s">
        <v>24</v>
      </c>
      <c r="K912" s="5" t="s">
        <v>45</v>
      </c>
      <c r="L912" s="6" cm="1">
        <f t="array" ref="L912">_xlfn.SWITCH(Table13_2[[#This Row],[Performance Score]],"A",6,"B",5,"C",4,"D",3,"E",2,"F",1)</f>
        <v>5</v>
      </c>
      <c r="M912" s="5">
        <f t="shared" si="14"/>
        <v>55000</v>
      </c>
    </row>
    <row r="913" spans="1:13" x14ac:dyDescent="0.3">
      <c r="A913" t="s">
        <v>53</v>
      </c>
      <c r="B913" t="s">
        <v>63</v>
      </c>
      <c r="C913">
        <v>50000</v>
      </c>
      <c r="D913" t="s">
        <v>12</v>
      </c>
      <c r="E913" t="s">
        <v>20</v>
      </c>
      <c r="F913" t="s">
        <v>14</v>
      </c>
      <c r="G913" s="2" t="s">
        <v>50</v>
      </c>
      <c r="H913" t="s">
        <v>27</v>
      </c>
      <c r="I913" t="s">
        <v>32</v>
      </c>
      <c r="J913" t="s">
        <v>24</v>
      </c>
      <c r="K913" s="5" t="s">
        <v>25</v>
      </c>
      <c r="L913" s="6" cm="1">
        <f t="array" ref="L913">_xlfn.SWITCH(Table13_2[[#This Row],[Performance Score]],"A",6,"B",5,"C",4,"D",3,"E",2,"F",1)</f>
        <v>4</v>
      </c>
      <c r="M913" s="5">
        <f t="shared" si="14"/>
        <v>50000</v>
      </c>
    </row>
    <row r="914" spans="1:13" x14ac:dyDescent="0.3">
      <c r="A914" t="s">
        <v>64</v>
      </c>
      <c r="B914" t="s">
        <v>51</v>
      </c>
      <c r="C914">
        <v>55000</v>
      </c>
      <c r="D914" t="s">
        <v>19</v>
      </c>
      <c r="E914" t="s">
        <v>35</v>
      </c>
      <c r="F914" t="s">
        <v>37</v>
      </c>
      <c r="G914" s="2">
        <v>43881</v>
      </c>
      <c r="H914" t="s">
        <v>27</v>
      </c>
      <c r="I914" t="s">
        <v>39</v>
      </c>
      <c r="J914" t="s">
        <v>17</v>
      </c>
      <c r="K914" s="5" t="s">
        <v>43</v>
      </c>
      <c r="L914" s="6" cm="1">
        <f t="array" ref="L914">_xlfn.SWITCH(Table13_2[[#This Row],[Performance Score]],"A",6,"B",5,"C",4,"D",3,"E",2,"F",1)</f>
        <v>4</v>
      </c>
      <c r="M914" s="5">
        <f t="shared" si="14"/>
        <v>55000</v>
      </c>
    </row>
    <row r="915" spans="1:13" x14ac:dyDescent="0.3">
      <c r="A915" t="s">
        <v>53</v>
      </c>
      <c r="B915">
        <v>50</v>
      </c>
      <c r="C915">
        <v>70000</v>
      </c>
      <c r="D915" t="s">
        <v>34</v>
      </c>
      <c r="E915" t="s">
        <v>26</v>
      </c>
      <c r="F915" t="s">
        <v>21</v>
      </c>
      <c r="G915" s="2" t="s">
        <v>62</v>
      </c>
      <c r="H915" t="s">
        <v>38</v>
      </c>
      <c r="I915" t="s">
        <v>39</v>
      </c>
      <c r="J915" t="s">
        <v>28</v>
      </c>
      <c r="K915" s="5" t="s">
        <v>25</v>
      </c>
      <c r="L915" s="6" cm="1">
        <f t="array" ref="L915">_xlfn.SWITCH(Table13_2[[#This Row],[Performance Score]],"A",6,"B",5,"C",4,"D",3,"E",2,"F",1)</f>
        <v>5</v>
      </c>
      <c r="M915" s="5">
        <f t="shared" si="14"/>
        <v>70000</v>
      </c>
    </row>
    <row r="916" spans="1:13" x14ac:dyDescent="0.3">
      <c r="A916" t="s">
        <v>67</v>
      </c>
      <c r="B916">
        <v>25</v>
      </c>
      <c r="C916">
        <v>70000</v>
      </c>
      <c r="D916" t="s">
        <v>34</v>
      </c>
      <c r="E916" t="s">
        <v>30</v>
      </c>
      <c r="F916" t="s">
        <v>41</v>
      </c>
      <c r="G916" s="2" t="s">
        <v>62</v>
      </c>
      <c r="H916" t="s">
        <v>27</v>
      </c>
      <c r="I916" t="s">
        <v>16</v>
      </c>
      <c r="J916" t="s">
        <v>28</v>
      </c>
      <c r="K916" s="5" t="s">
        <v>46</v>
      </c>
      <c r="L916" s="6" cm="1">
        <f t="array" ref="L916">_xlfn.SWITCH(Table13_2[[#This Row],[Performance Score]],"A",6,"B",5,"C",4,"D",3,"E",2,"F",1)</f>
        <v>4</v>
      </c>
      <c r="M916" s="5">
        <f t="shared" si="14"/>
        <v>70000</v>
      </c>
    </row>
    <row r="917" spans="1:13" x14ac:dyDescent="0.3">
      <c r="A917" t="s">
        <v>56</v>
      </c>
      <c r="B917">
        <v>25</v>
      </c>
      <c r="C917">
        <v>55000</v>
      </c>
      <c r="D917" t="s">
        <v>12</v>
      </c>
      <c r="E917" t="s">
        <v>13</v>
      </c>
      <c r="F917" t="s">
        <v>40</v>
      </c>
      <c r="G917" s="2" t="s">
        <v>50</v>
      </c>
      <c r="H917" t="s">
        <v>31</v>
      </c>
      <c r="I917" t="s">
        <v>23</v>
      </c>
      <c r="J917" t="s">
        <v>28</v>
      </c>
      <c r="K917" s="5" t="s">
        <v>29</v>
      </c>
      <c r="L917" s="6" cm="1">
        <f t="array" ref="L917">_xlfn.SWITCH(Table13_2[[#This Row],[Performance Score]],"A",6,"B",5,"C",4,"D",3,"E",2,"F",1)</f>
        <v>6</v>
      </c>
      <c r="M917" s="5">
        <f t="shared" si="14"/>
        <v>55000</v>
      </c>
    </row>
    <row r="918" spans="1:13" x14ac:dyDescent="0.3">
      <c r="A918" t="s">
        <v>61</v>
      </c>
      <c r="B918">
        <v>40</v>
      </c>
      <c r="C918">
        <v>0</v>
      </c>
      <c r="D918" t="s">
        <v>12</v>
      </c>
      <c r="E918" t="s">
        <v>13</v>
      </c>
      <c r="F918" t="s">
        <v>21</v>
      </c>
      <c r="G918" s="2">
        <v>43881</v>
      </c>
      <c r="H918" t="s">
        <v>27</v>
      </c>
      <c r="I918" t="s">
        <v>39</v>
      </c>
      <c r="J918" t="s">
        <v>24</v>
      </c>
      <c r="K918" s="5" t="s">
        <v>36</v>
      </c>
      <c r="L918" s="6" cm="1">
        <f t="array" ref="L918">_xlfn.SWITCH(Table13_2[[#This Row],[Performance Score]],"A",6,"B",5,"C",4,"D",3,"E",2,"F",1)</f>
        <v>4</v>
      </c>
      <c r="M918" s="5">
        <f t="shared" si="14"/>
        <v>51825</v>
      </c>
    </row>
    <row r="919" spans="1:13" x14ac:dyDescent="0.3">
      <c r="A919" t="s">
        <v>56</v>
      </c>
      <c r="B919" t="s">
        <v>51</v>
      </c>
      <c r="C919">
        <v>50000</v>
      </c>
      <c r="D919" t="s">
        <v>12</v>
      </c>
      <c r="E919" t="s">
        <v>26</v>
      </c>
      <c r="F919" t="s">
        <v>40</v>
      </c>
      <c r="G919" s="2" t="s">
        <v>62</v>
      </c>
      <c r="H919" t="s">
        <v>27</v>
      </c>
      <c r="I919" t="s">
        <v>39</v>
      </c>
      <c r="J919" t="s">
        <v>17</v>
      </c>
      <c r="K919" s="5" t="s">
        <v>29</v>
      </c>
      <c r="L919" s="6" cm="1">
        <f t="array" ref="L919">_xlfn.SWITCH(Table13_2[[#This Row],[Performance Score]],"A",6,"B",5,"C",4,"D",3,"E",2,"F",1)</f>
        <v>4</v>
      </c>
      <c r="M919" s="5">
        <f t="shared" si="14"/>
        <v>50000</v>
      </c>
    </row>
    <row r="920" spans="1:13" x14ac:dyDescent="0.3">
      <c r="A920" t="s">
        <v>56</v>
      </c>
      <c r="B920">
        <v>35</v>
      </c>
      <c r="C920">
        <v>55000</v>
      </c>
      <c r="D920" t="s">
        <v>19</v>
      </c>
      <c r="E920" t="s">
        <v>35</v>
      </c>
      <c r="F920" t="s">
        <v>41</v>
      </c>
      <c r="G920" s="2">
        <v>43881</v>
      </c>
      <c r="H920" t="s">
        <v>38</v>
      </c>
      <c r="I920" t="s">
        <v>16</v>
      </c>
      <c r="J920" t="s">
        <v>28</v>
      </c>
      <c r="K920" s="5" t="s">
        <v>29</v>
      </c>
      <c r="L920" s="6" cm="1">
        <f t="array" ref="L920">_xlfn.SWITCH(Table13_2[[#This Row],[Performance Score]],"A",6,"B",5,"C",4,"D",3,"E",2,"F",1)</f>
        <v>5</v>
      </c>
      <c r="M920" s="5">
        <f t="shared" si="14"/>
        <v>55000</v>
      </c>
    </row>
    <row r="921" spans="1:13" x14ac:dyDescent="0.3">
      <c r="A921" t="s">
        <v>56</v>
      </c>
      <c r="B921" t="s">
        <v>51</v>
      </c>
      <c r="C921">
        <v>55000</v>
      </c>
      <c r="D921" t="s">
        <v>19</v>
      </c>
      <c r="E921" t="s">
        <v>35</v>
      </c>
      <c r="F921" t="s">
        <v>37</v>
      </c>
      <c r="G921" s="2">
        <v>43881</v>
      </c>
      <c r="H921" t="s">
        <v>31</v>
      </c>
      <c r="I921" t="s">
        <v>23</v>
      </c>
      <c r="J921" t="s">
        <v>24</v>
      </c>
      <c r="K921" s="5" t="s">
        <v>29</v>
      </c>
      <c r="L921" s="6" cm="1">
        <f t="array" ref="L921">_xlfn.SWITCH(Table13_2[[#This Row],[Performance Score]],"A",6,"B",5,"C",4,"D",3,"E",2,"F",1)</f>
        <v>6</v>
      </c>
      <c r="M921" s="5">
        <f t="shared" si="14"/>
        <v>55000</v>
      </c>
    </row>
    <row r="922" spans="1:13" x14ac:dyDescent="0.3">
      <c r="A922" t="s">
        <v>61</v>
      </c>
      <c r="B922">
        <v>25</v>
      </c>
      <c r="C922">
        <v>55000</v>
      </c>
      <c r="D922" t="s">
        <v>12</v>
      </c>
      <c r="E922" t="s">
        <v>26</v>
      </c>
      <c r="F922" t="s">
        <v>37</v>
      </c>
      <c r="G922" s="2" t="s">
        <v>50</v>
      </c>
      <c r="H922" t="s">
        <v>15</v>
      </c>
      <c r="I922" t="s">
        <v>39</v>
      </c>
      <c r="J922" t="s">
        <v>24</v>
      </c>
      <c r="K922" s="5" t="s">
        <v>36</v>
      </c>
      <c r="L922" s="6" cm="1">
        <f t="array" ref="L922">_xlfn.SWITCH(Table13_2[[#This Row],[Performance Score]],"A",6,"B",5,"C",4,"D",3,"E",2,"F",1)</f>
        <v>3</v>
      </c>
      <c r="M922" s="5">
        <f t="shared" si="14"/>
        <v>55000</v>
      </c>
    </row>
    <row r="923" spans="1:13" x14ac:dyDescent="0.3">
      <c r="A923" t="s">
        <v>59</v>
      </c>
      <c r="B923">
        <v>25</v>
      </c>
      <c r="C923">
        <v>60000</v>
      </c>
      <c r="D923" t="s">
        <v>34</v>
      </c>
      <c r="E923" t="s">
        <v>35</v>
      </c>
      <c r="F923" t="s">
        <v>41</v>
      </c>
      <c r="G923" s="2" t="s">
        <v>50</v>
      </c>
      <c r="H923" t="s">
        <v>15</v>
      </c>
      <c r="I923" t="s">
        <v>39</v>
      </c>
      <c r="J923" t="s">
        <v>17</v>
      </c>
      <c r="K923" s="5" t="s">
        <v>33</v>
      </c>
      <c r="L923" s="6" cm="1">
        <f t="array" ref="L923">_xlfn.SWITCH(Table13_2[[#This Row],[Performance Score]],"A",6,"B",5,"C",4,"D",3,"E",2,"F",1)</f>
        <v>3</v>
      </c>
      <c r="M923" s="5">
        <f t="shared" si="14"/>
        <v>60000</v>
      </c>
    </row>
    <row r="924" spans="1:13" x14ac:dyDescent="0.3">
      <c r="A924" t="s">
        <v>52</v>
      </c>
      <c r="B924">
        <v>50</v>
      </c>
      <c r="C924">
        <v>70000</v>
      </c>
      <c r="D924" t="s">
        <v>34</v>
      </c>
      <c r="E924" t="s">
        <v>13</v>
      </c>
      <c r="F924" t="s">
        <v>40</v>
      </c>
      <c r="G924" s="2" t="s">
        <v>55</v>
      </c>
      <c r="H924" t="s">
        <v>22</v>
      </c>
      <c r="I924" t="s">
        <v>23</v>
      </c>
      <c r="J924" t="s">
        <v>17</v>
      </c>
      <c r="K924" s="5" t="s">
        <v>18</v>
      </c>
      <c r="L924" s="6" cm="1">
        <f t="array" ref="L924">_xlfn.SWITCH(Table13_2[[#This Row],[Performance Score]],"A",6,"B",5,"C",4,"D",3,"E",2,"F",1)</f>
        <v>1</v>
      </c>
      <c r="M924" s="5">
        <f t="shared" si="14"/>
        <v>70000</v>
      </c>
    </row>
    <row r="925" spans="1:13" x14ac:dyDescent="0.3">
      <c r="A925" t="s">
        <v>67</v>
      </c>
      <c r="B925" t="s">
        <v>51</v>
      </c>
      <c r="C925">
        <v>0</v>
      </c>
      <c r="D925" t="s">
        <v>19</v>
      </c>
      <c r="E925" t="s">
        <v>13</v>
      </c>
      <c r="F925" t="s">
        <v>21</v>
      </c>
      <c r="G925" s="2" t="s">
        <v>62</v>
      </c>
      <c r="H925" t="s">
        <v>27</v>
      </c>
      <c r="I925" t="s">
        <v>32</v>
      </c>
      <c r="J925" t="s">
        <v>17</v>
      </c>
      <c r="K925" s="5" t="s">
        <v>46</v>
      </c>
      <c r="L925" s="6" cm="1">
        <f t="array" ref="L925">_xlfn.SWITCH(Table13_2[[#This Row],[Performance Score]],"A",6,"B",5,"C",4,"D",3,"E",2,"F",1)</f>
        <v>4</v>
      </c>
      <c r="M925" s="5">
        <f t="shared" si="14"/>
        <v>51825</v>
      </c>
    </row>
    <row r="926" spans="1:13" x14ac:dyDescent="0.3">
      <c r="A926" t="s">
        <v>59</v>
      </c>
      <c r="B926" t="s">
        <v>51</v>
      </c>
      <c r="C926">
        <v>65000</v>
      </c>
      <c r="D926" t="s">
        <v>19</v>
      </c>
      <c r="E926" t="s">
        <v>30</v>
      </c>
      <c r="F926" t="s">
        <v>41</v>
      </c>
      <c r="G926" s="2" t="s">
        <v>62</v>
      </c>
      <c r="H926" t="s">
        <v>27</v>
      </c>
      <c r="I926" t="s">
        <v>16</v>
      </c>
      <c r="J926" t="s">
        <v>28</v>
      </c>
      <c r="K926" s="5" t="s">
        <v>33</v>
      </c>
      <c r="L926" s="6" cm="1">
        <f t="array" ref="L926">_xlfn.SWITCH(Table13_2[[#This Row],[Performance Score]],"A",6,"B",5,"C",4,"D",3,"E",2,"F",1)</f>
        <v>4</v>
      </c>
      <c r="M926" s="5">
        <f t="shared" si="14"/>
        <v>65000</v>
      </c>
    </row>
    <row r="927" spans="1:13" x14ac:dyDescent="0.3">
      <c r="A927" t="s">
        <v>67</v>
      </c>
      <c r="B927">
        <v>25</v>
      </c>
      <c r="C927">
        <v>0</v>
      </c>
      <c r="D927" t="s">
        <v>12</v>
      </c>
      <c r="E927" t="s">
        <v>26</v>
      </c>
      <c r="F927" t="s">
        <v>14</v>
      </c>
      <c r="G927" s="2" t="s">
        <v>62</v>
      </c>
      <c r="H927" t="s">
        <v>31</v>
      </c>
      <c r="I927" t="s">
        <v>23</v>
      </c>
      <c r="J927" t="s">
        <v>28</v>
      </c>
      <c r="K927" s="5" t="s">
        <v>46</v>
      </c>
      <c r="L927" s="6" cm="1">
        <f t="array" ref="L927">_xlfn.SWITCH(Table13_2[[#This Row],[Performance Score]],"A",6,"B",5,"C",4,"D",3,"E",2,"F",1)</f>
        <v>6</v>
      </c>
      <c r="M927" s="5">
        <f t="shared" si="14"/>
        <v>50742.574257425746</v>
      </c>
    </row>
    <row r="928" spans="1:13" x14ac:dyDescent="0.3">
      <c r="A928" t="s">
        <v>65</v>
      </c>
      <c r="B928">
        <v>35</v>
      </c>
      <c r="C928">
        <v>65000</v>
      </c>
      <c r="D928" t="s">
        <v>34</v>
      </c>
      <c r="E928" t="s">
        <v>20</v>
      </c>
      <c r="F928" t="s">
        <v>40</v>
      </c>
      <c r="G928" s="2" t="s">
        <v>60</v>
      </c>
      <c r="H928" t="s">
        <v>15</v>
      </c>
      <c r="I928" t="s">
        <v>39</v>
      </c>
      <c r="J928" t="s">
        <v>17</v>
      </c>
      <c r="K928" s="5" t="s">
        <v>44</v>
      </c>
      <c r="L928" s="6" cm="1">
        <f t="array" ref="L928">_xlfn.SWITCH(Table13_2[[#This Row],[Performance Score]],"A",6,"B",5,"C",4,"D",3,"E",2,"F",1)</f>
        <v>3</v>
      </c>
      <c r="M928" s="5">
        <f t="shared" si="14"/>
        <v>65000</v>
      </c>
    </row>
    <row r="929" spans="1:13" x14ac:dyDescent="0.3">
      <c r="A929" t="s">
        <v>53</v>
      </c>
      <c r="B929">
        <v>40</v>
      </c>
      <c r="C929">
        <v>60000</v>
      </c>
      <c r="D929" t="s">
        <v>12</v>
      </c>
      <c r="E929" t="s">
        <v>20</v>
      </c>
      <c r="F929" t="s">
        <v>37</v>
      </c>
      <c r="G929" s="2">
        <v>43881</v>
      </c>
      <c r="H929" t="s">
        <v>22</v>
      </c>
      <c r="I929" t="s">
        <v>39</v>
      </c>
      <c r="J929" t="s">
        <v>28</v>
      </c>
      <c r="K929" s="5" t="s">
        <v>25</v>
      </c>
      <c r="L929" s="6" cm="1">
        <f t="array" ref="L929">_xlfn.SWITCH(Table13_2[[#This Row],[Performance Score]],"A",6,"B",5,"C",4,"D",3,"E",2,"F",1)</f>
        <v>1</v>
      </c>
      <c r="M929" s="5">
        <f t="shared" si="14"/>
        <v>60000</v>
      </c>
    </row>
    <row r="930" spans="1:13" x14ac:dyDescent="0.3">
      <c r="A930" t="s">
        <v>53</v>
      </c>
      <c r="B930">
        <v>40</v>
      </c>
      <c r="C930">
        <v>55000</v>
      </c>
      <c r="D930" t="s">
        <v>19</v>
      </c>
      <c r="E930" t="s">
        <v>30</v>
      </c>
      <c r="F930" t="s">
        <v>41</v>
      </c>
      <c r="G930" s="2" t="s">
        <v>50</v>
      </c>
      <c r="H930" t="s">
        <v>31</v>
      </c>
      <c r="I930" t="s">
        <v>39</v>
      </c>
      <c r="J930" t="s">
        <v>17</v>
      </c>
      <c r="K930" s="5" t="s">
        <v>25</v>
      </c>
      <c r="L930" s="6" cm="1">
        <f t="array" ref="L930">_xlfn.SWITCH(Table13_2[[#This Row],[Performance Score]],"A",6,"B",5,"C",4,"D",3,"E",2,"F",1)</f>
        <v>6</v>
      </c>
      <c r="M930" s="5">
        <f t="shared" si="14"/>
        <v>55000</v>
      </c>
    </row>
    <row r="931" spans="1:13" x14ac:dyDescent="0.3">
      <c r="A931" t="s">
        <v>49</v>
      </c>
      <c r="B931" t="s">
        <v>51</v>
      </c>
      <c r="C931">
        <v>60000</v>
      </c>
      <c r="D931" t="s">
        <v>34</v>
      </c>
      <c r="E931" t="s">
        <v>30</v>
      </c>
      <c r="F931" t="s">
        <v>37</v>
      </c>
      <c r="G931" s="2" t="s">
        <v>62</v>
      </c>
      <c r="H931" t="s">
        <v>27</v>
      </c>
      <c r="I931" t="s">
        <v>39</v>
      </c>
      <c r="J931" t="s">
        <v>24</v>
      </c>
      <c r="K931" s="5" t="s">
        <v>11</v>
      </c>
      <c r="L931" s="6" cm="1">
        <f t="array" ref="L931">_xlfn.SWITCH(Table13_2[[#This Row],[Performance Score]],"A",6,"B",5,"C",4,"D",3,"E",2,"F",1)</f>
        <v>4</v>
      </c>
      <c r="M931" s="5">
        <f t="shared" si="14"/>
        <v>60000</v>
      </c>
    </row>
    <row r="932" spans="1:13" x14ac:dyDescent="0.3">
      <c r="A932" t="s">
        <v>53</v>
      </c>
      <c r="B932">
        <v>40</v>
      </c>
      <c r="C932">
        <v>60000</v>
      </c>
      <c r="D932" t="s">
        <v>34</v>
      </c>
      <c r="E932" t="s">
        <v>35</v>
      </c>
      <c r="F932" t="s">
        <v>40</v>
      </c>
      <c r="G932" s="2" t="s">
        <v>55</v>
      </c>
      <c r="H932" t="s">
        <v>15</v>
      </c>
      <c r="I932" t="s">
        <v>16</v>
      </c>
      <c r="J932" t="s">
        <v>28</v>
      </c>
      <c r="K932" s="5" t="s">
        <v>25</v>
      </c>
      <c r="L932" s="6" cm="1">
        <f t="array" ref="L932">_xlfn.SWITCH(Table13_2[[#This Row],[Performance Score]],"A",6,"B",5,"C",4,"D",3,"E",2,"F",1)</f>
        <v>3</v>
      </c>
      <c r="M932" s="5">
        <f t="shared" si="14"/>
        <v>60000</v>
      </c>
    </row>
    <row r="933" spans="1:13" x14ac:dyDescent="0.3">
      <c r="A933" t="s">
        <v>61</v>
      </c>
      <c r="B933">
        <v>25</v>
      </c>
      <c r="C933">
        <v>50000</v>
      </c>
      <c r="D933" t="s">
        <v>19</v>
      </c>
      <c r="E933" t="s">
        <v>30</v>
      </c>
      <c r="F933" t="s">
        <v>37</v>
      </c>
      <c r="G933" s="2" t="s">
        <v>62</v>
      </c>
      <c r="H933" t="s">
        <v>22</v>
      </c>
      <c r="I933" t="s">
        <v>39</v>
      </c>
      <c r="J933" t="s">
        <v>24</v>
      </c>
      <c r="K933" s="5" t="s">
        <v>36</v>
      </c>
      <c r="L933" s="6" cm="1">
        <f t="array" ref="L933">_xlfn.SWITCH(Table13_2[[#This Row],[Performance Score]],"A",6,"B",5,"C",4,"D",3,"E",2,"F",1)</f>
        <v>1</v>
      </c>
      <c r="M933" s="5">
        <f t="shared" si="14"/>
        <v>50000</v>
      </c>
    </row>
    <row r="934" spans="1:13" x14ac:dyDescent="0.3">
      <c r="A934" t="s">
        <v>64</v>
      </c>
      <c r="B934">
        <v>25</v>
      </c>
      <c r="C934">
        <v>70000</v>
      </c>
      <c r="D934" t="s">
        <v>12</v>
      </c>
      <c r="E934" t="s">
        <v>30</v>
      </c>
      <c r="F934" t="s">
        <v>41</v>
      </c>
      <c r="G934" s="2">
        <v>43881</v>
      </c>
      <c r="H934" t="s">
        <v>38</v>
      </c>
      <c r="I934" t="s">
        <v>23</v>
      </c>
      <c r="J934" t="s">
        <v>42</v>
      </c>
      <c r="K934" s="5" t="s">
        <v>43</v>
      </c>
      <c r="L934" s="6" cm="1">
        <f t="array" ref="L934">_xlfn.SWITCH(Table13_2[[#This Row],[Performance Score]],"A",6,"B",5,"C",4,"D",3,"E",2,"F",1)</f>
        <v>5</v>
      </c>
      <c r="M934" s="5">
        <f t="shared" si="14"/>
        <v>70000</v>
      </c>
    </row>
    <row r="935" spans="1:13" x14ac:dyDescent="0.3">
      <c r="A935" t="s">
        <v>66</v>
      </c>
      <c r="B935" t="s">
        <v>51</v>
      </c>
      <c r="C935">
        <v>65000</v>
      </c>
      <c r="D935" t="s">
        <v>12</v>
      </c>
      <c r="E935" t="s">
        <v>20</v>
      </c>
      <c r="F935" t="s">
        <v>40</v>
      </c>
      <c r="G935" s="2">
        <v>43881</v>
      </c>
      <c r="H935" t="s">
        <v>15</v>
      </c>
      <c r="I935" t="s">
        <v>39</v>
      </c>
      <c r="J935" t="s">
        <v>17</v>
      </c>
      <c r="K935" s="5" t="s">
        <v>45</v>
      </c>
      <c r="L935" s="6" cm="1">
        <f t="array" ref="L935">_xlfn.SWITCH(Table13_2[[#This Row],[Performance Score]],"A",6,"B",5,"C",4,"D",3,"E",2,"F",1)</f>
        <v>3</v>
      </c>
      <c r="M935" s="5">
        <f t="shared" si="14"/>
        <v>65000</v>
      </c>
    </row>
    <row r="936" spans="1:13" x14ac:dyDescent="0.3">
      <c r="A936" t="s">
        <v>49</v>
      </c>
      <c r="B936" t="s">
        <v>51</v>
      </c>
      <c r="C936">
        <v>55000</v>
      </c>
      <c r="D936" t="s">
        <v>34</v>
      </c>
      <c r="E936" t="s">
        <v>35</v>
      </c>
      <c r="F936" t="s">
        <v>14</v>
      </c>
      <c r="G936" s="2" t="s">
        <v>50</v>
      </c>
      <c r="H936" t="s">
        <v>22</v>
      </c>
      <c r="I936" t="s">
        <v>32</v>
      </c>
      <c r="J936" t="s">
        <v>42</v>
      </c>
      <c r="K936" s="5" t="s">
        <v>11</v>
      </c>
      <c r="L936" s="6" cm="1">
        <f t="array" ref="L936">_xlfn.SWITCH(Table13_2[[#This Row],[Performance Score]],"A",6,"B",5,"C",4,"D",3,"E",2,"F",1)</f>
        <v>1</v>
      </c>
      <c r="M936" s="5">
        <f t="shared" si="14"/>
        <v>55000</v>
      </c>
    </row>
    <row r="937" spans="1:13" x14ac:dyDescent="0.3">
      <c r="A937" t="s">
        <v>66</v>
      </c>
      <c r="B937">
        <v>50</v>
      </c>
      <c r="C937">
        <v>65000</v>
      </c>
      <c r="D937" t="s">
        <v>19</v>
      </c>
      <c r="E937" t="s">
        <v>30</v>
      </c>
      <c r="F937" t="s">
        <v>41</v>
      </c>
      <c r="G937" s="2" t="s">
        <v>60</v>
      </c>
      <c r="H937" t="s">
        <v>31</v>
      </c>
      <c r="I937" t="s">
        <v>23</v>
      </c>
      <c r="J937" t="s">
        <v>28</v>
      </c>
      <c r="K937" s="5" t="s">
        <v>45</v>
      </c>
      <c r="L937" s="6" cm="1">
        <f t="array" ref="L937">_xlfn.SWITCH(Table13_2[[#This Row],[Performance Score]],"A",6,"B",5,"C",4,"D",3,"E",2,"F",1)</f>
        <v>6</v>
      </c>
      <c r="M937" s="5">
        <f t="shared" si="14"/>
        <v>65000</v>
      </c>
    </row>
    <row r="938" spans="1:13" x14ac:dyDescent="0.3">
      <c r="A938" t="s">
        <v>67</v>
      </c>
      <c r="B938" t="s">
        <v>51</v>
      </c>
      <c r="C938">
        <v>0</v>
      </c>
      <c r="D938" t="s">
        <v>34</v>
      </c>
      <c r="E938" t="s">
        <v>30</v>
      </c>
      <c r="F938" t="s">
        <v>21</v>
      </c>
      <c r="G938" s="2" t="s">
        <v>50</v>
      </c>
      <c r="H938" t="s">
        <v>38</v>
      </c>
      <c r="I938" t="s">
        <v>16</v>
      </c>
      <c r="J938" t="s">
        <v>24</v>
      </c>
      <c r="K938" s="5" t="s">
        <v>46</v>
      </c>
      <c r="L938" s="6" cm="1">
        <f t="array" ref="L938">_xlfn.SWITCH(Table13_2[[#This Row],[Performance Score]],"A",6,"B",5,"C",4,"D",3,"E",2,"F",1)</f>
        <v>5</v>
      </c>
      <c r="M938" s="5">
        <f t="shared" si="14"/>
        <v>50777.202072538857</v>
      </c>
    </row>
    <row r="939" spans="1:13" x14ac:dyDescent="0.3">
      <c r="A939" t="s">
        <v>66</v>
      </c>
      <c r="B939">
        <v>35</v>
      </c>
      <c r="C939">
        <v>65000</v>
      </c>
      <c r="D939" t="s">
        <v>19</v>
      </c>
      <c r="E939" t="s">
        <v>35</v>
      </c>
      <c r="F939" t="s">
        <v>41</v>
      </c>
      <c r="G939" s="2" t="s">
        <v>62</v>
      </c>
      <c r="H939" t="s">
        <v>22</v>
      </c>
      <c r="I939" t="s">
        <v>23</v>
      </c>
      <c r="J939" t="s">
        <v>28</v>
      </c>
      <c r="K939" s="5" t="s">
        <v>45</v>
      </c>
      <c r="L939" s="6" cm="1">
        <f t="array" ref="L939">_xlfn.SWITCH(Table13_2[[#This Row],[Performance Score]],"A",6,"B",5,"C",4,"D",3,"E",2,"F",1)</f>
        <v>1</v>
      </c>
      <c r="M939" s="5">
        <f t="shared" si="14"/>
        <v>65000</v>
      </c>
    </row>
    <row r="940" spans="1:13" x14ac:dyDescent="0.3">
      <c r="A940" t="s">
        <v>66</v>
      </c>
      <c r="B940">
        <v>40</v>
      </c>
      <c r="C940">
        <v>0</v>
      </c>
      <c r="D940" t="s">
        <v>12</v>
      </c>
      <c r="E940" t="s">
        <v>26</v>
      </c>
      <c r="F940" t="s">
        <v>40</v>
      </c>
      <c r="G940" s="2" t="s">
        <v>55</v>
      </c>
      <c r="H940" t="s">
        <v>22</v>
      </c>
      <c r="I940" t="s">
        <v>32</v>
      </c>
      <c r="J940" t="s">
        <v>42</v>
      </c>
      <c r="K940" s="5" t="s">
        <v>45</v>
      </c>
      <c r="L940" s="6" cm="1">
        <f t="array" ref="L940">_xlfn.SWITCH(Table13_2[[#This Row],[Performance Score]],"A",6,"B",5,"C",4,"D",3,"E",2,"F",1)</f>
        <v>1</v>
      </c>
      <c r="M940" s="5">
        <f t="shared" si="14"/>
        <v>50742.574257425746</v>
      </c>
    </row>
    <row r="941" spans="1:13" x14ac:dyDescent="0.3">
      <c r="A941" t="s">
        <v>49</v>
      </c>
      <c r="B941" t="s">
        <v>51</v>
      </c>
      <c r="C941">
        <v>70000</v>
      </c>
      <c r="D941" t="s">
        <v>19</v>
      </c>
      <c r="E941" t="s">
        <v>35</v>
      </c>
      <c r="F941" t="s">
        <v>41</v>
      </c>
      <c r="G941" s="2" t="s">
        <v>50</v>
      </c>
      <c r="H941" t="s">
        <v>27</v>
      </c>
      <c r="I941" t="s">
        <v>16</v>
      </c>
      <c r="J941" t="s">
        <v>28</v>
      </c>
      <c r="K941" s="5" t="s">
        <v>11</v>
      </c>
      <c r="L941" s="6" cm="1">
        <f t="array" ref="L941">_xlfn.SWITCH(Table13_2[[#This Row],[Performance Score]],"A",6,"B",5,"C",4,"D",3,"E",2,"F",1)</f>
        <v>4</v>
      </c>
      <c r="M941" s="5">
        <f t="shared" si="14"/>
        <v>70000</v>
      </c>
    </row>
    <row r="942" spans="1:13" x14ac:dyDescent="0.3">
      <c r="A942" t="s">
        <v>65</v>
      </c>
      <c r="B942" t="s">
        <v>63</v>
      </c>
      <c r="C942">
        <v>0</v>
      </c>
      <c r="D942" t="s">
        <v>12</v>
      </c>
      <c r="E942" t="s">
        <v>20</v>
      </c>
      <c r="F942" t="s">
        <v>14</v>
      </c>
      <c r="G942" s="2" t="s">
        <v>60</v>
      </c>
      <c r="H942" t="s">
        <v>15</v>
      </c>
      <c r="I942" t="s">
        <v>39</v>
      </c>
      <c r="J942" t="s">
        <v>17</v>
      </c>
      <c r="K942" s="5" t="s">
        <v>44</v>
      </c>
      <c r="L942" s="6" cm="1">
        <f t="array" ref="L942">_xlfn.SWITCH(Table13_2[[#This Row],[Performance Score]],"A",6,"B",5,"C",4,"D",3,"E",2,"F",1)</f>
        <v>3</v>
      </c>
      <c r="M942" s="5">
        <f t="shared" si="14"/>
        <v>48417.431192660551</v>
      </c>
    </row>
    <row r="943" spans="1:13" x14ac:dyDescent="0.3">
      <c r="A943" t="s">
        <v>56</v>
      </c>
      <c r="B943">
        <v>50</v>
      </c>
      <c r="C943">
        <v>65000</v>
      </c>
      <c r="D943" t="s">
        <v>19</v>
      </c>
      <c r="E943" t="s">
        <v>26</v>
      </c>
      <c r="F943" t="s">
        <v>14</v>
      </c>
      <c r="G943" s="2" t="s">
        <v>50</v>
      </c>
      <c r="H943" t="s">
        <v>27</v>
      </c>
      <c r="I943" t="s">
        <v>32</v>
      </c>
      <c r="J943" t="s">
        <v>42</v>
      </c>
      <c r="K943" s="5" t="s">
        <v>29</v>
      </c>
      <c r="L943" s="6" cm="1">
        <f t="array" ref="L943">_xlfn.SWITCH(Table13_2[[#This Row],[Performance Score]],"A",6,"B",5,"C",4,"D",3,"E",2,"F",1)</f>
        <v>4</v>
      </c>
      <c r="M943" s="5">
        <f t="shared" si="14"/>
        <v>65000</v>
      </c>
    </row>
    <row r="944" spans="1:13" x14ac:dyDescent="0.3">
      <c r="A944" t="s">
        <v>53</v>
      </c>
      <c r="B944" t="s">
        <v>63</v>
      </c>
      <c r="C944">
        <v>65000</v>
      </c>
      <c r="D944" t="s">
        <v>34</v>
      </c>
      <c r="E944" t="s">
        <v>13</v>
      </c>
      <c r="F944" t="s">
        <v>21</v>
      </c>
      <c r="G944" s="2">
        <v>43881</v>
      </c>
      <c r="H944" t="s">
        <v>38</v>
      </c>
      <c r="I944" t="s">
        <v>16</v>
      </c>
      <c r="J944" t="s">
        <v>28</v>
      </c>
      <c r="K944" s="5" t="s">
        <v>25</v>
      </c>
      <c r="L944" s="6" cm="1">
        <f t="array" ref="L944">_xlfn.SWITCH(Table13_2[[#This Row],[Performance Score]],"A",6,"B",5,"C",4,"D",3,"E",2,"F",1)</f>
        <v>5</v>
      </c>
      <c r="M944" s="5">
        <f t="shared" si="14"/>
        <v>65000</v>
      </c>
    </row>
    <row r="945" spans="1:13" x14ac:dyDescent="0.3">
      <c r="A945" t="s">
        <v>53</v>
      </c>
      <c r="B945">
        <v>25</v>
      </c>
      <c r="C945">
        <v>0</v>
      </c>
      <c r="D945" t="s">
        <v>12</v>
      </c>
      <c r="E945" t="s">
        <v>35</v>
      </c>
      <c r="F945" t="s">
        <v>37</v>
      </c>
      <c r="G945" s="2" t="s">
        <v>62</v>
      </c>
      <c r="H945" t="s">
        <v>22</v>
      </c>
      <c r="I945" t="s">
        <v>39</v>
      </c>
      <c r="J945" t="s">
        <v>24</v>
      </c>
      <c r="K945" s="5" t="s">
        <v>25</v>
      </c>
      <c r="L945" s="6" cm="1">
        <f t="array" ref="L945">_xlfn.SWITCH(Table13_2[[#This Row],[Performance Score]],"A",6,"B",5,"C",4,"D",3,"E",2,"F",1)</f>
        <v>1</v>
      </c>
      <c r="M945" s="5">
        <f t="shared" si="14"/>
        <v>49144.385026737968</v>
      </c>
    </row>
    <row r="946" spans="1:13" x14ac:dyDescent="0.3">
      <c r="A946" t="s">
        <v>61</v>
      </c>
      <c r="B946">
        <v>40</v>
      </c>
      <c r="C946">
        <v>60000</v>
      </c>
      <c r="D946" t="s">
        <v>34</v>
      </c>
      <c r="E946" t="s">
        <v>20</v>
      </c>
      <c r="F946" t="s">
        <v>40</v>
      </c>
      <c r="G946" s="2" t="s">
        <v>62</v>
      </c>
      <c r="H946" t="s">
        <v>27</v>
      </c>
      <c r="I946" t="s">
        <v>23</v>
      </c>
      <c r="J946" t="s">
        <v>28</v>
      </c>
      <c r="K946" s="5" t="s">
        <v>36</v>
      </c>
      <c r="L946" s="6" cm="1">
        <f t="array" ref="L946">_xlfn.SWITCH(Table13_2[[#This Row],[Performance Score]],"A",6,"B",5,"C",4,"D",3,"E",2,"F",1)</f>
        <v>4</v>
      </c>
      <c r="M946" s="5">
        <f t="shared" si="14"/>
        <v>60000</v>
      </c>
    </row>
    <row r="947" spans="1:13" x14ac:dyDescent="0.3">
      <c r="A947" t="s">
        <v>49</v>
      </c>
      <c r="B947" t="s">
        <v>51</v>
      </c>
      <c r="C947">
        <v>70000</v>
      </c>
      <c r="D947" t="s">
        <v>34</v>
      </c>
      <c r="E947" t="s">
        <v>26</v>
      </c>
      <c r="F947" t="s">
        <v>40</v>
      </c>
      <c r="G947" s="2" t="s">
        <v>62</v>
      </c>
      <c r="H947" t="s">
        <v>15</v>
      </c>
      <c r="I947" t="s">
        <v>16</v>
      </c>
      <c r="J947" t="s">
        <v>24</v>
      </c>
      <c r="K947" s="5" t="s">
        <v>11</v>
      </c>
      <c r="L947" s="6" cm="1">
        <f t="array" ref="L947">_xlfn.SWITCH(Table13_2[[#This Row],[Performance Score]],"A",6,"B",5,"C",4,"D",3,"E",2,"F",1)</f>
        <v>3</v>
      </c>
      <c r="M947" s="5">
        <f t="shared" si="14"/>
        <v>70000</v>
      </c>
    </row>
    <row r="948" spans="1:13" x14ac:dyDescent="0.3">
      <c r="A948" t="s">
        <v>61</v>
      </c>
      <c r="B948" t="s">
        <v>63</v>
      </c>
      <c r="C948">
        <v>50000</v>
      </c>
      <c r="D948" t="s">
        <v>12</v>
      </c>
      <c r="E948" t="s">
        <v>35</v>
      </c>
      <c r="F948" t="s">
        <v>37</v>
      </c>
      <c r="G948" s="2" t="s">
        <v>62</v>
      </c>
      <c r="H948" t="s">
        <v>38</v>
      </c>
      <c r="I948" t="s">
        <v>23</v>
      </c>
      <c r="J948" t="s">
        <v>17</v>
      </c>
      <c r="K948" s="5" t="s">
        <v>36</v>
      </c>
      <c r="L948" s="6" cm="1">
        <f t="array" ref="L948">_xlfn.SWITCH(Table13_2[[#This Row],[Performance Score]],"A",6,"B",5,"C",4,"D",3,"E",2,"F",1)</f>
        <v>5</v>
      </c>
      <c r="M948" s="5">
        <f t="shared" si="14"/>
        <v>50000</v>
      </c>
    </row>
    <row r="949" spans="1:13" x14ac:dyDescent="0.3">
      <c r="A949" t="s">
        <v>64</v>
      </c>
      <c r="B949">
        <v>40</v>
      </c>
      <c r="C949">
        <v>55000</v>
      </c>
      <c r="D949" t="s">
        <v>12</v>
      </c>
      <c r="E949" t="s">
        <v>30</v>
      </c>
      <c r="F949" t="s">
        <v>14</v>
      </c>
      <c r="G949" s="2" t="s">
        <v>62</v>
      </c>
      <c r="H949" t="s">
        <v>31</v>
      </c>
      <c r="I949" t="s">
        <v>39</v>
      </c>
      <c r="J949" t="s">
        <v>28</v>
      </c>
      <c r="K949" s="5" t="s">
        <v>43</v>
      </c>
      <c r="L949" s="6" cm="1">
        <f t="array" ref="L949">_xlfn.SWITCH(Table13_2[[#This Row],[Performance Score]],"A",6,"B",5,"C",4,"D",3,"E",2,"F",1)</f>
        <v>6</v>
      </c>
      <c r="M949" s="5">
        <f t="shared" si="14"/>
        <v>55000</v>
      </c>
    </row>
    <row r="950" spans="1:13" x14ac:dyDescent="0.3">
      <c r="A950" t="s">
        <v>64</v>
      </c>
      <c r="B950">
        <v>25</v>
      </c>
      <c r="C950">
        <v>65000</v>
      </c>
      <c r="D950" t="s">
        <v>34</v>
      </c>
      <c r="E950" t="s">
        <v>35</v>
      </c>
      <c r="F950" t="s">
        <v>14</v>
      </c>
      <c r="G950" s="2" t="s">
        <v>62</v>
      </c>
      <c r="H950" t="s">
        <v>27</v>
      </c>
      <c r="I950" t="s">
        <v>16</v>
      </c>
      <c r="J950" t="s">
        <v>17</v>
      </c>
      <c r="K950" s="5" t="s">
        <v>43</v>
      </c>
      <c r="L950" s="6" cm="1">
        <f t="array" ref="L950">_xlfn.SWITCH(Table13_2[[#This Row],[Performance Score]],"A",6,"B",5,"C",4,"D",3,"E",2,"F",1)</f>
        <v>4</v>
      </c>
      <c r="M950" s="5">
        <f t="shared" si="14"/>
        <v>65000</v>
      </c>
    </row>
    <row r="951" spans="1:13" x14ac:dyDescent="0.3">
      <c r="A951" t="s">
        <v>61</v>
      </c>
      <c r="B951">
        <v>35</v>
      </c>
      <c r="C951">
        <v>55000</v>
      </c>
      <c r="D951" t="s">
        <v>34</v>
      </c>
      <c r="E951" t="s">
        <v>13</v>
      </c>
      <c r="F951" t="s">
        <v>41</v>
      </c>
      <c r="G951" s="2" t="s">
        <v>55</v>
      </c>
      <c r="H951" t="s">
        <v>38</v>
      </c>
      <c r="I951" t="s">
        <v>39</v>
      </c>
      <c r="J951" t="s">
        <v>42</v>
      </c>
      <c r="K951" s="5" t="s">
        <v>36</v>
      </c>
      <c r="L951" s="6" cm="1">
        <f t="array" ref="L951">_xlfn.SWITCH(Table13_2[[#This Row],[Performance Score]],"A",6,"B",5,"C",4,"D",3,"E",2,"F",1)</f>
        <v>5</v>
      </c>
      <c r="M951" s="5">
        <f t="shared" si="14"/>
        <v>55000</v>
      </c>
    </row>
    <row r="952" spans="1:13" x14ac:dyDescent="0.3">
      <c r="A952" t="s">
        <v>49</v>
      </c>
      <c r="B952">
        <v>50</v>
      </c>
      <c r="C952">
        <v>50000</v>
      </c>
      <c r="D952" t="s">
        <v>34</v>
      </c>
      <c r="E952" t="s">
        <v>35</v>
      </c>
      <c r="F952" t="s">
        <v>21</v>
      </c>
      <c r="G952" s="2" t="s">
        <v>60</v>
      </c>
      <c r="H952" t="s">
        <v>31</v>
      </c>
      <c r="I952" t="s">
        <v>32</v>
      </c>
      <c r="J952" t="s">
        <v>24</v>
      </c>
      <c r="K952" s="5" t="s">
        <v>11</v>
      </c>
      <c r="L952" s="6" cm="1">
        <f t="array" ref="L952">_xlfn.SWITCH(Table13_2[[#This Row],[Performance Score]],"A",6,"B",5,"C",4,"D",3,"E",2,"F",1)</f>
        <v>6</v>
      </c>
      <c r="M952" s="5">
        <f t="shared" si="14"/>
        <v>50000</v>
      </c>
    </row>
    <row r="953" spans="1:13" x14ac:dyDescent="0.3">
      <c r="A953" t="s">
        <v>61</v>
      </c>
      <c r="B953">
        <v>40</v>
      </c>
      <c r="C953">
        <v>55000</v>
      </c>
      <c r="D953" t="s">
        <v>34</v>
      </c>
      <c r="E953" t="s">
        <v>26</v>
      </c>
      <c r="F953" t="s">
        <v>21</v>
      </c>
      <c r="G953" s="2" t="s">
        <v>62</v>
      </c>
      <c r="H953" t="s">
        <v>27</v>
      </c>
      <c r="I953" t="s">
        <v>16</v>
      </c>
      <c r="J953" t="s">
        <v>42</v>
      </c>
      <c r="K953" s="5" t="s">
        <v>36</v>
      </c>
      <c r="L953" s="6" cm="1">
        <f t="array" ref="L953">_xlfn.SWITCH(Table13_2[[#This Row],[Performance Score]],"A",6,"B",5,"C",4,"D",3,"E",2,"F",1)</f>
        <v>4</v>
      </c>
      <c r="M953" s="5">
        <f t="shared" si="14"/>
        <v>55000</v>
      </c>
    </row>
    <row r="954" spans="1:13" x14ac:dyDescent="0.3">
      <c r="A954" t="s">
        <v>53</v>
      </c>
      <c r="B954">
        <v>40</v>
      </c>
      <c r="C954">
        <v>50000</v>
      </c>
      <c r="D954" t="s">
        <v>12</v>
      </c>
      <c r="E954" t="s">
        <v>26</v>
      </c>
      <c r="F954" t="s">
        <v>21</v>
      </c>
      <c r="G954" s="2" t="s">
        <v>60</v>
      </c>
      <c r="H954" t="s">
        <v>38</v>
      </c>
      <c r="I954" t="s">
        <v>39</v>
      </c>
      <c r="J954" t="s">
        <v>24</v>
      </c>
      <c r="K954" s="5" t="s">
        <v>25</v>
      </c>
      <c r="L954" s="6" cm="1">
        <f t="array" ref="L954">_xlfn.SWITCH(Table13_2[[#This Row],[Performance Score]],"A",6,"B",5,"C",4,"D",3,"E",2,"F",1)</f>
        <v>5</v>
      </c>
      <c r="M954" s="5">
        <f t="shared" si="14"/>
        <v>50000</v>
      </c>
    </row>
    <row r="955" spans="1:13" x14ac:dyDescent="0.3">
      <c r="A955" t="s">
        <v>59</v>
      </c>
      <c r="B955">
        <v>35</v>
      </c>
      <c r="C955">
        <v>0</v>
      </c>
      <c r="D955" t="s">
        <v>12</v>
      </c>
      <c r="E955" t="s">
        <v>35</v>
      </c>
      <c r="F955" t="s">
        <v>41</v>
      </c>
      <c r="G955" s="2" t="s">
        <v>62</v>
      </c>
      <c r="H955" t="s">
        <v>38</v>
      </c>
      <c r="I955" t="s">
        <v>16</v>
      </c>
      <c r="J955" t="s">
        <v>17</v>
      </c>
      <c r="K955" s="5" t="s">
        <v>33</v>
      </c>
      <c r="L955" s="6" cm="1">
        <f t="array" ref="L955">_xlfn.SWITCH(Table13_2[[#This Row],[Performance Score]],"A",6,"B",5,"C",4,"D",3,"E",2,"F",1)</f>
        <v>5</v>
      </c>
      <c r="M955" s="5">
        <f t="shared" si="14"/>
        <v>49144.385026737968</v>
      </c>
    </row>
    <row r="956" spans="1:13" x14ac:dyDescent="0.3">
      <c r="A956" t="s">
        <v>52</v>
      </c>
      <c r="B956">
        <v>40</v>
      </c>
      <c r="C956">
        <v>60000</v>
      </c>
      <c r="D956" t="s">
        <v>34</v>
      </c>
      <c r="E956" t="s">
        <v>26</v>
      </c>
      <c r="F956" t="s">
        <v>21</v>
      </c>
      <c r="G956" s="2" t="s">
        <v>50</v>
      </c>
      <c r="H956" t="s">
        <v>27</v>
      </c>
      <c r="I956" t="s">
        <v>23</v>
      </c>
      <c r="J956" t="s">
        <v>17</v>
      </c>
      <c r="K956" s="5" t="s">
        <v>18</v>
      </c>
      <c r="L956" s="6" cm="1">
        <f t="array" ref="L956">_xlfn.SWITCH(Table13_2[[#This Row],[Performance Score]],"A",6,"B",5,"C",4,"D",3,"E",2,"F",1)</f>
        <v>4</v>
      </c>
      <c r="M956" s="5">
        <f t="shared" si="14"/>
        <v>60000</v>
      </c>
    </row>
    <row r="957" spans="1:13" x14ac:dyDescent="0.3">
      <c r="A957" t="s">
        <v>66</v>
      </c>
      <c r="B957">
        <v>25</v>
      </c>
      <c r="C957">
        <v>65000</v>
      </c>
      <c r="D957" t="s">
        <v>19</v>
      </c>
      <c r="E957" t="s">
        <v>30</v>
      </c>
      <c r="F957" t="s">
        <v>37</v>
      </c>
      <c r="G957" s="2" t="s">
        <v>62</v>
      </c>
      <c r="H957" t="s">
        <v>38</v>
      </c>
      <c r="I957" t="s">
        <v>16</v>
      </c>
      <c r="J957" t="s">
        <v>28</v>
      </c>
      <c r="K957" s="5" t="s">
        <v>45</v>
      </c>
      <c r="L957" s="6" cm="1">
        <f t="array" ref="L957">_xlfn.SWITCH(Table13_2[[#This Row],[Performance Score]],"A",6,"B",5,"C",4,"D",3,"E",2,"F",1)</f>
        <v>5</v>
      </c>
      <c r="M957" s="5">
        <f t="shared" si="14"/>
        <v>65000</v>
      </c>
    </row>
    <row r="958" spans="1:13" x14ac:dyDescent="0.3">
      <c r="A958" t="s">
        <v>52</v>
      </c>
      <c r="B958">
        <v>25</v>
      </c>
      <c r="C958">
        <v>50000</v>
      </c>
      <c r="D958" t="s">
        <v>19</v>
      </c>
      <c r="E958" t="s">
        <v>35</v>
      </c>
      <c r="F958" t="s">
        <v>41</v>
      </c>
      <c r="G958" s="2">
        <v>43881</v>
      </c>
      <c r="H958" t="s">
        <v>22</v>
      </c>
      <c r="I958" t="s">
        <v>39</v>
      </c>
      <c r="J958" t="s">
        <v>17</v>
      </c>
      <c r="K958" s="5" t="s">
        <v>18</v>
      </c>
      <c r="L958" s="6" cm="1">
        <f t="array" ref="L958">_xlfn.SWITCH(Table13_2[[#This Row],[Performance Score]],"A",6,"B",5,"C",4,"D",3,"E",2,"F",1)</f>
        <v>1</v>
      </c>
      <c r="M958" s="5">
        <f t="shared" si="14"/>
        <v>50000</v>
      </c>
    </row>
    <row r="959" spans="1:13" x14ac:dyDescent="0.3">
      <c r="A959" t="s">
        <v>49</v>
      </c>
      <c r="B959">
        <v>35</v>
      </c>
      <c r="C959">
        <v>55000</v>
      </c>
      <c r="D959" t="s">
        <v>12</v>
      </c>
      <c r="E959" t="s">
        <v>30</v>
      </c>
      <c r="F959" t="s">
        <v>37</v>
      </c>
      <c r="G959" s="2" t="s">
        <v>55</v>
      </c>
      <c r="H959" t="s">
        <v>27</v>
      </c>
      <c r="I959" t="s">
        <v>16</v>
      </c>
      <c r="J959" t="s">
        <v>24</v>
      </c>
      <c r="K959" s="5" t="s">
        <v>11</v>
      </c>
      <c r="L959" s="6" cm="1">
        <f t="array" ref="L959">_xlfn.SWITCH(Table13_2[[#This Row],[Performance Score]],"A",6,"B",5,"C",4,"D",3,"E",2,"F",1)</f>
        <v>4</v>
      </c>
      <c r="M959" s="5">
        <f t="shared" si="14"/>
        <v>55000</v>
      </c>
    </row>
    <row r="960" spans="1:13" x14ac:dyDescent="0.3">
      <c r="A960" t="s">
        <v>52</v>
      </c>
      <c r="B960">
        <v>50</v>
      </c>
      <c r="C960">
        <v>65000</v>
      </c>
      <c r="D960" t="s">
        <v>34</v>
      </c>
      <c r="E960" t="s">
        <v>30</v>
      </c>
      <c r="F960" t="s">
        <v>41</v>
      </c>
      <c r="G960" s="2" t="s">
        <v>50</v>
      </c>
      <c r="H960" t="s">
        <v>38</v>
      </c>
      <c r="I960" t="s">
        <v>32</v>
      </c>
      <c r="J960" t="s">
        <v>24</v>
      </c>
      <c r="K960" s="5" t="s">
        <v>18</v>
      </c>
      <c r="L960" s="6" cm="1">
        <f t="array" ref="L960">_xlfn.SWITCH(Table13_2[[#This Row],[Performance Score]],"A",6,"B",5,"C",4,"D",3,"E",2,"F",1)</f>
        <v>5</v>
      </c>
      <c r="M960" s="5">
        <f t="shared" si="14"/>
        <v>65000</v>
      </c>
    </row>
    <row r="961" spans="1:13" x14ac:dyDescent="0.3">
      <c r="A961" t="s">
        <v>64</v>
      </c>
      <c r="B961" t="s">
        <v>51</v>
      </c>
      <c r="C961">
        <v>60000</v>
      </c>
      <c r="D961" t="s">
        <v>34</v>
      </c>
      <c r="E961" t="s">
        <v>20</v>
      </c>
      <c r="F961" t="s">
        <v>21</v>
      </c>
      <c r="G961" s="2" t="s">
        <v>50</v>
      </c>
      <c r="H961" t="s">
        <v>31</v>
      </c>
      <c r="I961" t="s">
        <v>16</v>
      </c>
      <c r="J961" t="s">
        <v>24</v>
      </c>
      <c r="K961" s="5" t="s">
        <v>43</v>
      </c>
      <c r="L961" s="6" cm="1">
        <f t="array" ref="L961">_xlfn.SWITCH(Table13_2[[#This Row],[Performance Score]],"A",6,"B",5,"C",4,"D",3,"E",2,"F",1)</f>
        <v>6</v>
      </c>
      <c r="M961" s="5">
        <f t="shared" si="14"/>
        <v>60000</v>
      </c>
    </row>
    <row r="962" spans="1:13" x14ac:dyDescent="0.3">
      <c r="A962" t="s">
        <v>67</v>
      </c>
      <c r="B962" t="s">
        <v>63</v>
      </c>
      <c r="C962">
        <v>0</v>
      </c>
      <c r="D962" t="s">
        <v>12</v>
      </c>
      <c r="E962" t="s">
        <v>35</v>
      </c>
      <c r="F962" t="s">
        <v>37</v>
      </c>
      <c r="G962" s="2">
        <v>43881</v>
      </c>
      <c r="H962" t="s">
        <v>31</v>
      </c>
      <c r="I962" t="s">
        <v>23</v>
      </c>
      <c r="J962" t="s">
        <v>24</v>
      </c>
      <c r="K962" s="5" t="s">
        <v>46</v>
      </c>
      <c r="L962" s="6" cm="1">
        <f t="array" ref="L962">_xlfn.SWITCH(Table13_2[[#This Row],[Performance Score]],"A",6,"B",5,"C",4,"D",3,"E",2,"F",1)</f>
        <v>6</v>
      </c>
      <c r="M962" s="5">
        <f t="shared" si="14"/>
        <v>49144.385026737968</v>
      </c>
    </row>
    <row r="963" spans="1:13" x14ac:dyDescent="0.3">
      <c r="A963" t="s">
        <v>66</v>
      </c>
      <c r="B963" t="s">
        <v>51</v>
      </c>
      <c r="C963">
        <v>65000</v>
      </c>
      <c r="D963" t="s">
        <v>19</v>
      </c>
      <c r="E963" t="s">
        <v>26</v>
      </c>
      <c r="F963" t="s">
        <v>37</v>
      </c>
      <c r="G963" s="2" t="s">
        <v>62</v>
      </c>
      <c r="H963" t="s">
        <v>22</v>
      </c>
      <c r="I963" t="s">
        <v>16</v>
      </c>
      <c r="J963" t="s">
        <v>28</v>
      </c>
      <c r="K963" s="5" t="s">
        <v>45</v>
      </c>
      <c r="L963" s="6" cm="1">
        <f t="array" ref="L963">_xlfn.SWITCH(Table13_2[[#This Row],[Performance Score]],"A",6,"B",5,"C",4,"D",3,"E",2,"F",1)</f>
        <v>1</v>
      </c>
      <c r="M963" s="5">
        <f t="shared" ref="M963:M1001" si="15">IF(C963=0,AVERAGEIF($E$2:$E$1001,E963,$C$2:$C$1001),C963)</f>
        <v>65000</v>
      </c>
    </row>
    <row r="964" spans="1:13" x14ac:dyDescent="0.3">
      <c r="A964" t="s">
        <v>56</v>
      </c>
      <c r="B964">
        <v>40</v>
      </c>
      <c r="C964">
        <v>50000</v>
      </c>
      <c r="D964" t="s">
        <v>19</v>
      </c>
      <c r="E964" t="s">
        <v>30</v>
      </c>
      <c r="F964" t="s">
        <v>37</v>
      </c>
      <c r="G964" s="2" t="s">
        <v>55</v>
      </c>
      <c r="H964" t="s">
        <v>27</v>
      </c>
      <c r="I964" t="s">
        <v>39</v>
      </c>
      <c r="J964" t="s">
        <v>42</v>
      </c>
      <c r="K964" s="5" t="s">
        <v>29</v>
      </c>
      <c r="L964" s="6" cm="1">
        <f t="array" ref="L964">_xlfn.SWITCH(Table13_2[[#This Row],[Performance Score]],"A",6,"B",5,"C",4,"D",3,"E",2,"F",1)</f>
        <v>4</v>
      </c>
      <c r="M964" s="5">
        <f t="shared" si="15"/>
        <v>50000</v>
      </c>
    </row>
    <row r="965" spans="1:13" x14ac:dyDescent="0.3">
      <c r="A965" t="s">
        <v>49</v>
      </c>
      <c r="B965" t="s">
        <v>63</v>
      </c>
      <c r="C965">
        <v>60000</v>
      </c>
      <c r="D965" t="s">
        <v>19</v>
      </c>
      <c r="E965" t="s">
        <v>20</v>
      </c>
      <c r="F965" t="s">
        <v>41</v>
      </c>
      <c r="G965" s="2" t="s">
        <v>50</v>
      </c>
      <c r="H965" t="s">
        <v>38</v>
      </c>
      <c r="I965" t="s">
        <v>39</v>
      </c>
      <c r="J965" t="s">
        <v>17</v>
      </c>
      <c r="K965" s="5" t="s">
        <v>11</v>
      </c>
      <c r="L965" s="6" cm="1">
        <f t="array" ref="L965">_xlfn.SWITCH(Table13_2[[#This Row],[Performance Score]],"A",6,"B",5,"C",4,"D",3,"E",2,"F",1)</f>
        <v>5</v>
      </c>
      <c r="M965" s="5">
        <f t="shared" si="15"/>
        <v>60000</v>
      </c>
    </row>
    <row r="966" spans="1:13" x14ac:dyDescent="0.3">
      <c r="A966" t="s">
        <v>66</v>
      </c>
      <c r="B966">
        <v>35</v>
      </c>
      <c r="C966">
        <v>55000</v>
      </c>
      <c r="D966" t="s">
        <v>12</v>
      </c>
      <c r="E966" t="s">
        <v>35</v>
      </c>
      <c r="F966" t="s">
        <v>40</v>
      </c>
      <c r="G966" s="2" t="s">
        <v>55</v>
      </c>
      <c r="H966" t="s">
        <v>38</v>
      </c>
      <c r="I966" t="s">
        <v>16</v>
      </c>
      <c r="J966" t="s">
        <v>28</v>
      </c>
      <c r="K966" s="5" t="s">
        <v>45</v>
      </c>
      <c r="L966" s="6" cm="1">
        <f t="array" ref="L966">_xlfn.SWITCH(Table13_2[[#This Row],[Performance Score]],"A",6,"B",5,"C",4,"D",3,"E",2,"F",1)</f>
        <v>5</v>
      </c>
      <c r="M966" s="5">
        <f t="shared" si="15"/>
        <v>55000</v>
      </c>
    </row>
    <row r="967" spans="1:13" x14ac:dyDescent="0.3">
      <c r="A967" t="s">
        <v>52</v>
      </c>
      <c r="B967">
        <v>35</v>
      </c>
      <c r="C967">
        <v>60000</v>
      </c>
      <c r="D967" t="s">
        <v>19</v>
      </c>
      <c r="E967" t="s">
        <v>35</v>
      </c>
      <c r="F967" t="s">
        <v>21</v>
      </c>
      <c r="G967" s="2" t="s">
        <v>50</v>
      </c>
      <c r="H967" t="s">
        <v>31</v>
      </c>
      <c r="I967" t="s">
        <v>16</v>
      </c>
      <c r="J967" t="s">
        <v>24</v>
      </c>
      <c r="K967" s="5" t="s">
        <v>18</v>
      </c>
      <c r="L967" s="6" cm="1">
        <f t="array" ref="L967">_xlfn.SWITCH(Table13_2[[#This Row],[Performance Score]],"A",6,"B",5,"C",4,"D",3,"E",2,"F",1)</f>
        <v>6</v>
      </c>
      <c r="M967" s="5">
        <f t="shared" si="15"/>
        <v>60000</v>
      </c>
    </row>
    <row r="968" spans="1:13" x14ac:dyDescent="0.3">
      <c r="A968" t="s">
        <v>64</v>
      </c>
      <c r="B968">
        <v>50</v>
      </c>
      <c r="C968">
        <v>60000</v>
      </c>
      <c r="D968" t="s">
        <v>12</v>
      </c>
      <c r="E968" t="s">
        <v>13</v>
      </c>
      <c r="F968" t="s">
        <v>37</v>
      </c>
      <c r="G968" s="2" t="s">
        <v>62</v>
      </c>
      <c r="H968" t="s">
        <v>22</v>
      </c>
      <c r="I968" t="s">
        <v>32</v>
      </c>
      <c r="J968" t="s">
        <v>28</v>
      </c>
      <c r="K968" s="5" t="s">
        <v>43</v>
      </c>
      <c r="L968" s="6" cm="1">
        <f t="array" ref="L968">_xlfn.SWITCH(Table13_2[[#This Row],[Performance Score]],"A",6,"B",5,"C",4,"D",3,"E",2,"F",1)</f>
        <v>1</v>
      </c>
      <c r="M968" s="5">
        <f t="shared" si="15"/>
        <v>60000</v>
      </c>
    </row>
    <row r="969" spans="1:13" x14ac:dyDescent="0.3">
      <c r="A969" t="s">
        <v>65</v>
      </c>
      <c r="B969" t="s">
        <v>63</v>
      </c>
      <c r="C969">
        <v>70000</v>
      </c>
      <c r="D969" t="s">
        <v>12</v>
      </c>
      <c r="E969" t="s">
        <v>13</v>
      </c>
      <c r="F969" t="s">
        <v>40</v>
      </c>
      <c r="G969" s="2" t="s">
        <v>50</v>
      </c>
      <c r="H969" t="s">
        <v>31</v>
      </c>
      <c r="I969" t="s">
        <v>39</v>
      </c>
      <c r="J969" t="s">
        <v>17</v>
      </c>
      <c r="K969" s="5" t="s">
        <v>44</v>
      </c>
      <c r="L969" s="6" cm="1">
        <f t="array" ref="L969">_xlfn.SWITCH(Table13_2[[#This Row],[Performance Score]],"A",6,"B",5,"C",4,"D",3,"E",2,"F",1)</f>
        <v>6</v>
      </c>
      <c r="M969" s="5">
        <f t="shared" si="15"/>
        <v>70000</v>
      </c>
    </row>
    <row r="970" spans="1:13" x14ac:dyDescent="0.3">
      <c r="A970" t="s">
        <v>59</v>
      </c>
      <c r="B970">
        <v>25</v>
      </c>
      <c r="C970">
        <v>60000</v>
      </c>
      <c r="D970" t="s">
        <v>34</v>
      </c>
      <c r="E970" t="s">
        <v>30</v>
      </c>
      <c r="F970" t="s">
        <v>21</v>
      </c>
      <c r="G970" s="2" t="s">
        <v>50</v>
      </c>
      <c r="H970" t="s">
        <v>31</v>
      </c>
      <c r="I970" t="s">
        <v>39</v>
      </c>
      <c r="J970" t="s">
        <v>24</v>
      </c>
      <c r="K970" s="5" t="s">
        <v>33</v>
      </c>
      <c r="L970" s="6" cm="1">
        <f t="array" ref="L970">_xlfn.SWITCH(Table13_2[[#This Row],[Performance Score]],"A",6,"B",5,"C",4,"D",3,"E",2,"F",1)</f>
        <v>6</v>
      </c>
      <c r="M970" s="5">
        <f t="shared" si="15"/>
        <v>60000</v>
      </c>
    </row>
    <row r="971" spans="1:13" x14ac:dyDescent="0.3">
      <c r="A971" t="s">
        <v>56</v>
      </c>
      <c r="B971" t="s">
        <v>63</v>
      </c>
      <c r="C971">
        <v>60000</v>
      </c>
      <c r="D971" t="s">
        <v>19</v>
      </c>
      <c r="E971" t="s">
        <v>13</v>
      </c>
      <c r="F971" t="s">
        <v>21</v>
      </c>
      <c r="G971" s="2" t="s">
        <v>60</v>
      </c>
      <c r="H971" t="s">
        <v>22</v>
      </c>
      <c r="I971" t="s">
        <v>23</v>
      </c>
      <c r="J971" t="s">
        <v>17</v>
      </c>
      <c r="K971" s="5" t="s">
        <v>29</v>
      </c>
      <c r="L971" s="6" cm="1">
        <f t="array" ref="L971">_xlfn.SWITCH(Table13_2[[#This Row],[Performance Score]],"A",6,"B",5,"C",4,"D",3,"E",2,"F",1)</f>
        <v>1</v>
      </c>
      <c r="M971" s="5">
        <f t="shared" si="15"/>
        <v>60000</v>
      </c>
    </row>
    <row r="972" spans="1:13" x14ac:dyDescent="0.3">
      <c r="A972" t="s">
        <v>59</v>
      </c>
      <c r="B972">
        <v>40</v>
      </c>
      <c r="C972">
        <v>65000</v>
      </c>
      <c r="D972" t="s">
        <v>12</v>
      </c>
      <c r="E972" t="s">
        <v>30</v>
      </c>
      <c r="F972" t="s">
        <v>37</v>
      </c>
      <c r="G972" s="2" t="s">
        <v>62</v>
      </c>
      <c r="H972" t="s">
        <v>27</v>
      </c>
      <c r="I972" t="s">
        <v>16</v>
      </c>
      <c r="J972" t="s">
        <v>24</v>
      </c>
      <c r="K972" s="5" t="s">
        <v>33</v>
      </c>
      <c r="L972" s="6" cm="1">
        <f t="array" ref="L972">_xlfn.SWITCH(Table13_2[[#This Row],[Performance Score]],"A",6,"B",5,"C",4,"D",3,"E",2,"F",1)</f>
        <v>4</v>
      </c>
      <c r="M972" s="5">
        <f t="shared" si="15"/>
        <v>65000</v>
      </c>
    </row>
    <row r="973" spans="1:13" x14ac:dyDescent="0.3">
      <c r="A973" t="s">
        <v>66</v>
      </c>
      <c r="B973">
        <v>25</v>
      </c>
      <c r="C973">
        <v>55000</v>
      </c>
      <c r="D973" t="s">
        <v>19</v>
      </c>
      <c r="E973" t="s">
        <v>26</v>
      </c>
      <c r="F973" t="s">
        <v>37</v>
      </c>
      <c r="G973" s="2">
        <v>43881</v>
      </c>
      <c r="H973" t="s">
        <v>38</v>
      </c>
      <c r="I973" t="s">
        <v>39</v>
      </c>
      <c r="J973" t="s">
        <v>17</v>
      </c>
      <c r="K973" s="5" t="s">
        <v>45</v>
      </c>
      <c r="L973" s="6" cm="1">
        <f t="array" ref="L973">_xlfn.SWITCH(Table13_2[[#This Row],[Performance Score]],"A",6,"B",5,"C",4,"D",3,"E",2,"F",1)</f>
        <v>5</v>
      </c>
      <c r="M973" s="5">
        <f t="shared" si="15"/>
        <v>55000</v>
      </c>
    </row>
    <row r="974" spans="1:13" x14ac:dyDescent="0.3">
      <c r="A974" t="s">
        <v>64</v>
      </c>
      <c r="B974">
        <v>35</v>
      </c>
      <c r="C974">
        <v>65000</v>
      </c>
      <c r="D974" t="s">
        <v>19</v>
      </c>
      <c r="E974" t="s">
        <v>30</v>
      </c>
      <c r="F974" t="s">
        <v>41</v>
      </c>
      <c r="G974" s="2">
        <v>43881</v>
      </c>
      <c r="H974" t="s">
        <v>27</v>
      </c>
      <c r="I974" t="s">
        <v>23</v>
      </c>
      <c r="J974" t="s">
        <v>17</v>
      </c>
      <c r="K974" s="5" t="s">
        <v>43</v>
      </c>
      <c r="L974" s="6" cm="1">
        <f t="array" ref="L974">_xlfn.SWITCH(Table13_2[[#This Row],[Performance Score]],"A",6,"B",5,"C",4,"D",3,"E",2,"F",1)</f>
        <v>4</v>
      </c>
      <c r="M974" s="5">
        <f t="shared" si="15"/>
        <v>65000</v>
      </c>
    </row>
    <row r="975" spans="1:13" x14ac:dyDescent="0.3">
      <c r="A975" t="s">
        <v>64</v>
      </c>
      <c r="B975" t="s">
        <v>63</v>
      </c>
      <c r="C975">
        <v>65000</v>
      </c>
      <c r="D975" t="s">
        <v>34</v>
      </c>
      <c r="E975" t="s">
        <v>13</v>
      </c>
      <c r="F975" t="s">
        <v>40</v>
      </c>
      <c r="G975" s="2" t="s">
        <v>62</v>
      </c>
      <c r="H975" t="s">
        <v>15</v>
      </c>
      <c r="I975" t="s">
        <v>39</v>
      </c>
      <c r="J975" t="s">
        <v>42</v>
      </c>
      <c r="K975" s="5" t="s">
        <v>43</v>
      </c>
      <c r="L975" s="6" cm="1">
        <f t="array" ref="L975">_xlfn.SWITCH(Table13_2[[#This Row],[Performance Score]],"A",6,"B",5,"C",4,"D",3,"E",2,"F",1)</f>
        <v>3</v>
      </c>
      <c r="M975" s="5">
        <f t="shared" si="15"/>
        <v>65000</v>
      </c>
    </row>
    <row r="976" spans="1:13" x14ac:dyDescent="0.3">
      <c r="A976" t="s">
        <v>52</v>
      </c>
      <c r="B976" t="s">
        <v>51</v>
      </c>
      <c r="C976">
        <v>50000</v>
      </c>
      <c r="D976" t="s">
        <v>19</v>
      </c>
      <c r="E976" t="s">
        <v>26</v>
      </c>
      <c r="F976" t="s">
        <v>40</v>
      </c>
      <c r="G976" s="2">
        <v>43881</v>
      </c>
      <c r="H976" t="s">
        <v>15</v>
      </c>
      <c r="I976" t="s">
        <v>39</v>
      </c>
      <c r="J976" t="s">
        <v>42</v>
      </c>
      <c r="K976" s="5" t="s">
        <v>18</v>
      </c>
      <c r="L976" s="6" cm="1">
        <f t="array" ref="L976">_xlfn.SWITCH(Table13_2[[#This Row],[Performance Score]],"A",6,"B",5,"C",4,"D",3,"E",2,"F",1)</f>
        <v>3</v>
      </c>
      <c r="M976" s="5">
        <f t="shared" si="15"/>
        <v>50000</v>
      </c>
    </row>
    <row r="977" spans="1:13" x14ac:dyDescent="0.3">
      <c r="A977" t="s">
        <v>53</v>
      </c>
      <c r="B977">
        <v>50</v>
      </c>
      <c r="C977">
        <v>65000</v>
      </c>
      <c r="D977" t="s">
        <v>34</v>
      </c>
      <c r="E977" t="s">
        <v>13</v>
      </c>
      <c r="F977" t="s">
        <v>37</v>
      </c>
      <c r="G977" s="2" t="s">
        <v>62</v>
      </c>
      <c r="H977" t="s">
        <v>15</v>
      </c>
      <c r="I977" t="s">
        <v>39</v>
      </c>
      <c r="J977" t="s">
        <v>28</v>
      </c>
      <c r="K977" s="5" t="s">
        <v>25</v>
      </c>
      <c r="L977" s="6" cm="1">
        <f t="array" ref="L977">_xlfn.SWITCH(Table13_2[[#This Row],[Performance Score]],"A",6,"B",5,"C",4,"D",3,"E",2,"F",1)</f>
        <v>3</v>
      </c>
      <c r="M977" s="5">
        <f t="shared" si="15"/>
        <v>65000</v>
      </c>
    </row>
    <row r="978" spans="1:13" x14ac:dyDescent="0.3">
      <c r="A978" t="s">
        <v>52</v>
      </c>
      <c r="B978" t="s">
        <v>51</v>
      </c>
      <c r="C978">
        <v>70000</v>
      </c>
      <c r="D978" t="s">
        <v>12</v>
      </c>
      <c r="E978" t="s">
        <v>30</v>
      </c>
      <c r="F978" t="s">
        <v>21</v>
      </c>
      <c r="G978" s="2">
        <v>43881</v>
      </c>
      <c r="H978" t="s">
        <v>22</v>
      </c>
      <c r="I978" t="s">
        <v>23</v>
      </c>
      <c r="J978" t="s">
        <v>28</v>
      </c>
      <c r="K978" s="5" t="s">
        <v>18</v>
      </c>
      <c r="L978" s="6" cm="1">
        <f t="array" ref="L978">_xlfn.SWITCH(Table13_2[[#This Row],[Performance Score]],"A",6,"B",5,"C",4,"D",3,"E",2,"F",1)</f>
        <v>1</v>
      </c>
      <c r="M978" s="5">
        <f t="shared" si="15"/>
        <v>70000</v>
      </c>
    </row>
    <row r="979" spans="1:13" x14ac:dyDescent="0.3">
      <c r="A979" t="s">
        <v>53</v>
      </c>
      <c r="B979">
        <v>50</v>
      </c>
      <c r="C979">
        <v>70000</v>
      </c>
      <c r="D979" t="s">
        <v>19</v>
      </c>
      <c r="E979" t="s">
        <v>20</v>
      </c>
      <c r="F979" t="s">
        <v>37</v>
      </c>
      <c r="G979" s="2" t="s">
        <v>60</v>
      </c>
      <c r="H979" t="s">
        <v>31</v>
      </c>
      <c r="I979" t="s">
        <v>39</v>
      </c>
      <c r="J979" t="s">
        <v>17</v>
      </c>
      <c r="K979" s="5" t="s">
        <v>25</v>
      </c>
      <c r="L979" s="6" cm="1">
        <f t="array" ref="L979">_xlfn.SWITCH(Table13_2[[#This Row],[Performance Score]],"A",6,"B",5,"C",4,"D",3,"E",2,"F",1)</f>
        <v>6</v>
      </c>
      <c r="M979" s="5">
        <f t="shared" si="15"/>
        <v>70000</v>
      </c>
    </row>
    <row r="980" spans="1:13" x14ac:dyDescent="0.3">
      <c r="A980" t="s">
        <v>53</v>
      </c>
      <c r="B980">
        <v>40</v>
      </c>
      <c r="C980">
        <v>50000</v>
      </c>
      <c r="D980" t="s">
        <v>12</v>
      </c>
      <c r="E980" t="s">
        <v>35</v>
      </c>
      <c r="F980" t="s">
        <v>21</v>
      </c>
      <c r="G980" s="2">
        <v>43881</v>
      </c>
      <c r="H980" t="s">
        <v>27</v>
      </c>
      <c r="I980" t="s">
        <v>39</v>
      </c>
      <c r="J980" t="s">
        <v>24</v>
      </c>
      <c r="K980" s="5" t="s">
        <v>25</v>
      </c>
      <c r="L980" s="6" cm="1">
        <f t="array" ref="L980">_xlfn.SWITCH(Table13_2[[#This Row],[Performance Score]],"A",6,"B",5,"C",4,"D",3,"E",2,"F",1)</f>
        <v>4</v>
      </c>
      <c r="M980" s="5">
        <f t="shared" si="15"/>
        <v>50000</v>
      </c>
    </row>
    <row r="981" spans="1:13" x14ac:dyDescent="0.3">
      <c r="A981" t="s">
        <v>56</v>
      </c>
      <c r="B981" t="s">
        <v>51</v>
      </c>
      <c r="C981">
        <v>0</v>
      </c>
      <c r="D981" t="s">
        <v>19</v>
      </c>
      <c r="E981" t="s">
        <v>13</v>
      </c>
      <c r="F981" t="s">
        <v>21</v>
      </c>
      <c r="G981" s="2" t="s">
        <v>50</v>
      </c>
      <c r="H981" t="s">
        <v>38</v>
      </c>
      <c r="I981" t="s">
        <v>39</v>
      </c>
      <c r="J981" t="s">
        <v>17</v>
      </c>
      <c r="K981" s="5" t="s">
        <v>29</v>
      </c>
      <c r="L981" s="6" cm="1">
        <f t="array" ref="L981">_xlfn.SWITCH(Table13_2[[#This Row],[Performance Score]],"A",6,"B",5,"C",4,"D",3,"E",2,"F",1)</f>
        <v>5</v>
      </c>
      <c r="M981" s="5">
        <f t="shared" si="15"/>
        <v>51825</v>
      </c>
    </row>
    <row r="982" spans="1:13" x14ac:dyDescent="0.3">
      <c r="A982" t="s">
        <v>52</v>
      </c>
      <c r="B982" t="s">
        <v>63</v>
      </c>
      <c r="C982">
        <v>55000</v>
      </c>
      <c r="D982" t="s">
        <v>12</v>
      </c>
      <c r="E982" t="s">
        <v>30</v>
      </c>
      <c r="F982" t="s">
        <v>37</v>
      </c>
      <c r="G982" s="2" t="s">
        <v>62</v>
      </c>
      <c r="H982" t="s">
        <v>15</v>
      </c>
      <c r="I982" t="s">
        <v>39</v>
      </c>
      <c r="J982" t="s">
        <v>17</v>
      </c>
      <c r="K982" s="5" t="s">
        <v>18</v>
      </c>
      <c r="L982" s="6" cm="1">
        <f t="array" ref="L982">_xlfn.SWITCH(Table13_2[[#This Row],[Performance Score]],"A",6,"B",5,"C",4,"D",3,"E",2,"F",1)</f>
        <v>3</v>
      </c>
      <c r="M982" s="5">
        <f t="shared" si="15"/>
        <v>55000</v>
      </c>
    </row>
    <row r="983" spans="1:13" x14ac:dyDescent="0.3">
      <c r="A983" t="s">
        <v>65</v>
      </c>
      <c r="B983" t="s">
        <v>63</v>
      </c>
      <c r="C983">
        <v>55000</v>
      </c>
      <c r="D983" t="s">
        <v>19</v>
      </c>
      <c r="E983" t="s">
        <v>26</v>
      </c>
      <c r="F983" t="s">
        <v>14</v>
      </c>
      <c r="G983" s="2" t="s">
        <v>55</v>
      </c>
      <c r="H983" t="s">
        <v>27</v>
      </c>
      <c r="I983" t="s">
        <v>39</v>
      </c>
      <c r="J983" t="s">
        <v>24</v>
      </c>
      <c r="K983" s="5" t="s">
        <v>44</v>
      </c>
      <c r="L983" s="6" cm="1">
        <f t="array" ref="L983">_xlfn.SWITCH(Table13_2[[#This Row],[Performance Score]],"A",6,"B",5,"C",4,"D",3,"E",2,"F",1)</f>
        <v>4</v>
      </c>
      <c r="M983" s="5">
        <f t="shared" si="15"/>
        <v>55000</v>
      </c>
    </row>
    <row r="984" spans="1:13" x14ac:dyDescent="0.3">
      <c r="A984" t="s">
        <v>61</v>
      </c>
      <c r="B984" t="s">
        <v>51</v>
      </c>
      <c r="C984">
        <v>65000</v>
      </c>
      <c r="D984" t="s">
        <v>19</v>
      </c>
      <c r="E984" t="s">
        <v>13</v>
      </c>
      <c r="F984" t="s">
        <v>40</v>
      </c>
      <c r="G984" s="2" t="s">
        <v>55</v>
      </c>
      <c r="H984" t="s">
        <v>15</v>
      </c>
      <c r="I984" t="s">
        <v>32</v>
      </c>
      <c r="J984" t="s">
        <v>24</v>
      </c>
      <c r="K984" s="5" t="s">
        <v>36</v>
      </c>
      <c r="L984" s="6" cm="1">
        <f t="array" ref="L984">_xlfn.SWITCH(Table13_2[[#This Row],[Performance Score]],"A",6,"B",5,"C",4,"D",3,"E",2,"F",1)</f>
        <v>3</v>
      </c>
      <c r="M984" s="5">
        <f t="shared" si="15"/>
        <v>65000</v>
      </c>
    </row>
    <row r="985" spans="1:13" x14ac:dyDescent="0.3">
      <c r="A985" t="s">
        <v>61</v>
      </c>
      <c r="B985" t="s">
        <v>63</v>
      </c>
      <c r="C985">
        <v>65000</v>
      </c>
      <c r="D985" t="s">
        <v>19</v>
      </c>
      <c r="E985" t="s">
        <v>13</v>
      </c>
      <c r="F985" t="s">
        <v>21</v>
      </c>
      <c r="G985" s="2" t="s">
        <v>62</v>
      </c>
      <c r="H985" t="s">
        <v>15</v>
      </c>
      <c r="I985" t="s">
        <v>23</v>
      </c>
      <c r="J985" t="s">
        <v>42</v>
      </c>
      <c r="K985" s="5" t="s">
        <v>36</v>
      </c>
      <c r="L985" s="6" cm="1">
        <f t="array" ref="L985">_xlfn.SWITCH(Table13_2[[#This Row],[Performance Score]],"A",6,"B",5,"C",4,"D",3,"E",2,"F",1)</f>
        <v>3</v>
      </c>
      <c r="M985" s="5">
        <f t="shared" si="15"/>
        <v>65000</v>
      </c>
    </row>
    <row r="986" spans="1:13" x14ac:dyDescent="0.3">
      <c r="A986" t="s">
        <v>52</v>
      </c>
      <c r="B986">
        <v>40</v>
      </c>
      <c r="C986">
        <v>0</v>
      </c>
      <c r="D986" t="s">
        <v>19</v>
      </c>
      <c r="E986" t="s">
        <v>35</v>
      </c>
      <c r="F986" t="s">
        <v>21</v>
      </c>
      <c r="G986" s="2" t="s">
        <v>60</v>
      </c>
      <c r="H986" t="s">
        <v>38</v>
      </c>
      <c r="I986" t="s">
        <v>39</v>
      </c>
      <c r="J986" t="s">
        <v>17</v>
      </c>
      <c r="K986" s="5" t="s">
        <v>18</v>
      </c>
      <c r="L986" s="6" cm="1">
        <f t="array" ref="L986">_xlfn.SWITCH(Table13_2[[#This Row],[Performance Score]],"A",6,"B",5,"C",4,"D",3,"E",2,"F",1)</f>
        <v>5</v>
      </c>
      <c r="M986" s="5">
        <f t="shared" si="15"/>
        <v>49144.385026737968</v>
      </c>
    </row>
    <row r="987" spans="1:13" x14ac:dyDescent="0.3">
      <c r="A987" t="s">
        <v>52</v>
      </c>
      <c r="B987">
        <v>25</v>
      </c>
      <c r="C987">
        <v>65000</v>
      </c>
      <c r="D987" t="s">
        <v>19</v>
      </c>
      <c r="E987" t="s">
        <v>30</v>
      </c>
      <c r="F987" t="s">
        <v>14</v>
      </c>
      <c r="G987" s="2">
        <v>43881</v>
      </c>
      <c r="H987" t="s">
        <v>22</v>
      </c>
      <c r="I987" t="s">
        <v>39</v>
      </c>
      <c r="J987" t="s">
        <v>17</v>
      </c>
      <c r="K987" s="5" t="s">
        <v>18</v>
      </c>
      <c r="L987" s="6" cm="1">
        <f t="array" ref="L987">_xlfn.SWITCH(Table13_2[[#This Row],[Performance Score]],"A",6,"B",5,"C",4,"D",3,"E",2,"F",1)</f>
        <v>1</v>
      </c>
      <c r="M987" s="5">
        <f t="shared" si="15"/>
        <v>65000</v>
      </c>
    </row>
    <row r="988" spans="1:13" x14ac:dyDescent="0.3">
      <c r="A988" t="s">
        <v>59</v>
      </c>
      <c r="B988">
        <v>40</v>
      </c>
      <c r="C988">
        <v>55000</v>
      </c>
      <c r="D988" t="s">
        <v>19</v>
      </c>
      <c r="E988" t="s">
        <v>20</v>
      </c>
      <c r="F988" t="s">
        <v>41</v>
      </c>
      <c r="G988" s="2" t="s">
        <v>60</v>
      </c>
      <c r="H988" t="s">
        <v>31</v>
      </c>
      <c r="I988" t="s">
        <v>23</v>
      </c>
      <c r="J988" t="s">
        <v>28</v>
      </c>
      <c r="K988" s="5" t="s">
        <v>33</v>
      </c>
      <c r="L988" s="6" cm="1">
        <f t="array" ref="L988">_xlfn.SWITCH(Table13_2[[#This Row],[Performance Score]],"A",6,"B",5,"C",4,"D",3,"E",2,"F",1)</f>
        <v>6</v>
      </c>
      <c r="M988" s="5">
        <f t="shared" si="15"/>
        <v>55000</v>
      </c>
    </row>
    <row r="989" spans="1:13" x14ac:dyDescent="0.3">
      <c r="A989" t="s">
        <v>56</v>
      </c>
      <c r="B989">
        <v>50</v>
      </c>
      <c r="C989">
        <v>60000</v>
      </c>
      <c r="D989" t="s">
        <v>19</v>
      </c>
      <c r="E989" t="s">
        <v>26</v>
      </c>
      <c r="F989" t="s">
        <v>14</v>
      </c>
      <c r="G989" s="2" t="s">
        <v>55</v>
      </c>
      <c r="H989" t="s">
        <v>22</v>
      </c>
      <c r="I989" t="s">
        <v>23</v>
      </c>
      <c r="J989" t="s">
        <v>42</v>
      </c>
      <c r="K989" s="5" t="s">
        <v>29</v>
      </c>
      <c r="L989" s="6" cm="1">
        <f t="array" ref="L989">_xlfn.SWITCH(Table13_2[[#This Row],[Performance Score]],"A",6,"B",5,"C",4,"D",3,"E",2,"F",1)</f>
        <v>1</v>
      </c>
      <c r="M989" s="5">
        <f t="shared" si="15"/>
        <v>60000</v>
      </c>
    </row>
    <row r="990" spans="1:13" x14ac:dyDescent="0.3">
      <c r="A990" t="s">
        <v>52</v>
      </c>
      <c r="B990">
        <v>40</v>
      </c>
      <c r="C990">
        <v>70000</v>
      </c>
      <c r="D990" t="s">
        <v>19</v>
      </c>
      <c r="E990" t="s">
        <v>30</v>
      </c>
      <c r="F990" t="s">
        <v>14</v>
      </c>
      <c r="G990" s="2" t="s">
        <v>62</v>
      </c>
      <c r="H990" t="s">
        <v>27</v>
      </c>
      <c r="I990" t="s">
        <v>23</v>
      </c>
      <c r="J990" t="s">
        <v>17</v>
      </c>
      <c r="K990" s="5" t="s">
        <v>18</v>
      </c>
      <c r="L990" s="6" cm="1">
        <f t="array" ref="L990">_xlfn.SWITCH(Table13_2[[#This Row],[Performance Score]],"A",6,"B",5,"C",4,"D",3,"E",2,"F",1)</f>
        <v>4</v>
      </c>
      <c r="M990" s="5">
        <f t="shared" si="15"/>
        <v>70000</v>
      </c>
    </row>
    <row r="991" spans="1:13" x14ac:dyDescent="0.3">
      <c r="A991" t="s">
        <v>59</v>
      </c>
      <c r="B991">
        <v>50</v>
      </c>
      <c r="C991">
        <v>60000</v>
      </c>
      <c r="D991" t="s">
        <v>19</v>
      </c>
      <c r="E991" t="s">
        <v>26</v>
      </c>
      <c r="F991" t="s">
        <v>21</v>
      </c>
      <c r="G991" s="2" t="s">
        <v>62</v>
      </c>
      <c r="H991" t="s">
        <v>22</v>
      </c>
      <c r="I991" t="s">
        <v>23</v>
      </c>
      <c r="J991" t="s">
        <v>24</v>
      </c>
      <c r="K991" s="5" t="s">
        <v>33</v>
      </c>
      <c r="L991" s="6" cm="1">
        <f t="array" ref="L991">_xlfn.SWITCH(Table13_2[[#This Row],[Performance Score]],"A",6,"B",5,"C",4,"D",3,"E",2,"F",1)</f>
        <v>1</v>
      </c>
      <c r="M991" s="5">
        <f t="shared" si="15"/>
        <v>60000</v>
      </c>
    </row>
    <row r="992" spans="1:13" x14ac:dyDescent="0.3">
      <c r="A992" t="s">
        <v>53</v>
      </c>
      <c r="B992" t="s">
        <v>63</v>
      </c>
      <c r="C992">
        <v>60000</v>
      </c>
      <c r="D992" t="s">
        <v>12</v>
      </c>
      <c r="E992" t="s">
        <v>13</v>
      </c>
      <c r="F992" t="s">
        <v>40</v>
      </c>
      <c r="G992" s="2" t="s">
        <v>60</v>
      </c>
      <c r="H992" t="s">
        <v>27</v>
      </c>
      <c r="I992" t="s">
        <v>16</v>
      </c>
      <c r="J992" t="s">
        <v>17</v>
      </c>
      <c r="K992" s="5" t="s">
        <v>25</v>
      </c>
      <c r="L992" s="6" cm="1">
        <f t="array" ref="L992">_xlfn.SWITCH(Table13_2[[#This Row],[Performance Score]],"A",6,"B",5,"C",4,"D",3,"E",2,"F",1)</f>
        <v>4</v>
      </c>
      <c r="M992" s="5">
        <f t="shared" si="15"/>
        <v>60000</v>
      </c>
    </row>
    <row r="993" spans="1:13" x14ac:dyDescent="0.3">
      <c r="A993" t="s">
        <v>64</v>
      </c>
      <c r="B993">
        <v>25</v>
      </c>
      <c r="C993">
        <v>55000</v>
      </c>
      <c r="D993" t="s">
        <v>34</v>
      </c>
      <c r="E993" t="s">
        <v>35</v>
      </c>
      <c r="F993" t="s">
        <v>14</v>
      </c>
      <c r="G993" s="2" t="s">
        <v>60</v>
      </c>
      <c r="H993" t="s">
        <v>27</v>
      </c>
      <c r="I993" t="s">
        <v>39</v>
      </c>
      <c r="J993" t="s">
        <v>17</v>
      </c>
      <c r="K993" s="5" t="s">
        <v>43</v>
      </c>
      <c r="L993" s="6" cm="1">
        <f t="array" ref="L993">_xlfn.SWITCH(Table13_2[[#This Row],[Performance Score]],"A",6,"B",5,"C",4,"D",3,"E",2,"F",1)</f>
        <v>4</v>
      </c>
      <c r="M993" s="5">
        <f t="shared" si="15"/>
        <v>55000</v>
      </c>
    </row>
    <row r="994" spans="1:13" x14ac:dyDescent="0.3">
      <c r="A994" t="s">
        <v>64</v>
      </c>
      <c r="B994" t="s">
        <v>63</v>
      </c>
      <c r="C994">
        <v>60000</v>
      </c>
      <c r="D994" t="s">
        <v>19</v>
      </c>
      <c r="E994" t="s">
        <v>35</v>
      </c>
      <c r="F994" t="s">
        <v>41</v>
      </c>
      <c r="G994" s="2">
        <v>43881</v>
      </c>
      <c r="H994" t="s">
        <v>31</v>
      </c>
      <c r="I994" t="s">
        <v>16</v>
      </c>
      <c r="J994" t="s">
        <v>42</v>
      </c>
      <c r="K994" s="5" t="s">
        <v>43</v>
      </c>
      <c r="L994" s="6" cm="1">
        <f t="array" ref="L994">_xlfn.SWITCH(Table13_2[[#This Row],[Performance Score]],"A",6,"B",5,"C",4,"D",3,"E",2,"F",1)</f>
        <v>6</v>
      </c>
      <c r="M994" s="5">
        <f t="shared" si="15"/>
        <v>60000</v>
      </c>
    </row>
    <row r="995" spans="1:13" x14ac:dyDescent="0.3">
      <c r="A995" t="s">
        <v>53</v>
      </c>
      <c r="B995">
        <v>35</v>
      </c>
      <c r="C995">
        <v>0</v>
      </c>
      <c r="D995" t="s">
        <v>34</v>
      </c>
      <c r="E995" t="s">
        <v>20</v>
      </c>
      <c r="F995" t="s">
        <v>37</v>
      </c>
      <c r="G995" s="2" t="s">
        <v>50</v>
      </c>
      <c r="H995" t="s">
        <v>38</v>
      </c>
      <c r="I995" t="s">
        <v>39</v>
      </c>
      <c r="J995" t="s">
        <v>24</v>
      </c>
      <c r="K995" s="5" t="s">
        <v>25</v>
      </c>
      <c r="L995" s="6" cm="1">
        <f t="array" ref="L995">_xlfn.SWITCH(Table13_2[[#This Row],[Performance Score]],"A",6,"B",5,"C",4,"D",3,"E",2,"F",1)</f>
        <v>5</v>
      </c>
      <c r="M995" s="5">
        <f t="shared" si="15"/>
        <v>48417.431192660551</v>
      </c>
    </row>
    <row r="996" spans="1:13" x14ac:dyDescent="0.3">
      <c r="A996" t="s">
        <v>49</v>
      </c>
      <c r="B996" t="s">
        <v>63</v>
      </c>
      <c r="C996">
        <v>50000</v>
      </c>
      <c r="D996" t="s">
        <v>19</v>
      </c>
      <c r="E996" t="s">
        <v>35</v>
      </c>
      <c r="F996" t="s">
        <v>14</v>
      </c>
      <c r="G996" s="2" t="s">
        <v>50</v>
      </c>
      <c r="H996" t="s">
        <v>31</v>
      </c>
      <c r="I996" t="s">
        <v>39</v>
      </c>
      <c r="J996" t="s">
        <v>17</v>
      </c>
      <c r="K996" s="5" t="s">
        <v>11</v>
      </c>
      <c r="L996" s="6" cm="1">
        <f t="array" ref="L996">_xlfn.SWITCH(Table13_2[[#This Row],[Performance Score]],"A",6,"B",5,"C",4,"D",3,"E",2,"F",1)</f>
        <v>6</v>
      </c>
      <c r="M996" s="5">
        <f t="shared" si="15"/>
        <v>50000</v>
      </c>
    </row>
    <row r="997" spans="1:13" x14ac:dyDescent="0.3">
      <c r="A997" t="s">
        <v>59</v>
      </c>
      <c r="B997">
        <v>50</v>
      </c>
      <c r="C997">
        <v>65000</v>
      </c>
      <c r="D997" t="s">
        <v>19</v>
      </c>
      <c r="E997" t="s">
        <v>13</v>
      </c>
      <c r="F997" t="s">
        <v>14</v>
      </c>
      <c r="G997" s="2">
        <v>43881</v>
      </c>
      <c r="H997" t="s">
        <v>22</v>
      </c>
      <c r="I997" t="s">
        <v>39</v>
      </c>
      <c r="J997" t="s">
        <v>28</v>
      </c>
      <c r="K997" s="5" t="s">
        <v>33</v>
      </c>
      <c r="L997" s="6" cm="1">
        <f t="array" ref="L997">_xlfn.SWITCH(Table13_2[[#This Row],[Performance Score]],"A",6,"B",5,"C",4,"D",3,"E",2,"F",1)</f>
        <v>1</v>
      </c>
      <c r="M997" s="5">
        <f t="shared" si="15"/>
        <v>65000</v>
      </c>
    </row>
    <row r="998" spans="1:13" x14ac:dyDescent="0.3">
      <c r="A998" t="s">
        <v>59</v>
      </c>
      <c r="B998" t="s">
        <v>63</v>
      </c>
      <c r="C998">
        <v>50000</v>
      </c>
      <c r="D998" t="s">
        <v>12</v>
      </c>
      <c r="E998" t="s">
        <v>20</v>
      </c>
      <c r="F998" t="s">
        <v>41</v>
      </c>
      <c r="G998" s="2" t="s">
        <v>50</v>
      </c>
      <c r="H998" t="s">
        <v>27</v>
      </c>
      <c r="I998" t="s">
        <v>39</v>
      </c>
      <c r="J998" t="s">
        <v>42</v>
      </c>
      <c r="K998" s="5" t="s">
        <v>33</v>
      </c>
      <c r="L998" s="6" cm="1">
        <f t="array" ref="L998">_xlfn.SWITCH(Table13_2[[#This Row],[Performance Score]],"A",6,"B",5,"C",4,"D",3,"E",2,"F",1)</f>
        <v>4</v>
      </c>
      <c r="M998" s="5">
        <f t="shared" si="15"/>
        <v>50000</v>
      </c>
    </row>
    <row r="999" spans="1:13" x14ac:dyDescent="0.3">
      <c r="A999" t="s">
        <v>53</v>
      </c>
      <c r="B999" t="s">
        <v>63</v>
      </c>
      <c r="C999">
        <v>70000</v>
      </c>
      <c r="D999" t="s">
        <v>12</v>
      </c>
      <c r="E999" t="s">
        <v>30</v>
      </c>
      <c r="F999" t="s">
        <v>40</v>
      </c>
      <c r="G999" s="2" t="s">
        <v>55</v>
      </c>
      <c r="H999" t="s">
        <v>15</v>
      </c>
      <c r="I999" t="s">
        <v>23</v>
      </c>
      <c r="J999" t="s">
        <v>17</v>
      </c>
      <c r="K999" s="5" t="s">
        <v>25</v>
      </c>
      <c r="L999" s="6" cm="1">
        <f t="array" ref="L999">_xlfn.SWITCH(Table13_2[[#This Row],[Performance Score]],"A",6,"B",5,"C",4,"D",3,"E",2,"F",1)</f>
        <v>3</v>
      </c>
      <c r="M999" s="5">
        <f t="shared" si="15"/>
        <v>70000</v>
      </c>
    </row>
    <row r="1000" spans="1:13" x14ac:dyDescent="0.3">
      <c r="A1000" t="s">
        <v>65</v>
      </c>
      <c r="B1000">
        <v>25</v>
      </c>
      <c r="C1000">
        <v>65000</v>
      </c>
      <c r="D1000" t="s">
        <v>34</v>
      </c>
      <c r="E1000" t="s">
        <v>35</v>
      </c>
      <c r="F1000" t="s">
        <v>14</v>
      </c>
      <c r="G1000" s="2" t="s">
        <v>50</v>
      </c>
      <c r="H1000" t="s">
        <v>15</v>
      </c>
      <c r="I1000" t="s">
        <v>16</v>
      </c>
      <c r="J1000" t="s">
        <v>17</v>
      </c>
      <c r="K1000" s="5" t="s">
        <v>44</v>
      </c>
      <c r="L1000" s="6" cm="1">
        <f t="array" ref="L1000">_xlfn.SWITCH(Table13_2[[#This Row],[Performance Score]],"A",6,"B",5,"C",4,"D",3,"E",2,"F",1)</f>
        <v>3</v>
      </c>
      <c r="M1000" s="5">
        <f t="shared" si="15"/>
        <v>65000</v>
      </c>
    </row>
    <row r="1001" spans="1:13" x14ac:dyDescent="0.3">
      <c r="A1001" t="s">
        <v>67</v>
      </c>
      <c r="B1001" t="s">
        <v>63</v>
      </c>
      <c r="C1001">
        <v>60000</v>
      </c>
      <c r="D1001" t="s">
        <v>12</v>
      </c>
      <c r="E1001" t="s">
        <v>20</v>
      </c>
      <c r="F1001" t="s">
        <v>14</v>
      </c>
      <c r="G1001" s="2">
        <v>43881</v>
      </c>
      <c r="H1001" t="s">
        <v>27</v>
      </c>
      <c r="I1001" t="s">
        <v>23</v>
      </c>
      <c r="J1001" t="s">
        <v>24</v>
      </c>
      <c r="K1001" s="5" t="s">
        <v>46</v>
      </c>
      <c r="L1001" s="6" cm="1">
        <f t="array" ref="L1001">_xlfn.SWITCH(Table13_2[[#This Row],[Performance Score]],"A",6,"B",5,"C",4,"D",3,"E",2,"F",1)</f>
        <v>4</v>
      </c>
      <c r="M1001" s="5">
        <f t="shared" si="15"/>
        <v>60000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8D8F-8781-4ED4-9940-97D6E6114C59}">
  <dimension ref="A1:E1001"/>
  <sheetViews>
    <sheetView workbookViewId="0">
      <selection activeCell="G23" sqref="G23"/>
    </sheetView>
  </sheetViews>
  <sheetFormatPr defaultRowHeight="14.4" x14ac:dyDescent="0.3"/>
  <cols>
    <col min="1" max="1" width="13.109375" style="4" bestFit="1" customWidth="1"/>
    <col min="5" max="5" width="11.5546875" style="2" bestFit="1" customWidth="1"/>
  </cols>
  <sheetData>
    <row r="1" spans="1:5" x14ac:dyDescent="0.3">
      <c r="A1" s="4" t="s">
        <v>6</v>
      </c>
      <c r="B1" t="s">
        <v>72</v>
      </c>
      <c r="C1" t="s">
        <v>73</v>
      </c>
    </row>
    <row r="2" spans="1:5" x14ac:dyDescent="0.3">
      <c r="A2" s="8" t="s">
        <v>69</v>
      </c>
      <c r="B2" t="s">
        <v>74</v>
      </c>
      <c r="C2">
        <v>5</v>
      </c>
      <c r="D2">
        <v>2018</v>
      </c>
      <c r="E2" s="2">
        <f>DATE(
 IF(ISNUMBER(--B2),
     IF(LEN(B2)=4, B2, D2),
     D2
 ),
 IF(ISNUMBER(--B2),
     IF(LEN(B2)=4, C2, IF(B2&gt;12, C2, B2)),
     MONTH(DATEVALUE(B2 &amp; " 1"))
 ),
 IF(ISNUMBER(--B2),
     IF(LEN(B2)=4, D2, IF(B2&gt;12, B2, C2)),
     C2
 )
)</f>
        <v>43195</v>
      </c>
    </row>
    <row r="3" spans="1:5" x14ac:dyDescent="0.3">
      <c r="A3" s="9" t="s">
        <v>70</v>
      </c>
      <c r="B3">
        <v>20</v>
      </c>
      <c r="C3">
        <v>2</v>
      </c>
      <c r="D3">
        <v>2020</v>
      </c>
      <c r="E3" s="2">
        <f t="shared" ref="E3:E66" si="0">DATE(
 IF(ISNUMBER(--B3),
     IF(LEN(B3)=4, B3, D3),
     D3
 ),
 IF(ISNUMBER(--B3),
     IF(LEN(B3)=4, C3, IF(B3&gt;12, C3, B3)),
     MONTH(DATEVALUE(B3 &amp; " 1"))
 ),
 IF(ISNUMBER(--B3),
     IF(LEN(B3)=4, D3, IF(B3&gt;12, B3, C3)),
     C3
 )
)</f>
        <v>43881</v>
      </c>
    </row>
    <row r="4" spans="1:5" x14ac:dyDescent="0.3">
      <c r="A4" s="8" t="s">
        <v>55</v>
      </c>
      <c r="B4">
        <v>1</v>
      </c>
      <c r="C4">
        <v>15</v>
      </c>
      <c r="D4">
        <v>2020</v>
      </c>
      <c r="E4" s="2">
        <f t="shared" si="0"/>
        <v>43845</v>
      </c>
    </row>
    <row r="5" spans="1:5" x14ac:dyDescent="0.3">
      <c r="A5" s="9" t="s">
        <v>69</v>
      </c>
      <c r="B5" t="s">
        <v>74</v>
      </c>
      <c r="C5">
        <v>5</v>
      </c>
      <c r="D5">
        <v>2018</v>
      </c>
      <c r="E5" s="2">
        <f t="shared" si="0"/>
        <v>43195</v>
      </c>
    </row>
    <row r="6" spans="1:5" x14ac:dyDescent="0.3">
      <c r="A6" s="8" t="s">
        <v>55</v>
      </c>
      <c r="B6">
        <v>1</v>
      </c>
      <c r="C6">
        <v>15</v>
      </c>
      <c r="D6">
        <v>2020</v>
      </c>
      <c r="E6" s="2">
        <f t="shared" si="0"/>
        <v>43845</v>
      </c>
    </row>
    <row r="7" spans="1:5" x14ac:dyDescent="0.3">
      <c r="A7" s="9" t="s">
        <v>71</v>
      </c>
      <c r="B7">
        <v>3</v>
      </c>
      <c r="C7">
        <v>25</v>
      </c>
      <c r="D7">
        <v>2019</v>
      </c>
      <c r="E7" s="2">
        <f t="shared" si="0"/>
        <v>43549</v>
      </c>
    </row>
    <row r="8" spans="1:5" x14ac:dyDescent="0.3">
      <c r="A8" s="8" t="s">
        <v>75</v>
      </c>
      <c r="B8">
        <v>2019</v>
      </c>
      <c r="C8">
        <v>12</v>
      </c>
      <c r="D8">
        <v>1</v>
      </c>
      <c r="E8" s="2">
        <f t="shared" si="0"/>
        <v>43800</v>
      </c>
    </row>
    <row r="9" spans="1:5" x14ac:dyDescent="0.3">
      <c r="A9" s="9" t="s">
        <v>71</v>
      </c>
      <c r="B9">
        <v>3</v>
      </c>
      <c r="C9">
        <v>25</v>
      </c>
      <c r="D9">
        <v>2019</v>
      </c>
      <c r="E9" s="2">
        <f t="shared" si="0"/>
        <v>43549</v>
      </c>
    </row>
    <row r="10" spans="1:5" x14ac:dyDescent="0.3">
      <c r="A10" s="8" t="s">
        <v>55</v>
      </c>
      <c r="B10">
        <v>1</v>
      </c>
      <c r="C10">
        <v>15</v>
      </c>
      <c r="D10">
        <v>2020</v>
      </c>
      <c r="E10" s="2">
        <f t="shared" si="0"/>
        <v>43845</v>
      </c>
    </row>
    <row r="11" spans="1:5" x14ac:dyDescent="0.3">
      <c r="A11" s="9" t="s">
        <v>70</v>
      </c>
      <c r="B11">
        <v>20</v>
      </c>
      <c r="C11">
        <v>2</v>
      </c>
      <c r="D11">
        <v>2020</v>
      </c>
      <c r="E11" s="2">
        <f t="shared" si="0"/>
        <v>43881</v>
      </c>
    </row>
    <row r="12" spans="1:5" x14ac:dyDescent="0.3">
      <c r="A12" s="8" t="s">
        <v>75</v>
      </c>
      <c r="B12">
        <v>2019</v>
      </c>
      <c r="C12">
        <v>12</v>
      </c>
      <c r="D12">
        <v>1</v>
      </c>
      <c r="E12" s="2">
        <f t="shared" si="0"/>
        <v>43800</v>
      </c>
    </row>
    <row r="13" spans="1:5" x14ac:dyDescent="0.3">
      <c r="A13" s="9" t="s">
        <v>71</v>
      </c>
      <c r="B13">
        <v>3</v>
      </c>
      <c r="C13">
        <v>25</v>
      </c>
      <c r="D13">
        <v>2019</v>
      </c>
      <c r="E13" s="2">
        <f t="shared" si="0"/>
        <v>43549</v>
      </c>
    </row>
    <row r="14" spans="1:5" x14ac:dyDescent="0.3">
      <c r="A14" s="8" t="s">
        <v>69</v>
      </c>
      <c r="B14" t="s">
        <v>74</v>
      </c>
      <c r="C14">
        <v>5</v>
      </c>
      <c r="D14">
        <v>2018</v>
      </c>
      <c r="E14" s="2">
        <f t="shared" si="0"/>
        <v>43195</v>
      </c>
    </row>
    <row r="15" spans="1:5" x14ac:dyDescent="0.3">
      <c r="A15" s="9" t="s">
        <v>70</v>
      </c>
      <c r="B15">
        <v>20</v>
      </c>
      <c r="C15">
        <v>2</v>
      </c>
      <c r="D15">
        <v>2020</v>
      </c>
      <c r="E15" s="2">
        <f t="shared" si="0"/>
        <v>43881</v>
      </c>
    </row>
    <row r="16" spans="1:5" x14ac:dyDescent="0.3">
      <c r="A16" s="8" t="s">
        <v>71</v>
      </c>
      <c r="B16">
        <v>3</v>
      </c>
      <c r="C16">
        <v>25</v>
      </c>
      <c r="D16">
        <v>2019</v>
      </c>
      <c r="E16" s="2">
        <f t="shared" si="0"/>
        <v>43549</v>
      </c>
    </row>
    <row r="17" spans="1:5" x14ac:dyDescent="0.3">
      <c r="A17" s="9" t="s">
        <v>69</v>
      </c>
      <c r="B17" t="s">
        <v>74</v>
      </c>
      <c r="C17">
        <v>5</v>
      </c>
      <c r="D17">
        <v>2018</v>
      </c>
      <c r="E17" s="2">
        <f t="shared" si="0"/>
        <v>43195</v>
      </c>
    </row>
    <row r="18" spans="1:5" x14ac:dyDescent="0.3">
      <c r="A18" s="8" t="s">
        <v>55</v>
      </c>
      <c r="B18">
        <v>1</v>
      </c>
      <c r="C18">
        <v>15</v>
      </c>
      <c r="D18">
        <v>2020</v>
      </c>
      <c r="E18" s="2">
        <f t="shared" si="0"/>
        <v>43845</v>
      </c>
    </row>
    <row r="19" spans="1:5" x14ac:dyDescent="0.3">
      <c r="A19" s="9" t="s">
        <v>69</v>
      </c>
      <c r="B19" t="s">
        <v>74</v>
      </c>
      <c r="C19">
        <v>5</v>
      </c>
      <c r="D19">
        <v>2018</v>
      </c>
      <c r="E19" s="2">
        <f t="shared" si="0"/>
        <v>43195</v>
      </c>
    </row>
    <row r="20" spans="1:5" x14ac:dyDescent="0.3">
      <c r="A20" s="8" t="s">
        <v>71</v>
      </c>
      <c r="B20">
        <v>3</v>
      </c>
      <c r="C20">
        <v>25</v>
      </c>
      <c r="D20">
        <v>2019</v>
      </c>
      <c r="E20" s="2">
        <f t="shared" si="0"/>
        <v>43549</v>
      </c>
    </row>
    <row r="21" spans="1:5" x14ac:dyDescent="0.3">
      <c r="A21" s="9" t="s">
        <v>71</v>
      </c>
      <c r="B21">
        <v>3</v>
      </c>
      <c r="C21">
        <v>25</v>
      </c>
      <c r="D21">
        <v>2019</v>
      </c>
      <c r="E21" s="2">
        <f t="shared" si="0"/>
        <v>43549</v>
      </c>
    </row>
    <row r="22" spans="1:5" x14ac:dyDescent="0.3">
      <c r="A22" s="8" t="s">
        <v>55</v>
      </c>
      <c r="B22">
        <v>1</v>
      </c>
      <c r="C22">
        <v>15</v>
      </c>
      <c r="D22">
        <v>2020</v>
      </c>
      <c r="E22" s="2">
        <f t="shared" si="0"/>
        <v>43845</v>
      </c>
    </row>
    <row r="23" spans="1:5" x14ac:dyDescent="0.3">
      <c r="A23" s="9" t="s">
        <v>69</v>
      </c>
      <c r="B23" t="s">
        <v>74</v>
      </c>
      <c r="C23">
        <v>5</v>
      </c>
      <c r="D23">
        <v>2018</v>
      </c>
      <c r="E23" s="2">
        <f t="shared" si="0"/>
        <v>43195</v>
      </c>
    </row>
    <row r="24" spans="1:5" x14ac:dyDescent="0.3">
      <c r="A24" s="8" t="s">
        <v>69</v>
      </c>
      <c r="B24" t="s">
        <v>74</v>
      </c>
      <c r="C24">
        <v>5</v>
      </c>
      <c r="D24">
        <v>2018</v>
      </c>
      <c r="E24" s="2">
        <f t="shared" si="0"/>
        <v>43195</v>
      </c>
    </row>
    <row r="25" spans="1:5" x14ac:dyDescent="0.3">
      <c r="A25" s="9" t="s">
        <v>55</v>
      </c>
      <c r="B25">
        <v>1</v>
      </c>
      <c r="C25">
        <v>15</v>
      </c>
      <c r="D25">
        <v>2020</v>
      </c>
      <c r="E25" s="2">
        <f t="shared" si="0"/>
        <v>43845</v>
      </c>
    </row>
    <row r="26" spans="1:5" x14ac:dyDescent="0.3">
      <c r="A26" s="8" t="s">
        <v>69</v>
      </c>
      <c r="B26" t="s">
        <v>74</v>
      </c>
      <c r="C26">
        <v>5</v>
      </c>
      <c r="D26">
        <v>2018</v>
      </c>
      <c r="E26" s="2">
        <f t="shared" si="0"/>
        <v>43195</v>
      </c>
    </row>
    <row r="27" spans="1:5" x14ac:dyDescent="0.3">
      <c r="A27" s="9" t="s">
        <v>55</v>
      </c>
      <c r="B27">
        <v>1</v>
      </c>
      <c r="C27">
        <v>15</v>
      </c>
      <c r="D27">
        <v>2020</v>
      </c>
      <c r="E27" s="2">
        <f t="shared" si="0"/>
        <v>43845</v>
      </c>
    </row>
    <row r="28" spans="1:5" x14ac:dyDescent="0.3">
      <c r="A28" s="8" t="s">
        <v>70</v>
      </c>
      <c r="B28">
        <v>20</v>
      </c>
      <c r="C28">
        <v>2</v>
      </c>
      <c r="D28">
        <v>2020</v>
      </c>
      <c r="E28" s="2">
        <f t="shared" si="0"/>
        <v>43881</v>
      </c>
    </row>
    <row r="29" spans="1:5" x14ac:dyDescent="0.3">
      <c r="A29" s="9" t="s">
        <v>71</v>
      </c>
      <c r="B29">
        <v>3</v>
      </c>
      <c r="C29">
        <v>25</v>
      </c>
      <c r="D29">
        <v>2019</v>
      </c>
      <c r="E29" s="2">
        <f t="shared" si="0"/>
        <v>43549</v>
      </c>
    </row>
    <row r="30" spans="1:5" x14ac:dyDescent="0.3">
      <c r="A30" s="8" t="s">
        <v>70</v>
      </c>
      <c r="B30">
        <v>20</v>
      </c>
      <c r="C30">
        <v>2</v>
      </c>
      <c r="D30">
        <v>2020</v>
      </c>
      <c r="E30" s="2">
        <f t="shared" si="0"/>
        <v>43881</v>
      </c>
    </row>
    <row r="31" spans="1:5" x14ac:dyDescent="0.3">
      <c r="A31" s="9" t="s">
        <v>75</v>
      </c>
      <c r="B31">
        <v>2019</v>
      </c>
      <c r="C31">
        <v>12</v>
      </c>
      <c r="D31">
        <v>1</v>
      </c>
      <c r="E31" s="2">
        <f t="shared" si="0"/>
        <v>43800</v>
      </c>
    </row>
    <row r="32" spans="1:5" x14ac:dyDescent="0.3">
      <c r="A32" s="8" t="s">
        <v>75</v>
      </c>
      <c r="B32">
        <v>2019</v>
      </c>
      <c r="C32">
        <v>12</v>
      </c>
      <c r="D32">
        <v>1</v>
      </c>
      <c r="E32" s="2">
        <f t="shared" si="0"/>
        <v>43800</v>
      </c>
    </row>
    <row r="33" spans="1:5" x14ac:dyDescent="0.3">
      <c r="A33" s="9" t="s">
        <v>75</v>
      </c>
      <c r="B33">
        <v>2019</v>
      </c>
      <c r="C33">
        <v>12</v>
      </c>
      <c r="D33">
        <v>1</v>
      </c>
      <c r="E33" s="2">
        <f t="shared" si="0"/>
        <v>43800</v>
      </c>
    </row>
    <row r="34" spans="1:5" x14ac:dyDescent="0.3">
      <c r="A34" s="8" t="s">
        <v>55</v>
      </c>
      <c r="B34">
        <v>1</v>
      </c>
      <c r="C34">
        <v>15</v>
      </c>
      <c r="D34">
        <v>2020</v>
      </c>
      <c r="E34" s="2">
        <f t="shared" si="0"/>
        <v>43845</v>
      </c>
    </row>
    <row r="35" spans="1:5" x14ac:dyDescent="0.3">
      <c r="A35" s="9" t="s">
        <v>69</v>
      </c>
      <c r="B35" t="s">
        <v>74</v>
      </c>
      <c r="C35">
        <v>5</v>
      </c>
      <c r="D35">
        <v>2018</v>
      </c>
      <c r="E35" s="2">
        <f t="shared" si="0"/>
        <v>43195</v>
      </c>
    </row>
    <row r="36" spans="1:5" x14ac:dyDescent="0.3">
      <c r="A36" s="8" t="s">
        <v>70</v>
      </c>
      <c r="B36">
        <v>20</v>
      </c>
      <c r="C36">
        <v>2</v>
      </c>
      <c r="D36">
        <v>2020</v>
      </c>
      <c r="E36" s="2">
        <f t="shared" si="0"/>
        <v>43881</v>
      </c>
    </row>
    <row r="37" spans="1:5" x14ac:dyDescent="0.3">
      <c r="A37" s="9" t="s">
        <v>70</v>
      </c>
      <c r="B37">
        <v>20</v>
      </c>
      <c r="C37">
        <v>2</v>
      </c>
      <c r="D37">
        <v>2020</v>
      </c>
      <c r="E37" s="2">
        <f t="shared" si="0"/>
        <v>43881</v>
      </c>
    </row>
    <row r="38" spans="1:5" x14ac:dyDescent="0.3">
      <c r="A38" s="8" t="s">
        <v>70</v>
      </c>
      <c r="B38">
        <v>20</v>
      </c>
      <c r="C38">
        <v>2</v>
      </c>
      <c r="D38">
        <v>2020</v>
      </c>
      <c r="E38" s="2">
        <f t="shared" si="0"/>
        <v>43881</v>
      </c>
    </row>
    <row r="39" spans="1:5" x14ac:dyDescent="0.3">
      <c r="A39" s="9" t="s">
        <v>70</v>
      </c>
      <c r="B39">
        <v>20</v>
      </c>
      <c r="C39">
        <v>2</v>
      </c>
      <c r="D39">
        <v>2020</v>
      </c>
      <c r="E39" s="2">
        <f t="shared" si="0"/>
        <v>43881</v>
      </c>
    </row>
    <row r="40" spans="1:5" x14ac:dyDescent="0.3">
      <c r="A40" s="8" t="s">
        <v>75</v>
      </c>
      <c r="B40">
        <v>2019</v>
      </c>
      <c r="C40">
        <v>12</v>
      </c>
      <c r="D40">
        <v>1</v>
      </c>
      <c r="E40" s="2">
        <f t="shared" si="0"/>
        <v>43800</v>
      </c>
    </row>
    <row r="41" spans="1:5" x14ac:dyDescent="0.3">
      <c r="A41" s="9" t="s">
        <v>70</v>
      </c>
      <c r="B41">
        <v>20</v>
      </c>
      <c r="C41">
        <v>2</v>
      </c>
      <c r="D41">
        <v>2020</v>
      </c>
      <c r="E41" s="2">
        <f t="shared" si="0"/>
        <v>43881</v>
      </c>
    </row>
    <row r="42" spans="1:5" x14ac:dyDescent="0.3">
      <c r="A42" s="8" t="s">
        <v>69</v>
      </c>
      <c r="B42" t="s">
        <v>74</v>
      </c>
      <c r="C42">
        <v>5</v>
      </c>
      <c r="D42">
        <v>2018</v>
      </c>
      <c r="E42" s="2">
        <f t="shared" si="0"/>
        <v>43195</v>
      </c>
    </row>
    <row r="43" spans="1:5" x14ac:dyDescent="0.3">
      <c r="A43" s="9" t="s">
        <v>75</v>
      </c>
      <c r="B43">
        <v>2019</v>
      </c>
      <c r="C43">
        <v>12</v>
      </c>
      <c r="D43">
        <v>1</v>
      </c>
      <c r="E43" s="2">
        <f t="shared" si="0"/>
        <v>43800</v>
      </c>
    </row>
    <row r="44" spans="1:5" x14ac:dyDescent="0.3">
      <c r="A44" s="8" t="s">
        <v>70</v>
      </c>
      <c r="B44">
        <v>20</v>
      </c>
      <c r="C44">
        <v>2</v>
      </c>
      <c r="D44">
        <v>2020</v>
      </c>
      <c r="E44" s="2">
        <f t="shared" si="0"/>
        <v>43881</v>
      </c>
    </row>
    <row r="45" spans="1:5" x14ac:dyDescent="0.3">
      <c r="A45" s="9" t="s">
        <v>55</v>
      </c>
      <c r="B45">
        <v>1</v>
      </c>
      <c r="C45">
        <v>15</v>
      </c>
      <c r="D45">
        <v>2020</v>
      </c>
      <c r="E45" s="2">
        <f t="shared" si="0"/>
        <v>43845</v>
      </c>
    </row>
    <row r="46" spans="1:5" x14ac:dyDescent="0.3">
      <c r="A46" s="8" t="s">
        <v>71</v>
      </c>
      <c r="B46">
        <v>3</v>
      </c>
      <c r="C46">
        <v>25</v>
      </c>
      <c r="D46">
        <v>2019</v>
      </c>
      <c r="E46" s="2">
        <f t="shared" si="0"/>
        <v>43549</v>
      </c>
    </row>
    <row r="47" spans="1:5" x14ac:dyDescent="0.3">
      <c r="A47" s="9" t="s">
        <v>71</v>
      </c>
      <c r="B47">
        <v>3</v>
      </c>
      <c r="C47">
        <v>25</v>
      </c>
      <c r="D47">
        <v>2019</v>
      </c>
      <c r="E47" s="2">
        <f t="shared" si="0"/>
        <v>43549</v>
      </c>
    </row>
    <row r="48" spans="1:5" x14ac:dyDescent="0.3">
      <c r="A48" s="8" t="s">
        <v>71</v>
      </c>
      <c r="B48">
        <v>3</v>
      </c>
      <c r="C48">
        <v>25</v>
      </c>
      <c r="D48">
        <v>2019</v>
      </c>
      <c r="E48" s="2">
        <f t="shared" si="0"/>
        <v>43549</v>
      </c>
    </row>
    <row r="49" spans="1:5" x14ac:dyDescent="0.3">
      <c r="A49" s="9" t="s">
        <v>75</v>
      </c>
      <c r="B49">
        <v>2019</v>
      </c>
      <c r="C49">
        <v>12</v>
      </c>
      <c r="D49">
        <v>1</v>
      </c>
      <c r="E49" s="2">
        <f t="shared" si="0"/>
        <v>43800</v>
      </c>
    </row>
    <row r="50" spans="1:5" x14ac:dyDescent="0.3">
      <c r="A50" s="8" t="s">
        <v>70</v>
      </c>
      <c r="B50">
        <v>20</v>
      </c>
      <c r="C50">
        <v>2</v>
      </c>
      <c r="D50">
        <v>2020</v>
      </c>
      <c r="E50" s="2">
        <f t="shared" si="0"/>
        <v>43881</v>
      </c>
    </row>
    <row r="51" spans="1:5" x14ac:dyDescent="0.3">
      <c r="A51" s="9" t="s">
        <v>75</v>
      </c>
      <c r="B51">
        <v>2019</v>
      </c>
      <c r="C51">
        <v>12</v>
      </c>
      <c r="D51">
        <v>1</v>
      </c>
      <c r="E51" s="2">
        <f t="shared" si="0"/>
        <v>43800</v>
      </c>
    </row>
    <row r="52" spans="1:5" x14ac:dyDescent="0.3">
      <c r="A52" s="8" t="s">
        <v>69</v>
      </c>
      <c r="B52" t="s">
        <v>74</v>
      </c>
      <c r="C52">
        <v>5</v>
      </c>
      <c r="D52">
        <v>2018</v>
      </c>
      <c r="E52" s="2">
        <f t="shared" si="0"/>
        <v>43195</v>
      </c>
    </row>
    <row r="53" spans="1:5" x14ac:dyDescent="0.3">
      <c r="A53" s="9" t="s">
        <v>55</v>
      </c>
      <c r="B53">
        <v>1</v>
      </c>
      <c r="C53">
        <v>15</v>
      </c>
      <c r="D53">
        <v>2020</v>
      </c>
      <c r="E53" s="2">
        <f t="shared" si="0"/>
        <v>43845</v>
      </c>
    </row>
    <row r="54" spans="1:5" x14ac:dyDescent="0.3">
      <c r="A54" s="8" t="s">
        <v>55</v>
      </c>
      <c r="B54">
        <v>1</v>
      </c>
      <c r="C54">
        <v>15</v>
      </c>
      <c r="D54">
        <v>2020</v>
      </c>
      <c r="E54" s="2">
        <f t="shared" si="0"/>
        <v>43845</v>
      </c>
    </row>
    <row r="55" spans="1:5" x14ac:dyDescent="0.3">
      <c r="A55" s="9" t="s">
        <v>71</v>
      </c>
      <c r="B55">
        <v>3</v>
      </c>
      <c r="C55">
        <v>25</v>
      </c>
      <c r="D55">
        <v>2019</v>
      </c>
      <c r="E55" s="2">
        <f t="shared" si="0"/>
        <v>43549</v>
      </c>
    </row>
    <row r="56" spans="1:5" x14ac:dyDescent="0.3">
      <c r="A56" s="8" t="s">
        <v>71</v>
      </c>
      <c r="B56">
        <v>3</v>
      </c>
      <c r="C56">
        <v>25</v>
      </c>
      <c r="D56">
        <v>2019</v>
      </c>
      <c r="E56" s="2">
        <f t="shared" si="0"/>
        <v>43549</v>
      </c>
    </row>
    <row r="57" spans="1:5" x14ac:dyDescent="0.3">
      <c r="A57" s="9" t="s">
        <v>71</v>
      </c>
      <c r="B57">
        <v>3</v>
      </c>
      <c r="C57">
        <v>25</v>
      </c>
      <c r="D57">
        <v>2019</v>
      </c>
      <c r="E57" s="2">
        <f t="shared" si="0"/>
        <v>43549</v>
      </c>
    </row>
    <row r="58" spans="1:5" x14ac:dyDescent="0.3">
      <c r="A58" s="8" t="s">
        <v>70</v>
      </c>
      <c r="B58">
        <v>20</v>
      </c>
      <c r="C58">
        <v>2</v>
      </c>
      <c r="D58">
        <v>2020</v>
      </c>
      <c r="E58" s="2">
        <f t="shared" si="0"/>
        <v>43881</v>
      </c>
    </row>
    <row r="59" spans="1:5" x14ac:dyDescent="0.3">
      <c r="A59" s="9" t="s">
        <v>69</v>
      </c>
      <c r="B59" t="s">
        <v>74</v>
      </c>
      <c r="C59">
        <v>5</v>
      </c>
      <c r="D59">
        <v>2018</v>
      </c>
      <c r="E59" s="2">
        <f t="shared" si="0"/>
        <v>43195</v>
      </c>
    </row>
    <row r="60" spans="1:5" x14ac:dyDescent="0.3">
      <c r="A60" s="8" t="s">
        <v>69</v>
      </c>
      <c r="B60" t="s">
        <v>74</v>
      </c>
      <c r="C60">
        <v>5</v>
      </c>
      <c r="D60">
        <v>2018</v>
      </c>
      <c r="E60" s="2">
        <f t="shared" si="0"/>
        <v>43195</v>
      </c>
    </row>
    <row r="61" spans="1:5" x14ac:dyDescent="0.3">
      <c r="A61" s="9" t="s">
        <v>69</v>
      </c>
      <c r="B61" t="s">
        <v>74</v>
      </c>
      <c r="C61">
        <v>5</v>
      </c>
      <c r="D61">
        <v>2018</v>
      </c>
      <c r="E61" s="2">
        <f t="shared" si="0"/>
        <v>43195</v>
      </c>
    </row>
    <row r="62" spans="1:5" x14ac:dyDescent="0.3">
      <c r="A62" s="8" t="s">
        <v>69</v>
      </c>
      <c r="B62" t="s">
        <v>74</v>
      </c>
      <c r="C62">
        <v>5</v>
      </c>
      <c r="D62">
        <v>2018</v>
      </c>
      <c r="E62" s="2">
        <f t="shared" si="0"/>
        <v>43195</v>
      </c>
    </row>
    <row r="63" spans="1:5" x14ac:dyDescent="0.3">
      <c r="A63" s="9" t="s">
        <v>71</v>
      </c>
      <c r="B63">
        <v>3</v>
      </c>
      <c r="C63">
        <v>25</v>
      </c>
      <c r="D63">
        <v>2019</v>
      </c>
      <c r="E63" s="2">
        <f t="shared" si="0"/>
        <v>43549</v>
      </c>
    </row>
    <row r="64" spans="1:5" x14ac:dyDescent="0.3">
      <c r="A64" s="8" t="s">
        <v>55</v>
      </c>
      <c r="B64">
        <v>1</v>
      </c>
      <c r="C64">
        <v>15</v>
      </c>
      <c r="D64">
        <v>2020</v>
      </c>
      <c r="E64" s="2">
        <f t="shared" si="0"/>
        <v>43845</v>
      </c>
    </row>
    <row r="65" spans="1:5" x14ac:dyDescent="0.3">
      <c r="A65" s="9" t="s">
        <v>71</v>
      </c>
      <c r="B65">
        <v>3</v>
      </c>
      <c r="C65">
        <v>25</v>
      </c>
      <c r="D65">
        <v>2019</v>
      </c>
      <c r="E65" s="2">
        <f t="shared" si="0"/>
        <v>43549</v>
      </c>
    </row>
    <row r="66" spans="1:5" x14ac:dyDescent="0.3">
      <c r="A66" s="8" t="s">
        <v>69</v>
      </c>
      <c r="B66" t="s">
        <v>74</v>
      </c>
      <c r="C66">
        <v>5</v>
      </c>
      <c r="D66">
        <v>2018</v>
      </c>
      <c r="E66" s="2">
        <f t="shared" si="0"/>
        <v>43195</v>
      </c>
    </row>
    <row r="67" spans="1:5" x14ac:dyDescent="0.3">
      <c r="A67" s="9" t="s">
        <v>71</v>
      </c>
      <c r="B67">
        <v>3</v>
      </c>
      <c r="C67">
        <v>25</v>
      </c>
      <c r="D67">
        <v>2019</v>
      </c>
      <c r="E67" s="2">
        <f t="shared" ref="E67:E130" si="1">DATE(
 IF(ISNUMBER(--B67),
     IF(LEN(B67)=4, B67, D67),
     D67
 ),
 IF(ISNUMBER(--B67),
     IF(LEN(B67)=4, C67, IF(B67&gt;12, C67, B67)),
     MONTH(DATEVALUE(B67 &amp; " 1"))
 ),
 IF(ISNUMBER(--B67),
     IF(LEN(B67)=4, D67, IF(B67&gt;12, B67, C67)),
     C67
 )
)</f>
        <v>43549</v>
      </c>
    </row>
    <row r="68" spans="1:5" x14ac:dyDescent="0.3">
      <c r="A68" s="8" t="s">
        <v>69</v>
      </c>
      <c r="B68" t="s">
        <v>74</v>
      </c>
      <c r="C68">
        <v>5</v>
      </c>
      <c r="D68">
        <v>2018</v>
      </c>
      <c r="E68" s="2">
        <f t="shared" si="1"/>
        <v>43195</v>
      </c>
    </row>
    <row r="69" spans="1:5" x14ac:dyDescent="0.3">
      <c r="A69" s="9" t="s">
        <v>75</v>
      </c>
      <c r="B69">
        <v>2019</v>
      </c>
      <c r="C69">
        <v>12</v>
      </c>
      <c r="D69">
        <v>1</v>
      </c>
      <c r="E69" s="2">
        <f t="shared" si="1"/>
        <v>43800</v>
      </c>
    </row>
    <row r="70" spans="1:5" x14ac:dyDescent="0.3">
      <c r="A70" s="8" t="s">
        <v>55</v>
      </c>
      <c r="B70">
        <v>1</v>
      </c>
      <c r="C70">
        <v>15</v>
      </c>
      <c r="D70">
        <v>2020</v>
      </c>
      <c r="E70" s="2">
        <f t="shared" si="1"/>
        <v>43845</v>
      </c>
    </row>
    <row r="71" spans="1:5" x14ac:dyDescent="0.3">
      <c r="A71" s="9" t="s">
        <v>75</v>
      </c>
      <c r="B71">
        <v>2019</v>
      </c>
      <c r="C71">
        <v>12</v>
      </c>
      <c r="D71">
        <v>1</v>
      </c>
      <c r="E71" s="2">
        <f t="shared" si="1"/>
        <v>43800</v>
      </c>
    </row>
    <row r="72" spans="1:5" x14ac:dyDescent="0.3">
      <c r="A72" s="8" t="s">
        <v>70</v>
      </c>
      <c r="B72">
        <v>20</v>
      </c>
      <c r="C72">
        <v>2</v>
      </c>
      <c r="D72">
        <v>2020</v>
      </c>
      <c r="E72" s="2">
        <f t="shared" si="1"/>
        <v>43881</v>
      </c>
    </row>
    <row r="73" spans="1:5" x14ac:dyDescent="0.3">
      <c r="A73" s="9" t="s">
        <v>71</v>
      </c>
      <c r="B73">
        <v>3</v>
      </c>
      <c r="C73">
        <v>25</v>
      </c>
      <c r="D73">
        <v>2019</v>
      </c>
      <c r="E73" s="2">
        <f t="shared" si="1"/>
        <v>43549</v>
      </c>
    </row>
    <row r="74" spans="1:5" x14ac:dyDescent="0.3">
      <c r="A74" s="8" t="s">
        <v>70</v>
      </c>
      <c r="B74">
        <v>20</v>
      </c>
      <c r="C74">
        <v>2</v>
      </c>
      <c r="D74">
        <v>2020</v>
      </c>
      <c r="E74" s="2">
        <f t="shared" si="1"/>
        <v>43881</v>
      </c>
    </row>
    <row r="75" spans="1:5" x14ac:dyDescent="0.3">
      <c r="A75" s="9" t="s">
        <v>71</v>
      </c>
      <c r="B75">
        <v>3</v>
      </c>
      <c r="C75">
        <v>25</v>
      </c>
      <c r="D75">
        <v>2019</v>
      </c>
      <c r="E75" s="2">
        <f t="shared" si="1"/>
        <v>43549</v>
      </c>
    </row>
    <row r="76" spans="1:5" x14ac:dyDescent="0.3">
      <c r="A76" s="8" t="s">
        <v>75</v>
      </c>
      <c r="B76">
        <v>2019</v>
      </c>
      <c r="C76">
        <v>12</v>
      </c>
      <c r="D76">
        <v>1</v>
      </c>
      <c r="E76" s="2">
        <f t="shared" si="1"/>
        <v>43800</v>
      </c>
    </row>
    <row r="77" spans="1:5" x14ac:dyDescent="0.3">
      <c r="A77" s="9" t="s">
        <v>69</v>
      </c>
      <c r="B77" t="s">
        <v>74</v>
      </c>
      <c r="C77">
        <v>5</v>
      </c>
      <c r="D77">
        <v>2018</v>
      </c>
      <c r="E77" s="2">
        <f t="shared" si="1"/>
        <v>43195</v>
      </c>
    </row>
    <row r="78" spans="1:5" x14ac:dyDescent="0.3">
      <c r="A78" s="8" t="s">
        <v>69</v>
      </c>
      <c r="B78" t="s">
        <v>74</v>
      </c>
      <c r="C78">
        <v>5</v>
      </c>
      <c r="D78">
        <v>2018</v>
      </c>
      <c r="E78" s="2">
        <f t="shared" si="1"/>
        <v>43195</v>
      </c>
    </row>
    <row r="79" spans="1:5" x14ac:dyDescent="0.3">
      <c r="A79" s="9" t="s">
        <v>71</v>
      </c>
      <c r="B79">
        <v>3</v>
      </c>
      <c r="C79">
        <v>25</v>
      </c>
      <c r="D79">
        <v>2019</v>
      </c>
      <c r="E79" s="2">
        <f t="shared" si="1"/>
        <v>43549</v>
      </c>
    </row>
    <row r="80" spans="1:5" x14ac:dyDescent="0.3">
      <c r="A80" s="8" t="s">
        <v>69</v>
      </c>
      <c r="B80" t="s">
        <v>74</v>
      </c>
      <c r="C80">
        <v>5</v>
      </c>
      <c r="D80">
        <v>2018</v>
      </c>
      <c r="E80" s="2">
        <f t="shared" si="1"/>
        <v>43195</v>
      </c>
    </row>
    <row r="81" spans="1:5" x14ac:dyDescent="0.3">
      <c r="A81" s="9" t="s">
        <v>75</v>
      </c>
      <c r="B81">
        <v>2019</v>
      </c>
      <c r="C81">
        <v>12</v>
      </c>
      <c r="D81">
        <v>1</v>
      </c>
      <c r="E81" s="2">
        <f t="shared" si="1"/>
        <v>43800</v>
      </c>
    </row>
    <row r="82" spans="1:5" x14ac:dyDescent="0.3">
      <c r="A82" s="8" t="s">
        <v>69</v>
      </c>
      <c r="B82" t="s">
        <v>74</v>
      </c>
      <c r="C82">
        <v>5</v>
      </c>
      <c r="D82">
        <v>2018</v>
      </c>
      <c r="E82" s="2">
        <f t="shared" si="1"/>
        <v>43195</v>
      </c>
    </row>
    <row r="83" spans="1:5" x14ac:dyDescent="0.3">
      <c r="A83" s="9" t="s">
        <v>75</v>
      </c>
      <c r="B83">
        <v>2019</v>
      </c>
      <c r="C83">
        <v>12</v>
      </c>
      <c r="D83">
        <v>1</v>
      </c>
      <c r="E83" s="2">
        <f t="shared" si="1"/>
        <v>43800</v>
      </c>
    </row>
    <row r="84" spans="1:5" x14ac:dyDescent="0.3">
      <c r="A84" s="8" t="s">
        <v>70</v>
      </c>
      <c r="B84">
        <v>20</v>
      </c>
      <c r="C84">
        <v>2</v>
      </c>
      <c r="D84">
        <v>2020</v>
      </c>
      <c r="E84" s="2">
        <f t="shared" si="1"/>
        <v>43881</v>
      </c>
    </row>
    <row r="85" spans="1:5" x14ac:dyDescent="0.3">
      <c r="A85" s="9" t="s">
        <v>75</v>
      </c>
      <c r="B85">
        <v>2019</v>
      </c>
      <c r="C85">
        <v>12</v>
      </c>
      <c r="D85">
        <v>1</v>
      </c>
      <c r="E85" s="2">
        <f t="shared" si="1"/>
        <v>43800</v>
      </c>
    </row>
    <row r="86" spans="1:5" x14ac:dyDescent="0.3">
      <c r="A86" s="8" t="s">
        <v>55</v>
      </c>
      <c r="B86">
        <v>1</v>
      </c>
      <c r="C86">
        <v>15</v>
      </c>
      <c r="D86">
        <v>2020</v>
      </c>
      <c r="E86" s="2">
        <f t="shared" si="1"/>
        <v>43845</v>
      </c>
    </row>
    <row r="87" spans="1:5" x14ac:dyDescent="0.3">
      <c r="A87" s="9" t="s">
        <v>55</v>
      </c>
      <c r="B87">
        <v>1</v>
      </c>
      <c r="C87">
        <v>15</v>
      </c>
      <c r="D87">
        <v>2020</v>
      </c>
      <c r="E87" s="2">
        <f t="shared" si="1"/>
        <v>43845</v>
      </c>
    </row>
    <row r="88" spans="1:5" x14ac:dyDescent="0.3">
      <c r="A88" s="8" t="s">
        <v>55</v>
      </c>
      <c r="B88">
        <v>1</v>
      </c>
      <c r="C88">
        <v>15</v>
      </c>
      <c r="D88">
        <v>2020</v>
      </c>
      <c r="E88" s="2">
        <f t="shared" si="1"/>
        <v>43845</v>
      </c>
    </row>
    <row r="89" spans="1:5" x14ac:dyDescent="0.3">
      <c r="A89" s="9" t="s">
        <v>71</v>
      </c>
      <c r="B89">
        <v>3</v>
      </c>
      <c r="C89">
        <v>25</v>
      </c>
      <c r="D89">
        <v>2019</v>
      </c>
      <c r="E89" s="2">
        <f t="shared" si="1"/>
        <v>43549</v>
      </c>
    </row>
    <row r="90" spans="1:5" x14ac:dyDescent="0.3">
      <c r="A90" s="8" t="s">
        <v>71</v>
      </c>
      <c r="B90">
        <v>3</v>
      </c>
      <c r="C90">
        <v>25</v>
      </c>
      <c r="D90">
        <v>2019</v>
      </c>
      <c r="E90" s="2">
        <f t="shared" si="1"/>
        <v>43549</v>
      </c>
    </row>
    <row r="91" spans="1:5" x14ac:dyDescent="0.3">
      <c r="A91" s="9" t="s">
        <v>71</v>
      </c>
      <c r="B91">
        <v>3</v>
      </c>
      <c r="C91">
        <v>25</v>
      </c>
      <c r="D91">
        <v>2019</v>
      </c>
      <c r="E91" s="2">
        <f t="shared" si="1"/>
        <v>43549</v>
      </c>
    </row>
    <row r="92" spans="1:5" x14ac:dyDescent="0.3">
      <c r="A92" s="8" t="s">
        <v>75</v>
      </c>
      <c r="B92">
        <v>2019</v>
      </c>
      <c r="C92">
        <v>12</v>
      </c>
      <c r="D92">
        <v>1</v>
      </c>
      <c r="E92" s="2">
        <f t="shared" si="1"/>
        <v>43800</v>
      </c>
    </row>
    <row r="93" spans="1:5" x14ac:dyDescent="0.3">
      <c r="A93" s="9" t="s">
        <v>71</v>
      </c>
      <c r="B93">
        <v>3</v>
      </c>
      <c r="C93">
        <v>25</v>
      </c>
      <c r="D93">
        <v>2019</v>
      </c>
      <c r="E93" s="2">
        <f t="shared" si="1"/>
        <v>43549</v>
      </c>
    </row>
    <row r="94" spans="1:5" x14ac:dyDescent="0.3">
      <c r="A94" s="8" t="s">
        <v>70</v>
      </c>
      <c r="B94">
        <v>20</v>
      </c>
      <c r="C94">
        <v>2</v>
      </c>
      <c r="D94">
        <v>2020</v>
      </c>
      <c r="E94" s="2">
        <f t="shared" si="1"/>
        <v>43881</v>
      </c>
    </row>
    <row r="95" spans="1:5" x14ac:dyDescent="0.3">
      <c r="A95" s="9" t="s">
        <v>55</v>
      </c>
      <c r="B95">
        <v>1</v>
      </c>
      <c r="C95">
        <v>15</v>
      </c>
      <c r="D95">
        <v>2020</v>
      </c>
      <c r="E95" s="2">
        <f t="shared" si="1"/>
        <v>43845</v>
      </c>
    </row>
    <row r="96" spans="1:5" x14ac:dyDescent="0.3">
      <c r="A96" s="8" t="s">
        <v>75</v>
      </c>
      <c r="B96">
        <v>2019</v>
      </c>
      <c r="C96">
        <v>12</v>
      </c>
      <c r="D96">
        <v>1</v>
      </c>
      <c r="E96" s="2">
        <f t="shared" si="1"/>
        <v>43800</v>
      </c>
    </row>
    <row r="97" spans="1:5" x14ac:dyDescent="0.3">
      <c r="A97" s="9" t="s">
        <v>55</v>
      </c>
      <c r="B97">
        <v>1</v>
      </c>
      <c r="C97">
        <v>15</v>
      </c>
      <c r="D97">
        <v>2020</v>
      </c>
      <c r="E97" s="2">
        <f t="shared" si="1"/>
        <v>43845</v>
      </c>
    </row>
    <row r="98" spans="1:5" x14ac:dyDescent="0.3">
      <c r="A98" s="8" t="s">
        <v>71</v>
      </c>
      <c r="B98">
        <v>3</v>
      </c>
      <c r="C98">
        <v>25</v>
      </c>
      <c r="D98">
        <v>2019</v>
      </c>
      <c r="E98" s="2">
        <f t="shared" si="1"/>
        <v>43549</v>
      </c>
    </row>
    <row r="99" spans="1:5" x14ac:dyDescent="0.3">
      <c r="A99" s="9" t="s">
        <v>75</v>
      </c>
      <c r="B99">
        <v>2019</v>
      </c>
      <c r="C99">
        <v>12</v>
      </c>
      <c r="D99">
        <v>1</v>
      </c>
      <c r="E99" s="2">
        <f t="shared" si="1"/>
        <v>43800</v>
      </c>
    </row>
    <row r="100" spans="1:5" x14ac:dyDescent="0.3">
      <c r="A100" s="8" t="s">
        <v>69</v>
      </c>
      <c r="B100" t="s">
        <v>74</v>
      </c>
      <c r="C100">
        <v>5</v>
      </c>
      <c r="D100">
        <v>2018</v>
      </c>
      <c r="E100" s="2">
        <f t="shared" si="1"/>
        <v>43195</v>
      </c>
    </row>
    <row r="101" spans="1:5" x14ac:dyDescent="0.3">
      <c r="A101" s="9" t="s">
        <v>70</v>
      </c>
      <c r="B101">
        <v>20</v>
      </c>
      <c r="C101">
        <v>2</v>
      </c>
      <c r="D101">
        <v>2020</v>
      </c>
      <c r="E101" s="2">
        <f t="shared" si="1"/>
        <v>43881</v>
      </c>
    </row>
    <row r="102" spans="1:5" x14ac:dyDescent="0.3">
      <c r="A102" s="8" t="s">
        <v>71</v>
      </c>
      <c r="B102">
        <v>3</v>
      </c>
      <c r="C102">
        <v>25</v>
      </c>
      <c r="D102">
        <v>2019</v>
      </c>
      <c r="E102" s="2">
        <f t="shared" si="1"/>
        <v>43549</v>
      </c>
    </row>
    <row r="103" spans="1:5" x14ac:dyDescent="0.3">
      <c r="A103" s="9" t="s">
        <v>71</v>
      </c>
      <c r="B103">
        <v>3</v>
      </c>
      <c r="C103">
        <v>25</v>
      </c>
      <c r="D103">
        <v>2019</v>
      </c>
      <c r="E103" s="2">
        <f t="shared" si="1"/>
        <v>43549</v>
      </c>
    </row>
    <row r="104" spans="1:5" x14ac:dyDescent="0.3">
      <c r="A104" s="8" t="s">
        <v>70</v>
      </c>
      <c r="B104">
        <v>20</v>
      </c>
      <c r="C104">
        <v>2</v>
      </c>
      <c r="D104">
        <v>2020</v>
      </c>
      <c r="E104" s="2">
        <f t="shared" si="1"/>
        <v>43881</v>
      </c>
    </row>
    <row r="105" spans="1:5" x14ac:dyDescent="0.3">
      <c r="A105" s="9" t="s">
        <v>70</v>
      </c>
      <c r="B105">
        <v>20</v>
      </c>
      <c r="C105">
        <v>2</v>
      </c>
      <c r="D105">
        <v>2020</v>
      </c>
      <c r="E105" s="2">
        <f t="shared" si="1"/>
        <v>43881</v>
      </c>
    </row>
    <row r="106" spans="1:5" x14ac:dyDescent="0.3">
      <c r="A106" s="8" t="s">
        <v>69</v>
      </c>
      <c r="B106" t="s">
        <v>74</v>
      </c>
      <c r="C106">
        <v>5</v>
      </c>
      <c r="D106">
        <v>2018</v>
      </c>
      <c r="E106" s="2">
        <f t="shared" si="1"/>
        <v>43195</v>
      </c>
    </row>
    <row r="107" spans="1:5" x14ac:dyDescent="0.3">
      <c r="A107" s="9" t="s">
        <v>71</v>
      </c>
      <c r="B107">
        <v>3</v>
      </c>
      <c r="C107">
        <v>25</v>
      </c>
      <c r="D107">
        <v>2019</v>
      </c>
      <c r="E107" s="2">
        <f t="shared" si="1"/>
        <v>43549</v>
      </c>
    </row>
    <row r="108" spans="1:5" x14ac:dyDescent="0.3">
      <c r="A108" s="8" t="s">
        <v>71</v>
      </c>
      <c r="B108">
        <v>3</v>
      </c>
      <c r="C108">
        <v>25</v>
      </c>
      <c r="D108">
        <v>2019</v>
      </c>
      <c r="E108" s="2">
        <f t="shared" si="1"/>
        <v>43549</v>
      </c>
    </row>
    <row r="109" spans="1:5" x14ac:dyDescent="0.3">
      <c r="A109" s="9" t="s">
        <v>55</v>
      </c>
      <c r="B109">
        <v>1</v>
      </c>
      <c r="C109">
        <v>15</v>
      </c>
      <c r="D109">
        <v>2020</v>
      </c>
      <c r="E109" s="2">
        <f t="shared" si="1"/>
        <v>43845</v>
      </c>
    </row>
    <row r="110" spans="1:5" x14ac:dyDescent="0.3">
      <c r="A110" s="8" t="s">
        <v>75</v>
      </c>
      <c r="B110">
        <v>2019</v>
      </c>
      <c r="C110">
        <v>12</v>
      </c>
      <c r="D110">
        <v>1</v>
      </c>
      <c r="E110" s="2">
        <f t="shared" si="1"/>
        <v>43800</v>
      </c>
    </row>
    <row r="111" spans="1:5" x14ac:dyDescent="0.3">
      <c r="A111" s="9" t="s">
        <v>75</v>
      </c>
      <c r="B111">
        <v>2019</v>
      </c>
      <c r="C111">
        <v>12</v>
      </c>
      <c r="D111">
        <v>1</v>
      </c>
      <c r="E111" s="2">
        <f t="shared" si="1"/>
        <v>43800</v>
      </c>
    </row>
    <row r="112" spans="1:5" x14ac:dyDescent="0.3">
      <c r="A112" s="8" t="s">
        <v>55</v>
      </c>
      <c r="B112">
        <v>1</v>
      </c>
      <c r="C112">
        <v>15</v>
      </c>
      <c r="D112">
        <v>2020</v>
      </c>
      <c r="E112" s="2">
        <f t="shared" si="1"/>
        <v>43845</v>
      </c>
    </row>
    <row r="113" spans="1:5" x14ac:dyDescent="0.3">
      <c r="A113" s="9" t="s">
        <v>75</v>
      </c>
      <c r="B113">
        <v>2019</v>
      </c>
      <c r="C113">
        <v>12</v>
      </c>
      <c r="D113">
        <v>1</v>
      </c>
      <c r="E113" s="2">
        <f t="shared" si="1"/>
        <v>43800</v>
      </c>
    </row>
    <row r="114" spans="1:5" x14ac:dyDescent="0.3">
      <c r="A114" s="8" t="s">
        <v>70</v>
      </c>
      <c r="B114">
        <v>20</v>
      </c>
      <c r="C114">
        <v>2</v>
      </c>
      <c r="D114">
        <v>2020</v>
      </c>
      <c r="E114" s="2">
        <f t="shared" si="1"/>
        <v>43881</v>
      </c>
    </row>
    <row r="115" spans="1:5" x14ac:dyDescent="0.3">
      <c r="A115" s="9" t="s">
        <v>75</v>
      </c>
      <c r="B115">
        <v>2019</v>
      </c>
      <c r="C115">
        <v>12</v>
      </c>
      <c r="D115">
        <v>1</v>
      </c>
      <c r="E115" s="2">
        <f t="shared" si="1"/>
        <v>43800</v>
      </c>
    </row>
    <row r="116" spans="1:5" x14ac:dyDescent="0.3">
      <c r="A116" s="8" t="s">
        <v>75</v>
      </c>
      <c r="B116">
        <v>2019</v>
      </c>
      <c r="C116">
        <v>12</v>
      </c>
      <c r="D116">
        <v>1</v>
      </c>
      <c r="E116" s="2">
        <f t="shared" si="1"/>
        <v>43800</v>
      </c>
    </row>
    <row r="117" spans="1:5" x14ac:dyDescent="0.3">
      <c r="A117" s="9" t="s">
        <v>55</v>
      </c>
      <c r="B117">
        <v>1</v>
      </c>
      <c r="C117">
        <v>15</v>
      </c>
      <c r="D117">
        <v>2020</v>
      </c>
      <c r="E117" s="2">
        <f t="shared" si="1"/>
        <v>43845</v>
      </c>
    </row>
    <row r="118" spans="1:5" x14ac:dyDescent="0.3">
      <c r="A118" s="8" t="s">
        <v>69</v>
      </c>
      <c r="B118" t="s">
        <v>74</v>
      </c>
      <c r="C118">
        <v>5</v>
      </c>
      <c r="D118">
        <v>2018</v>
      </c>
      <c r="E118" s="2">
        <f t="shared" si="1"/>
        <v>43195</v>
      </c>
    </row>
    <row r="119" spans="1:5" x14ac:dyDescent="0.3">
      <c r="A119" s="9" t="s">
        <v>75</v>
      </c>
      <c r="B119">
        <v>2019</v>
      </c>
      <c r="C119">
        <v>12</v>
      </c>
      <c r="D119">
        <v>1</v>
      </c>
      <c r="E119" s="2">
        <f t="shared" si="1"/>
        <v>43800</v>
      </c>
    </row>
    <row r="120" spans="1:5" x14ac:dyDescent="0.3">
      <c r="A120" s="8" t="s">
        <v>75</v>
      </c>
      <c r="B120">
        <v>2019</v>
      </c>
      <c r="C120">
        <v>12</v>
      </c>
      <c r="D120">
        <v>1</v>
      </c>
      <c r="E120" s="2">
        <f t="shared" si="1"/>
        <v>43800</v>
      </c>
    </row>
    <row r="121" spans="1:5" x14ac:dyDescent="0.3">
      <c r="A121" s="9" t="s">
        <v>69</v>
      </c>
      <c r="B121" t="s">
        <v>74</v>
      </c>
      <c r="C121">
        <v>5</v>
      </c>
      <c r="D121">
        <v>2018</v>
      </c>
      <c r="E121" s="2">
        <f t="shared" si="1"/>
        <v>43195</v>
      </c>
    </row>
    <row r="122" spans="1:5" x14ac:dyDescent="0.3">
      <c r="A122" s="8" t="s">
        <v>55</v>
      </c>
      <c r="B122">
        <v>1</v>
      </c>
      <c r="C122">
        <v>15</v>
      </c>
      <c r="D122">
        <v>2020</v>
      </c>
      <c r="E122" s="2">
        <f t="shared" si="1"/>
        <v>43845</v>
      </c>
    </row>
    <row r="123" spans="1:5" x14ac:dyDescent="0.3">
      <c r="A123" s="9" t="s">
        <v>69</v>
      </c>
      <c r="B123" t="s">
        <v>74</v>
      </c>
      <c r="C123">
        <v>5</v>
      </c>
      <c r="D123">
        <v>2018</v>
      </c>
      <c r="E123" s="2">
        <f t="shared" si="1"/>
        <v>43195</v>
      </c>
    </row>
    <row r="124" spans="1:5" x14ac:dyDescent="0.3">
      <c r="A124" s="8" t="s">
        <v>55</v>
      </c>
      <c r="B124">
        <v>1</v>
      </c>
      <c r="C124">
        <v>15</v>
      </c>
      <c r="D124">
        <v>2020</v>
      </c>
      <c r="E124" s="2">
        <f t="shared" si="1"/>
        <v>43845</v>
      </c>
    </row>
    <row r="125" spans="1:5" x14ac:dyDescent="0.3">
      <c r="A125" s="9" t="s">
        <v>70</v>
      </c>
      <c r="B125">
        <v>20</v>
      </c>
      <c r="C125">
        <v>2</v>
      </c>
      <c r="D125">
        <v>2020</v>
      </c>
      <c r="E125" s="2">
        <f t="shared" si="1"/>
        <v>43881</v>
      </c>
    </row>
    <row r="126" spans="1:5" x14ac:dyDescent="0.3">
      <c r="A126" s="8" t="s">
        <v>55</v>
      </c>
      <c r="B126">
        <v>1</v>
      </c>
      <c r="C126">
        <v>15</v>
      </c>
      <c r="D126">
        <v>2020</v>
      </c>
      <c r="E126" s="2">
        <f t="shared" si="1"/>
        <v>43845</v>
      </c>
    </row>
    <row r="127" spans="1:5" x14ac:dyDescent="0.3">
      <c r="A127" s="9" t="s">
        <v>70</v>
      </c>
      <c r="B127">
        <v>20</v>
      </c>
      <c r="C127">
        <v>2</v>
      </c>
      <c r="D127">
        <v>2020</v>
      </c>
      <c r="E127" s="2">
        <f t="shared" si="1"/>
        <v>43881</v>
      </c>
    </row>
    <row r="128" spans="1:5" x14ac:dyDescent="0.3">
      <c r="A128" s="8" t="s">
        <v>70</v>
      </c>
      <c r="B128">
        <v>20</v>
      </c>
      <c r="C128">
        <v>2</v>
      </c>
      <c r="D128">
        <v>2020</v>
      </c>
      <c r="E128" s="2">
        <f t="shared" si="1"/>
        <v>43881</v>
      </c>
    </row>
    <row r="129" spans="1:5" x14ac:dyDescent="0.3">
      <c r="A129" s="9" t="s">
        <v>55</v>
      </c>
      <c r="B129">
        <v>1</v>
      </c>
      <c r="C129">
        <v>15</v>
      </c>
      <c r="D129">
        <v>2020</v>
      </c>
      <c r="E129" s="2">
        <f t="shared" si="1"/>
        <v>43845</v>
      </c>
    </row>
    <row r="130" spans="1:5" x14ac:dyDescent="0.3">
      <c r="A130" s="8" t="s">
        <v>71</v>
      </c>
      <c r="B130">
        <v>3</v>
      </c>
      <c r="C130">
        <v>25</v>
      </c>
      <c r="D130">
        <v>2019</v>
      </c>
      <c r="E130" s="2">
        <f t="shared" si="1"/>
        <v>43549</v>
      </c>
    </row>
    <row r="131" spans="1:5" x14ac:dyDescent="0.3">
      <c r="A131" s="9" t="s">
        <v>55</v>
      </c>
      <c r="B131">
        <v>1</v>
      </c>
      <c r="C131">
        <v>15</v>
      </c>
      <c r="D131">
        <v>2020</v>
      </c>
      <c r="E131" s="2">
        <f t="shared" ref="E131:E194" si="2">DATE(
 IF(ISNUMBER(--B131),
     IF(LEN(B131)=4, B131, D131),
     D131
 ),
 IF(ISNUMBER(--B131),
     IF(LEN(B131)=4, C131, IF(B131&gt;12, C131, B131)),
     MONTH(DATEVALUE(B131 &amp; " 1"))
 ),
 IF(ISNUMBER(--B131),
     IF(LEN(B131)=4, D131, IF(B131&gt;12, B131, C131)),
     C131
 )
)</f>
        <v>43845</v>
      </c>
    </row>
    <row r="132" spans="1:5" x14ac:dyDescent="0.3">
      <c r="A132" s="8" t="s">
        <v>75</v>
      </c>
      <c r="B132">
        <v>2019</v>
      </c>
      <c r="C132">
        <v>12</v>
      </c>
      <c r="D132">
        <v>1</v>
      </c>
      <c r="E132" s="2">
        <f t="shared" si="2"/>
        <v>43800</v>
      </c>
    </row>
    <row r="133" spans="1:5" x14ac:dyDescent="0.3">
      <c r="A133" s="9" t="s">
        <v>75</v>
      </c>
      <c r="B133">
        <v>2019</v>
      </c>
      <c r="C133">
        <v>12</v>
      </c>
      <c r="D133">
        <v>1</v>
      </c>
      <c r="E133" s="2">
        <f t="shared" si="2"/>
        <v>43800</v>
      </c>
    </row>
    <row r="134" spans="1:5" x14ac:dyDescent="0.3">
      <c r="A134" s="8" t="s">
        <v>71</v>
      </c>
      <c r="B134">
        <v>3</v>
      </c>
      <c r="C134">
        <v>25</v>
      </c>
      <c r="D134">
        <v>2019</v>
      </c>
      <c r="E134" s="2">
        <f t="shared" si="2"/>
        <v>43549</v>
      </c>
    </row>
    <row r="135" spans="1:5" x14ac:dyDescent="0.3">
      <c r="A135" s="9" t="s">
        <v>70</v>
      </c>
      <c r="B135">
        <v>20</v>
      </c>
      <c r="C135">
        <v>2</v>
      </c>
      <c r="D135">
        <v>2020</v>
      </c>
      <c r="E135" s="2">
        <f t="shared" si="2"/>
        <v>43881</v>
      </c>
    </row>
    <row r="136" spans="1:5" x14ac:dyDescent="0.3">
      <c r="A136" s="8" t="s">
        <v>71</v>
      </c>
      <c r="B136">
        <v>3</v>
      </c>
      <c r="C136">
        <v>25</v>
      </c>
      <c r="D136">
        <v>2019</v>
      </c>
      <c r="E136" s="2">
        <f t="shared" si="2"/>
        <v>43549</v>
      </c>
    </row>
    <row r="137" spans="1:5" x14ac:dyDescent="0.3">
      <c r="A137" s="9" t="s">
        <v>75</v>
      </c>
      <c r="B137">
        <v>2019</v>
      </c>
      <c r="C137">
        <v>12</v>
      </c>
      <c r="D137">
        <v>1</v>
      </c>
      <c r="E137" s="2">
        <f t="shared" si="2"/>
        <v>43800</v>
      </c>
    </row>
    <row r="138" spans="1:5" x14ac:dyDescent="0.3">
      <c r="A138" s="8" t="s">
        <v>71</v>
      </c>
      <c r="B138">
        <v>3</v>
      </c>
      <c r="C138">
        <v>25</v>
      </c>
      <c r="D138">
        <v>2019</v>
      </c>
      <c r="E138" s="2">
        <f t="shared" si="2"/>
        <v>43549</v>
      </c>
    </row>
    <row r="139" spans="1:5" x14ac:dyDescent="0.3">
      <c r="A139" s="9" t="s">
        <v>55</v>
      </c>
      <c r="B139">
        <v>1</v>
      </c>
      <c r="C139">
        <v>15</v>
      </c>
      <c r="D139">
        <v>2020</v>
      </c>
      <c r="E139" s="2">
        <f t="shared" si="2"/>
        <v>43845</v>
      </c>
    </row>
    <row r="140" spans="1:5" x14ac:dyDescent="0.3">
      <c r="A140" s="8" t="s">
        <v>71</v>
      </c>
      <c r="B140">
        <v>3</v>
      </c>
      <c r="C140">
        <v>25</v>
      </c>
      <c r="D140">
        <v>2019</v>
      </c>
      <c r="E140" s="2">
        <f t="shared" si="2"/>
        <v>43549</v>
      </c>
    </row>
    <row r="141" spans="1:5" x14ac:dyDescent="0.3">
      <c r="A141" s="9" t="s">
        <v>70</v>
      </c>
      <c r="B141">
        <v>20</v>
      </c>
      <c r="C141">
        <v>2</v>
      </c>
      <c r="D141">
        <v>2020</v>
      </c>
      <c r="E141" s="2">
        <f t="shared" si="2"/>
        <v>43881</v>
      </c>
    </row>
    <row r="142" spans="1:5" x14ac:dyDescent="0.3">
      <c r="A142" s="8" t="s">
        <v>55</v>
      </c>
      <c r="B142">
        <v>1</v>
      </c>
      <c r="C142">
        <v>15</v>
      </c>
      <c r="D142">
        <v>2020</v>
      </c>
      <c r="E142" s="2">
        <f t="shared" si="2"/>
        <v>43845</v>
      </c>
    </row>
    <row r="143" spans="1:5" x14ac:dyDescent="0.3">
      <c r="A143" s="9" t="s">
        <v>69</v>
      </c>
      <c r="B143" t="s">
        <v>74</v>
      </c>
      <c r="C143">
        <v>5</v>
      </c>
      <c r="D143">
        <v>2018</v>
      </c>
      <c r="E143" s="2">
        <f t="shared" si="2"/>
        <v>43195</v>
      </c>
    </row>
    <row r="144" spans="1:5" x14ac:dyDescent="0.3">
      <c r="A144" s="8" t="s">
        <v>75</v>
      </c>
      <c r="B144">
        <v>2019</v>
      </c>
      <c r="C144">
        <v>12</v>
      </c>
      <c r="D144">
        <v>1</v>
      </c>
      <c r="E144" s="2">
        <f t="shared" si="2"/>
        <v>43800</v>
      </c>
    </row>
    <row r="145" spans="1:5" x14ac:dyDescent="0.3">
      <c r="A145" s="9" t="s">
        <v>75</v>
      </c>
      <c r="B145">
        <v>2019</v>
      </c>
      <c r="C145">
        <v>12</v>
      </c>
      <c r="D145">
        <v>1</v>
      </c>
      <c r="E145" s="2">
        <f t="shared" si="2"/>
        <v>43800</v>
      </c>
    </row>
    <row r="146" spans="1:5" x14ac:dyDescent="0.3">
      <c r="A146" s="8" t="s">
        <v>71</v>
      </c>
      <c r="B146">
        <v>3</v>
      </c>
      <c r="C146">
        <v>25</v>
      </c>
      <c r="D146">
        <v>2019</v>
      </c>
      <c r="E146" s="2">
        <f t="shared" si="2"/>
        <v>43549</v>
      </c>
    </row>
    <row r="147" spans="1:5" x14ac:dyDescent="0.3">
      <c r="A147" s="9" t="s">
        <v>55</v>
      </c>
      <c r="B147">
        <v>1</v>
      </c>
      <c r="C147">
        <v>15</v>
      </c>
      <c r="D147">
        <v>2020</v>
      </c>
      <c r="E147" s="2">
        <f t="shared" si="2"/>
        <v>43845</v>
      </c>
    </row>
    <row r="148" spans="1:5" x14ac:dyDescent="0.3">
      <c r="A148" s="8" t="s">
        <v>69</v>
      </c>
      <c r="B148" t="s">
        <v>74</v>
      </c>
      <c r="C148">
        <v>5</v>
      </c>
      <c r="D148">
        <v>2018</v>
      </c>
      <c r="E148" s="2">
        <f t="shared" si="2"/>
        <v>43195</v>
      </c>
    </row>
    <row r="149" spans="1:5" x14ac:dyDescent="0.3">
      <c r="A149" s="9" t="s">
        <v>55</v>
      </c>
      <c r="B149">
        <v>1</v>
      </c>
      <c r="C149">
        <v>15</v>
      </c>
      <c r="D149">
        <v>2020</v>
      </c>
      <c r="E149" s="2">
        <f t="shared" si="2"/>
        <v>43845</v>
      </c>
    </row>
    <row r="150" spans="1:5" x14ac:dyDescent="0.3">
      <c r="A150" s="8" t="s">
        <v>75</v>
      </c>
      <c r="B150">
        <v>2019</v>
      </c>
      <c r="C150">
        <v>12</v>
      </c>
      <c r="D150">
        <v>1</v>
      </c>
      <c r="E150" s="2">
        <f t="shared" si="2"/>
        <v>43800</v>
      </c>
    </row>
    <row r="151" spans="1:5" x14ac:dyDescent="0.3">
      <c r="A151" s="9" t="s">
        <v>55</v>
      </c>
      <c r="B151">
        <v>1</v>
      </c>
      <c r="C151">
        <v>15</v>
      </c>
      <c r="D151">
        <v>2020</v>
      </c>
      <c r="E151" s="2">
        <f t="shared" si="2"/>
        <v>43845</v>
      </c>
    </row>
    <row r="152" spans="1:5" x14ac:dyDescent="0.3">
      <c r="A152" s="8" t="s">
        <v>69</v>
      </c>
      <c r="B152" t="s">
        <v>74</v>
      </c>
      <c r="C152">
        <v>5</v>
      </c>
      <c r="D152">
        <v>2018</v>
      </c>
      <c r="E152" s="2">
        <f t="shared" si="2"/>
        <v>43195</v>
      </c>
    </row>
    <row r="153" spans="1:5" x14ac:dyDescent="0.3">
      <c r="A153" s="9" t="s">
        <v>71</v>
      </c>
      <c r="B153">
        <v>3</v>
      </c>
      <c r="C153">
        <v>25</v>
      </c>
      <c r="D153">
        <v>2019</v>
      </c>
      <c r="E153" s="2">
        <f t="shared" si="2"/>
        <v>43549</v>
      </c>
    </row>
    <row r="154" spans="1:5" x14ac:dyDescent="0.3">
      <c r="A154" s="8" t="s">
        <v>70</v>
      </c>
      <c r="B154">
        <v>20</v>
      </c>
      <c r="C154">
        <v>2</v>
      </c>
      <c r="D154">
        <v>2020</v>
      </c>
      <c r="E154" s="2">
        <f t="shared" si="2"/>
        <v>43881</v>
      </c>
    </row>
    <row r="155" spans="1:5" x14ac:dyDescent="0.3">
      <c r="A155" s="9" t="s">
        <v>55</v>
      </c>
      <c r="B155">
        <v>1</v>
      </c>
      <c r="C155">
        <v>15</v>
      </c>
      <c r="D155">
        <v>2020</v>
      </c>
      <c r="E155" s="2">
        <f t="shared" si="2"/>
        <v>43845</v>
      </c>
    </row>
    <row r="156" spans="1:5" x14ac:dyDescent="0.3">
      <c r="A156" s="8" t="s">
        <v>70</v>
      </c>
      <c r="B156">
        <v>20</v>
      </c>
      <c r="C156">
        <v>2</v>
      </c>
      <c r="D156">
        <v>2020</v>
      </c>
      <c r="E156" s="2">
        <f t="shared" si="2"/>
        <v>43881</v>
      </c>
    </row>
    <row r="157" spans="1:5" x14ac:dyDescent="0.3">
      <c r="A157" s="9" t="s">
        <v>75</v>
      </c>
      <c r="B157">
        <v>2019</v>
      </c>
      <c r="C157">
        <v>12</v>
      </c>
      <c r="D157">
        <v>1</v>
      </c>
      <c r="E157" s="2">
        <f t="shared" si="2"/>
        <v>43800</v>
      </c>
    </row>
    <row r="158" spans="1:5" x14ac:dyDescent="0.3">
      <c r="A158" s="8" t="s">
        <v>71</v>
      </c>
      <c r="B158">
        <v>3</v>
      </c>
      <c r="C158">
        <v>25</v>
      </c>
      <c r="D158">
        <v>2019</v>
      </c>
      <c r="E158" s="2">
        <f t="shared" si="2"/>
        <v>43549</v>
      </c>
    </row>
    <row r="159" spans="1:5" x14ac:dyDescent="0.3">
      <c r="A159" s="9" t="s">
        <v>71</v>
      </c>
      <c r="B159">
        <v>3</v>
      </c>
      <c r="C159">
        <v>25</v>
      </c>
      <c r="D159">
        <v>2019</v>
      </c>
      <c r="E159" s="2">
        <f t="shared" si="2"/>
        <v>43549</v>
      </c>
    </row>
    <row r="160" spans="1:5" x14ac:dyDescent="0.3">
      <c r="A160" s="8" t="s">
        <v>55</v>
      </c>
      <c r="B160">
        <v>1</v>
      </c>
      <c r="C160">
        <v>15</v>
      </c>
      <c r="D160">
        <v>2020</v>
      </c>
      <c r="E160" s="2">
        <f t="shared" si="2"/>
        <v>43845</v>
      </c>
    </row>
    <row r="161" spans="1:5" x14ac:dyDescent="0.3">
      <c r="A161" s="9" t="s">
        <v>71</v>
      </c>
      <c r="B161">
        <v>3</v>
      </c>
      <c r="C161">
        <v>25</v>
      </c>
      <c r="D161">
        <v>2019</v>
      </c>
      <c r="E161" s="2">
        <f t="shared" si="2"/>
        <v>43549</v>
      </c>
    </row>
    <row r="162" spans="1:5" x14ac:dyDescent="0.3">
      <c r="A162" s="8" t="s">
        <v>55</v>
      </c>
      <c r="B162">
        <v>1</v>
      </c>
      <c r="C162">
        <v>15</v>
      </c>
      <c r="D162">
        <v>2020</v>
      </c>
      <c r="E162" s="2">
        <f t="shared" si="2"/>
        <v>43845</v>
      </c>
    </row>
    <row r="163" spans="1:5" x14ac:dyDescent="0.3">
      <c r="A163" s="9" t="s">
        <v>55</v>
      </c>
      <c r="B163">
        <v>1</v>
      </c>
      <c r="C163">
        <v>15</v>
      </c>
      <c r="D163">
        <v>2020</v>
      </c>
      <c r="E163" s="2">
        <f t="shared" si="2"/>
        <v>43845</v>
      </c>
    </row>
    <row r="164" spans="1:5" x14ac:dyDescent="0.3">
      <c r="A164" s="8" t="s">
        <v>70</v>
      </c>
      <c r="B164">
        <v>20</v>
      </c>
      <c r="C164">
        <v>2</v>
      </c>
      <c r="D164">
        <v>2020</v>
      </c>
      <c r="E164" s="2">
        <f t="shared" si="2"/>
        <v>43881</v>
      </c>
    </row>
    <row r="165" spans="1:5" x14ac:dyDescent="0.3">
      <c r="A165" s="9" t="s">
        <v>71</v>
      </c>
      <c r="B165">
        <v>3</v>
      </c>
      <c r="C165">
        <v>25</v>
      </c>
      <c r="D165">
        <v>2019</v>
      </c>
      <c r="E165" s="2">
        <f t="shared" si="2"/>
        <v>43549</v>
      </c>
    </row>
    <row r="166" spans="1:5" x14ac:dyDescent="0.3">
      <c r="A166" s="8" t="s">
        <v>55</v>
      </c>
      <c r="B166">
        <v>1</v>
      </c>
      <c r="C166">
        <v>15</v>
      </c>
      <c r="D166">
        <v>2020</v>
      </c>
      <c r="E166" s="2">
        <f t="shared" si="2"/>
        <v>43845</v>
      </c>
    </row>
    <row r="167" spans="1:5" x14ac:dyDescent="0.3">
      <c r="A167" s="9" t="s">
        <v>70</v>
      </c>
      <c r="B167">
        <v>20</v>
      </c>
      <c r="C167">
        <v>2</v>
      </c>
      <c r="D167">
        <v>2020</v>
      </c>
      <c r="E167" s="2">
        <f t="shared" si="2"/>
        <v>43881</v>
      </c>
    </row>
    <row r="168" spans="1:5" x14ac:dyDescent="0.3">
      <c r="A168" s="8" t="s">
        <v>69</v>
      </c>
      <c r="B168" t="s">
        <v>74</v>
      </c>
      <c r="C168">
        <v>5</v>
      </c>
      <c r="D168">
        <v>2018</v>
      </c>
      <c r="E168" s="2">
        <f t="shared" si="2"/>
        <v>43195</v>
      </c>
    </row>
    <row r="169" spans="1:5" x14ac:dyDescent="0.3">
      <c r="A169" s="9" t="s">
        <v>70</v>
      </c>
      <c r="B169">
        <v>20</v>
      </c>
      <c r="C169">
        <v>2</v>
      </c>
      <c r="D169">
        <v>2020</v>
      </c>
      <c r="E169" s="2">
        <f t="shared" si="2"/>
        <v>43881</v>
      </c>
    </row>
    <row r="170" spans="1:5" x14ac:dyDescent="0.3">
      <c r="A170" s="8" t="s">
        <v>70</v>
      </c>
      <c r="B170">
        <v>20</v>
      </c>
      <c r="C170">
        <v>2</v>
      </c>
      <c r="D170">
        <v>2020</v>
      </c>
      <c r="E170" s="2">
        <f t="shared" si="2"/>
        <v>43881</v>
      </c>
    </row>
    <row r="171" spans="1:5" x14ac:dyDescent="0.3">
      <c r="A171" s="9" t="s">
        <v>55</v>
      </c>
      <c r="B171">
        <v>1</v>
      </c>
      <c r="C171">
        <v>15</v>
      </c>
      <c r="D171">
        <v>2020</v>
      </c>
      <c r="E171" s="2">
        <f t="shared" si="2"/>
        <v>43845</v>
      </c>
    </row>
    <row r="172" spans="1:5" x14ac:dyDescent="0.3">
      <c r="A172" s="8" t="s">
        <v>75</v>
      </c>
      <c r="B172">
        <v>2019</v>
      </c>
      <c r="C172">
        <v>12</v>
      </c>
      <c r="D172">
        <v>1</v>
      </c>
      <c r="E172" s="2">
        <f t="shared" si="2"/>
        <v>43800</v>
      </c>
    </row>
    <row r="173" spans="1:5" x14ac:dyDescent="0.3">
      <c r="A173" s="9" t="s">
        <v>75</v>
      </c>
      <c r="B173">
        <v>2019</v>
      </c>
      <c r="C173">
        <v>12</v>
      </c>
      <c r="D173">
        <v>1</v>
      </c>
      <c r="E173" s="2">
        <f t="shared" si="2"/>
        <v>43800</v>
      </c>
    </row>
    <row r="174" spans="1:5" x14ac:dyDescent="0.3">
      <c r="A174" s="8" t="s">
        <v>75</v>
      </c>
      <c r="B174">
        <v>2019</v>
      </c>
      <c r="C174">
        <v>12</v>
      </c>
      <c r="D174">
        <v>1</v>
      </c>
      <c r="E174" s="2">
        <f t="shared" si="2"/>
        <v>43800</v>
      </c>
    </row>
    <row r="175" spans="1:5" x14ac:dyDescent="0.3">
      <c r="A175" s="9" t="s">
        <v>70</v>
      </c>
      <c r="B175">
        <v>20</v>
      </c>
      <c r="C175">
        <v>2</v>
      </c>
      <c r="D175">
        <v>2020</v>
      </c>
      <c r="E175" s="2">
        <f t="shared" si="2"/>
        <v>43881</v>
      </c>
    </row>
    <row r="176" spans="1:5" x14ac:dyDescent="0.3">
      <c r="A176" s="8" t="s">
        <v>55</v>
      </c>
      <c r="B176">
        <v>1</v>
      </c>
      <c r="C176">
        <v>15</v>
      </c>
      <c r="D176">
        <v>2020</v>
      </c>
      <c r="E176" s="2">
        <f t="shared" si="2"/>
        <v>43845</v>
      </c>
    </row>
    <row r="177" spans="1:5" x14ac:dyDescent="0.3">
      <c r="A177" s="9" t="s">
        <v>71</v>
      </c>
      <c r="B177">
        <v>3</v>
      </c>
      <c r="C177">
        <v>25</v>
      </c>
      <c r="D177">
        <v>2019</v>
      </c>
      <c r="E177" s="2">
        <f t="shared" si="2"/>
        <v>43549</v>
      </c>
    </row>
    <row r="178" spans="1:5" x14ac:dyDescent="0.3">
      <c r="A178" s="8" t="s">
        <v>70</v>
      </c>
      <c r="B178">
        <v>20</v>
      </c>
      <c r="C178">
        <v>2</v>
      </c>
      <c r="D178">
        <v>2020</v>
      </c>
      <c r="E178" s="2">
        <f t="shared" si="2"/>
        <v>43881</v>
      </c>
    </row>
    <row r="179" spans="1:5" x14ac:dyDescent="0.3">
      <c r="A179" s="9" t="s">
        <v>70</v>
      </c>
      <c r="B179">
        <v>20</v>
      </c>
      <c r="C179">
        <v>2</v>
      </c>
      <c r="D179">
        <v>2020</v>
      </c>
      <c r="E179" s="2">
        <f t="shared" si="2"/>
        <v>43881</v>
      </c>
    </row>
    <row r="180" spans="1:5" x14ac:dyDescent="0.3">
      <c r="A180" s="8" t="s">
        <v>55</v>
      </c>
      <c r="B180">
        <v>1</v>
      </c>
      <c r="C180">
        <v>15</v>
      </c>
      <c r="D180">
        <v>2020</v>
      </c>
      <c r="E180" s="2">
        <f t="shared" si="2"/>
        <v>43845</v>
      </c>
    </row>
    <row r="181" spans="1:5" x14ac:dyDescent="0.3">
      <c r="A181" s="9" t="s">
        <v>69</v>
      </c>
      <c r="B181" t="s">
        <v>74</v>
      </c>
      <c r="C181">
        <v>5</v>
      </c>
      <c r="D181">
        <v>2018</v>
      </c>
      <c r="E181" s="2">
        <f t="shared" si="2"/>
        <v>43195</v>
      </c>
    </row>
    <row r="182" spans="1:5" x14ac:dyDescent="0.3">
      <c r="A182" s="8" t="s">
        <v>70</v>
      </c>
      <c r="B182">
        <v>20</v>
      </c>
      <c r="C182">
        <v>2</v>
      </c>
      <c r="D182">
        <v>2020</v>
      </c>
      <c r="E182" s="2">
        <f t="shared" si="2"/>
        <v>43881</v>
      </c>
    </row>
    <row r="183" spans="1:5" x14ac:dyDescent="0.3">
      <c r="A183" s="9" t="s">
        <v>69</v>
      </c>
      <c r="B183" t="s">
        <v>74</v>
      </c>
      <c r="C183">
        <v>5</v>
      </c>
      <c r="D183">
        <v>2018</v>
      </c>
      <c r="E183" s="2">
        <f t="shared" si="2"/>
        <v>43195</v>
      </c>
    </row>
    <row r="184" spans="1:5" x14ac:dyDescent="0.3">
      <c r="A184" s="8" t="s">
        <v>69</v>
      </c>
      <c r="B184" t="s">
        <v>74</v>
      </c>
      <c r="C184">
        <v>5</v>
      </c>
      <c r="D184">
        <v>2018</v>
      </c>
      <c r="E184" s="2">
        <f t="shared" si="2"/>
        <v>43195</v>
      </c>
    </row>
    <row r="185" spans="1:5" x14ac:dyDescent="0.3">
      <c r="A185" s="9" t="s">
        <v>75</v>
      </c>
      <c r="B185">
        <v>2019</v>
      </c>
      <c r="C185">
        <v>12</v>
      </c>
      <c r="D185">
        <v>1</v>
      </c>
      <c r="E185" s="2">
        <f t="shared" si="2"/>
        <v>43800</v>
      </c>
    </row>
    <row r="186" spans="1:5" x14ac:dyDescent="0.3">
      <c r="A186" s="8" t="s">
        <v>55</v>
      </c>
      <c r="B186">
        <v>1</v>
      </c>
      <c r="C186">
        <v>15</v>
      </c>
      <c r="D186">
        <v>2020</v>
      </c>
      <c r="E186" s="2">
        <f t="shared" si="2"/>
        <v>43845</v>
      </c>
    </row>
    <row r="187" spans="1:5" x14ac:dyDescent="0.3">
      <c r="A187" s="9" t="s">
        <v>69</v>
      </c>
      <c r="B187" t="s">
        <v>74</v>
      </c>
      <c r="C187">
        <v>5</v>
      </c>
      <c r="D187">
        <v>2018</v>
      </c>
      <c r="E187" s="2">
        <f t="shared" si="2"/>
        <v>43195</v>
      </c>
    </row>
    <row r="188" spans="1:5" x14ac:dyDescent="0.3">
      <c r="A188" s="8" t="s">
        <v>55</v>
      </c>
      <c r="B188">
        <v>1</v>
      </c>
      <c r="C188">
        <v>15</v>
      </c>
      <c r="D188">
        <v>2020</v>
      </c>
      <c r="E188" s="2">
        <f t="shared" si="2"/>
        <v>43845</v>
      </c>
    </row>
    <row r="189" spans="1:5" x14ac:dyDescent="0.3">
      <c r="A189" s="9" t="s">
        <v>75</v>
      </c>
      <c r="B189">
        <v>2019</v>
      </c>
      <c r="C189">
        <v>12</v>
      </c>
      <c r="D189">
        <v>1</v>
      </c>
      <c r="E189" s="2">
        <f t="shared" si="2"/>
        <v>43800</v>
      </c>
    </row>
    <row r="190" spans="1:5" x14ac:dyDescent="0.3">
      <c r="A190" s="8" t="s">
        <v>55</v>
      </c>
      <c r="B190">
        <v>1</v>
      </c>
      <c r="C190">
        <v>15</v>
      </c>
      <c r="D190">
        <v>2020</v>
      </c>
      <c r="E190" s="2">
        <f t="shared" si="2"/>
        <v>43845</v>
      </c>
    </row>
    <row r="191" spans="1:5" x14ac:dyDescent="0.3">
      <c r="A191" s="9" t="s">
        <v>70</v>
      </c>
      <c r="B191">
        <v>20</v>
      </c>
      <c r="C191">
        <v>2</v>
      </c>
      <c r="D191">
        <v>2020</v>
      </c>
      <c r="E191" s="2">
        <f t="shared" si="2"/>
        <v>43881</v>
      </c>
    </row>
    <row r="192" spans="1:5" x14ac:dyDescent="0.3">
      <c r="A192" s="8" t="s">
        <v>69</v>
      </c>
      <c r="B192" t="s">
        <v>74</v>
      </c>
      <c r="C192">
        <v>5</v>
      </c>
      <c r="D192">
        <v>2018</v>
      </c>
      <c r="E192" s="2">
        <f t="shared" si="2"/>
        <v>43195</v>
      </c>
    </row>
    <row r="193" spans="1:5" x14ac:dyDescent="0.3">
      <c r="A193" s="9" t="s">
        <v>55</v>
      </c>
      <c r="B193">
        <v>1</v>
      </c>
      <c r="C193">
        <v>15</v>
      </c>
      <c r="D193">
        <v>2020</v>
      </c>
      <c r="E193" s="2">
        <f t="shared" si="2"/>
        <v>43845</v>
      </c>
    </row>
    <row r="194" spans="1:5" x14ac:dyDescent="0.3">
      <c r="A194" s="8" t="s">
        <v>71</v>
      </c>
      <c r="B194">
        <v>3</v>
      </c>
      <c r="C194">
        <v>25</v>
      </c>
      <c r="D194">
        <v>2019</v>
      </c>
      <c r="E194" s="2">
        <f t="shared" si="2"/>
        <v>43549</v>
      </c>
    </row>
    <row r="195" spans="1:5" x14ac:dyDescent="0.3">
      <c r="A195" s="9" t="s">
        <v>55</v>
      </c>
      <c r="B195">
        <v>1</v>
      </c>
      <c r="C195">
        <v>15</v>
      </c>
      <c r="D195">
        <v>2020</v>
      </c>
      <c r="E195" s="2">
        <f t="shared" ref="E195:E258" si="3">DATE(
 IF(ISNUMBER(--B195),
     IF(LEN(B195)=4, B195, D195),
     D195
 ),
 IF(ISNUMBER(--B195),
     IF(LEN(B195)=4, C195, IF(B195&gt;12, C195, B195)),
     MONTH(DATEVALUE(B195 &amp; " 1"))
 ),
 IF(ISNUMBER(--B195),
     IF(LEN(B195)=4, D195, IF(B195&gt;12, B195, C195)),
     C195
 )
)</f>
        <v>43845</v>
      </c>
    </row>
    <row r="196" spans="1:5" x14ac:dyDescent="0.3">
      <c r="A196" s="8" t="s">
        <v>69</v>
      </c>
      <c r="B196" t="s">
        <v>74</v>
      </c>
      <c r="C196">
        <v>5</v>
      </c>
      <c r="D196">
        <v>2018</v>
      </c>
      <c r="E196" s="2">
        <f t="shared" si="3"/>
        <v>43195</v>
      </c>
    </row>
    <row r="197" spans="1:5" x14ac:dyDescent="0.3">
      <c r="A197" s="9" t="s">
        <v>75</v>
      </c>
      <c r="B197">
        <v>2019</v>
      </c>
      <c r="C197">
        <v>12</v>
      </c>
      <c r="D197">
        <v>1</v>
      </c>
      <c r="E197" s="2">
        <f t="shared" si="3"/>
        <v>43800</v>
      </c>
    </row>
    <row r="198" spans="1:5" x14ac:dyDescent="0.3">
      <c r="A198" s="8" t="s">
        <v>75</v>
      </c>
      <c r="B198">
        <v>2019</v>
      </c>
      <c r="C198">
        <v>12</v>
      </c>
      <c r="D198">
        <v>1</v>
      </c>
      <c r="E198" s="2">
        <f t="shared" si="3"/>
        <v>43800</v>
      </c>
    </row>
    <row r="199" spans="1:5" x14ac:dyDescent="0.3">
      <c r="A199" s="9" t="s">
        <v>69</v>
      </c>
      <c r="B199" t="s">
        <v>74</v>
      </c>
      <c r="C199">
        <v>5</v>
      </c>
      <c r="D199">
        <v>2018</v>
      </c>
      <c r="E199" s="2">
        <f t="shared" si="3"/>
        <v>43195</v>
      </c>
    </row>
    <row r="200" spans="1:5" x14ac:dyDescent="0.3">
      <c r="A200" s="8" t="s">
        <v>70</v>
      </c>
      <c r="B200">
        <v>20</v>
      </c>
      <c r="C200">
        <v>2</v>
      </c>
      <c r="D200">
        <v>2020</v>
      </c>
      <c r="E200" s="2">
        <f t="shared" si="3"/>
        <v>43881</v>
      </c>
    </row>
    <row r="201" spans="1:5" x14ac:dyDescent="0.3">
      <c r="A201" s="9" t="s">
        <v>70</v>
      </c>
      <c r="B201">
        <v>20</v>
      </c>
      <c r="C201">
        <v>2</v>
      </c>
      <c r="D201">
        <v>2020</v>
      </c>
      <c r="E201" s="2">
        <f t="shared" si="3"/>
        <v>43881</v>
      </c>
    </row>
    <row r="202" spans="1:5" x14ac:dyDescent="0.3">
      <c r="A202" s="8" t="s">
        <v>75</v>
      </c>
      <c r="B202">
        <v>2019</v>
      </c>
      <c r="C202">
        <v>12</v>
      </c>
      <c r="D202">
        <v>1</v>
      </c>
      <c r="E202" s="2">
        <f t="shared" si="3"/>
        <v>43800</v>
      </c>
    </row>
    <row r="203" spans="1:5" x14ac:dyDescent="0.3">
      <c r="A203" s="9" t="s">
        <v>75</v>
      </c>
      <c r="B203">
        <v>2019</v>
      </c>
      <c r="C203">
        <v>12</v>
      </c>
      <c r="D203">
        <v>1</v>
      </c>
      <c r="E203" s="2">
        <f t="shared" si="3"/>
        <v>43800</v>
      </c>
    </row>
    <row r="204" spans="1:5" x14ac:dyDescent="0.3">
      <c r="A204" s="8" t="s">
        <v>69</v>
      </c>
      <c r="B204" t="s">
        <v>74</v>
      </c>
      <c r="C204">
        <v>5</v>
      </c>
      <c r="D204">
        <v>2018</v>
      </c>
      <c r="E204" s="2">
        <f t="shared" si="3"/>
        <v>43195</v>
      </c>
    </row>
    <row r="205" spans="1:5" x14ac:dyDescent="0.3">
      <c r="A205" s="9" t="s">
        <v>70</v>
      </c>
      <c r="B205">
        <v>20</v>
      </c>
      <c r="C205">
        <v>2</v>
      </c>
      <c r="D205">
        <v>2020</v>
      </c>
      <c r="E205" s="2">
        <f t="shared" si="3"/>
        <v>43881</v>
      </c>
    </row>
    <row r="206" spans="1:5" x14ac:dyDescent="0.3">
      <c r="A206" s="8" t="s">
        <v>75</v>
      </c>
      <c r="B206">
        <v>2019</v>
      </c>
      <c r="C206">
        <v>12</v>
      </c>
      <c r="D206">
        <v>1</v>
      </c>
      <c r="E206" s="2">
        <f t="shared" si="3"/>
        <v>43800</v>
      </c>
    </row>
    <row r="207" spans="1:5" x14ac:dyDescent="0.3">
      <c r="A207" s="9" t="s">
        <v>70</v>
      </c>
      <c r="B207">
        <v>20</v>
      </c>
      <c r="C207">
        <v>2</v>
      </c>
      <c r="D207">
        <v>2020</v>
      </c>
      <c r="E207" s="2">
        <f t="shared" si="3"/>
        <v>43881</v>
      </c>
    </row>
    <row r="208" spans="1:5" x14ac:dyDescent="0.3">
      <c r="A208" s="8" t="s">
        <v>75</v>
      </c>
      <c r="B208">
        <v>2019</v>
      </c>
      <c r="C208">
        <v>12</v>
      </c>
      <c r="D208">
        <v>1</v>
      </c>
      <c r="E208" s="2">
        <f t="shared" si="3"/>
        <v>43800</v>
      </c>
    </row>
    <row r="209" spans="1:5" x14ac:dyDescent="0.3">
      <c r="A209" s="9" t="s">
        <v>55</v>
      </c>
      <c r="B209">
        <v>1</v>
      </c>
      <c r="C209">
        <v>15</v>
      </c>
      <c r="D209">
        <v>2020</v>
      </c>
      <c r="E209" s="2">
        <f t="shared" si="3"/>
        <v>43845</v>
      </c>
    </row>
    <row r="210" spans="1:5" x14ac:dyDescent="0.3">
      <c r="A210" s="8" t="s">
        <v>71</v>
      </c>
      <c r="B210">
        <v>3</v>
      </c>
      <c r="C210">
        <v>25</v>
      </c>
      <c r="D210">
        <v>2019</v>
      </c>
      <c r="E210" s="2">
        <f t="shared" si="3"/>
        <v>43549</v>
      </c>
    </row>
    <row r="211" spans="1:5" x14ac:dyDescent="0.3">
      <c r="A211" s="9" t="s">
        <v>55</v>
      </c>
      <c r="B211">
        <v>1</v>
      </c>
      <c r="C211">
        <v>15</v>
      </c>
      <c r="D211">
        <v>2020</v>
      </c>
      <c r="E211" s="2">
        <f t="shared" si="3"/>
        <v>43845</v>
      </c>
    </row>
    <row r="212" spans="1:5" x14ac:dyDescent="0.3">
      <c r="A212" s="8" t="s">
        <v>75</v>
      </c>
      <c r="B212">
        <v>2019</v>
      </c>
      <c r="C212">
        <v>12</v>
      </c>
      <c r="D212">
        <v>1</v>
      </c>
      <c r="E212" s="2">
        <f t="shared" si="3"/>
        <v>43800</v>
      </c>
    </row>
    <row r="213" spans="1:5" x14ac:dyDescent="0.3">
      <c r="A213" s="9" t="s">
        <v>71</v>
      </c>
      <c r="B213">
        <v>3</v>
      </c>
      <c r="C213">
        <v>25</v>
      </c>
      <c r="D213">
        <v>2019</v>
      </c>
      <c r="E213" s="2">
        <f t="shared" si="3"/>
        <v>43549</v>
      </c>
    </row>
    <row r="214" spans="1:5" x14ac:dyDescent="0.3">
      <c r="A214" s="8" t="s">
        <v>71</v>
      </c>
      <c r="B214">
        <v>3</v>
      </c>
      <c r="C214">
        <v>25</v>
      </c>
      <c r="D214">
        <v>2019</v>
      </c>
      <c r="E214" s="2">
        <f t="shared" si="3"/>
        <v>43549</v>
      </c>
    </row>
    <row r="215" spans="1:5" x14ac:dyDescent="0.3">
      <c r="A215" s="9" t="s">
        <v>75</v>
      </c>
      <c r="B215">
        <v>2019</v>
      </c>
      <c r="C215">
        <v>12</v>
      </c>
      <c r="D215">
        <v>1</v>
      </c>
      <c r="E215" s="2">
        <f t="shared" si="3"/>
        <v>43800</v>
      </c>
    </row>
    <row r="216" spans="1:5" x14ac:dyDescent="0.3">
      <c r="A216" s="8" t="s">
        <v>75</v>
      </c>
      <c r="B216">
        <v>2019</v>
      </c>
      <c r="C216">
        <v>12</v>
      </c>
      <c r="D216">
        <v>1</v>
      </c>
      <c r="E216" s="2">
        <f t="shared" si="3"/>
        <v>43800</v>
      </c>
    </row>
    <row r="217" spans="1:5" x14ac:dyDescent="0.3">
      <c r="A217" s="9" t="s">
        <v>70</v>
      </c>
      <c r="B217">
        <v>20</v>
      </c>
      <c r="C217">
        <v>2</v>
      </c>
      <c r="D217">
        <v>2020</v>
      </c>
      <c r="E217" s="2">
        <f t="shared" si="3"/>
        <v>43881</v>
      </c>
    </row>
    <row r="218" spans="1:5" x14ac:dyDescent="0.3">
      <c r="A218" s="8" t="s">
        <v>75</v>
      </c>
      <c r="B218">
        <v>2019</v>
      </c>
      <c r="C218">
        <v>12</v>
      </c>
      <c r="D218">
        <v>1</v>
      </c>
      <c r="E218" s="2">
        <f t="shared" si="3"/>
        <v>43800</v>
      </c>
    </row>
    <row r="219" spans="1:5" x14ac:dyDescent="0.3">
      <c r="A219" s="9" t="s">
        <v>69</v>
      </c>
      <c r="B219" t="s">
        <v>74</v>
      </c>
      <c r="C219">
        <v>5</v>
      </c>
      <c r="D219">
        <v>2018</v>
      </c>
      <c r="E219" s="2">
        <f t="shared" si="3"/>
        <v>43195</v>
      </c>
    </row>
    <row r="220" spans="1:5" x14ac:dyDescent="0.3">
      <c r="A220" s="8" t="s">
        <v>75</v>
      </c>
      <c r="B220">
        <v>2019</v>
      </c>
      <c r="C220">
        <v>12</v>
      </c>
      <c r="D220">
        <v>1</v>
      </c>
      <c r="E220" s="2">
        <f t="shared" si="3"/>
        <v>43800</v>
      </c>
    </row>
    <row r="221" spans="1:5" x14ac:dyDescent="0.3">
      <c r="A221" s="9" t="s">
        <v>69</v>
      </c>
      <c r="B221" t="s">
        <v>74</v>
      </c>
      <c r="C221">
        <v>5</v>
      </c>
      <c r="D221">
        <v>2018</v>
      </c>
      <c r="E221" s="2">
        <f t="shared" si="3"/>
        <v>43195</v>
      </c>
    </row>
    <row r="222" spans="1:5" x14ac:dyDescent="0.3">
      <c r="A222" s="8" t="s">
        <v>75</v>
      </c>
      <c r="B222">
        <v>2019</v>
      </c>
      <c r="C222">
        <v>12</v>
      </c>
      <c r="D222">
        <v>1</v>
      </c>
      <c r="E222" s="2">
        <f t="shared" si="3"/>
        <v>43800</v>
      </c>
    </row>
    <row r="223" spans="1:5" x14ac:dyDescent="0.3">
      <c r="A223" s="9" t="s">
        <v>70</v>
      </c>
      <c r="B223">
        <v>20</v>
      </c>
      <c r="C223">
        <v>2</v>
      </c>
      <c r="D223">
        <v>2020</v>
      </c>
      <c r="E223" s="2">
        <f t="shared" si="3"/>
        <v>43881</v>
      </c>
    </row>
    <row r="224" spans="1:5" x14ac:dyDescent="0.3">
      <c r="A224" s="8" t="s">
        <v>69</v>
      </c>
      <c r="B224" t="s">
        <v>74</v>
      </c>
      <c r="C224">
        <v>5</v>
      </c>
      <c r="D224">
        <v>2018</v>
      </c>
      <c r="E224" s="2">
        <f t="shared" si="3"/>
        <v>43195</v>
      </c>
    </row>
    <row r="225" spans="1:5" x14ac:dyDescent="0.3">
      <c r="A225" s="9" t="s">
        <v>55</v>
      </c>
      <c r="B225">
        <v>1</v>
      </c>
      <c r="C225">
        <v>15</v>
      </c>
      <c r="D225">
        <v>2020</v>
      </c>
      <c r="E225" s="2">
        <f t="shared" si="3"/>
        <v>43845</v>
      </c>
    </row>
    <row r="226" spans="1:5" x14ac:dyDescent="0.3">
      <c r="A226" s="8" t="s">
        <v>69</v>
      </c>
      <c r="B226" t="s">
        <v>74</v>
      </c>
      <c r="C226">
        <v>5</v>
      </c>
      <c r="D226">
        <v>2018</v>
      </c>
      <c r="E226" s="2">
        <f t="shared" si="3"/>
        <v>43195</v>
      </c>
    </row>
    <row r="227" spans="1:5" x14ac:dyDescent="0.3">
      <c r="A227" s="9" t="s">
        <v>70</v>
      </c>
      <c r="B227">
        <v>20</v>
      </c>
      <c r="C227">
        <v>2</v>
      </c>
      <c r="D227">
        <v>2020</v>
      </c>
      <c r="E227" s="2">
        <f t="shared" si="3"/>
        <v>43881</v>
      </c>
    </row>
    <row r="228" spans="1:5" x14ac:dyDescent="0.3">
      <c r="A228" s="8" t="s">
        <v>69</v>
      </c>
      <c r="B228" t="s">
        <v>74</v>
      </c>
      <c r="C228">
        <v>5</v>
      </c>
      <c r="D228">
        <v>2018</v>
      </c>
      <c r="E228" s="2">
        <f t="shared" si="3"/>
        <v>43195</v>
      </c>
    </row>
    <row r="229" spans="1:5" x14ac:dyDescent="0.3">
      <c r="A229" s="9" t="s">
        <v>75</v>
      </c>
      <c r="B229">
        <v>2019</v>
      </c>
      <c r="C229">
        <v>12</v>
      </c>
      <c r="D229">
        <v>1</v>
      </c>
      <c r="E229" s="2">
        <f t="shared" si="3"/>
        <v>43800</v>
      </c>
    </row>
    <row r="230" spans="1:5" x14ac:dyDescent="0.3">
      <c r="A230" s="8" t="s">
        <v>75</v>
      </c>
      <c r="B230">
        <v>2019</v>
      </c>
      <c r="C230">
        <v>12</v>
      </c>
      <c r="D230">
        <v>1</v>
      </c>
      <c r="E230" s="2">
        <f t="shared" si="3"/>
        <v>43800</v>
      </c>
    </row>
    <row r="231" spans="1:5" x14ac:dyDescent="0.3">
      <c r="A231" s="9" t="s">
        <v>70</v>
      </c>
      <c r="B231">
        <v>20</v>
      </c>
      <c r="C231">
        <v>2</v>
      </c>
      <c r="D231">
        <v>2020</v>
      </c>
      <c r="E231" s="2">
        <f t="shared" si="3"/>
        <v>43881</v>
      </c>
    </row>
    <row r="232" spans="1:5" x14ac:dyDescent="0.3">
      <c r="A232" s="8" t="s">
        <v>71</v>
      </c>
      <c r="B232">
        <v>3</v>
      </c>
      <c r="C232">
        <v>25</v>
      </c>
      <c r="D232">
        <v>2019</v>
      </c>
      <c r="E232" s="2">
        <f t="shared" si="3"/>
        <v>43549</v>
      </c>
    </row>
    <row r="233" spans="1:5" x14ac:dyDescent="0.3">
      <c r="A233" s="9" t="s">
        <v>75</v>
      </c>
      <c r="B233">
        <v>2019</v>
      </c>
      <c r="C233">
        <v>12</v>
      </c>
      <c r="D233">
        <v>1</v>
      </c>
      <c r="E233" s="2">
        <f t="shared" si="3"/>
        <v>43800</v>
      </c>
    </row>
    <row r="234" spans="1:5" x14ac:dyDescent="0.3">
      <c r="A234" s="8" t="s">
        <v>55</v>
      </c>
      <c r="B234">
        <v>1</v>
      </c>
      <c r="C234">
        <v>15</v>
      </c>
      <c r="D234">
        <v>2020</v>
      </c>
      <c r="E234" s="2">
        <f t="shared" si="3"/>
        <v>43845</v>
      </c>
    </row>
    <row r="235" spans="1:5" x14ac:dyDescent="0.3">
      <c r="A235" s="9" t="s">
        <v>70</v>
      </c>
      <c r="B235">
        <v>20</v>
      </c>
      <c r="C235">
        <v>2</v>
      </c>
      <c r="D235">
        <v>2020</v>
      </c>
      <c r="E235" s="2">
        <f t="shared" si="3"/>
        <v>43881</v>
      </c>
    </row>
    <row r="236" spans="1:5" x14ac:dyDescent="0.3">
      <c r="A236" s="8" t="s">
        <v>69</v>
      </c>
      <c r="B236" t="s">
        <v>74</v>
      </c>
      <c r="C236">
        <v>5</v>
      </c>
      <c r="D236">
        <v>2018</v>
      </c>
      <c r="E236" s="2">
        <f t="shared" si="3"/>
        <v>43195</v>
      </c>
    </row>
    <row r="237" spans="1:5" x14ac:dyDescent="0.3">
      <c r="A237" s="9" t="s">
        <v>69</v>
      </c>
      <c r="B237" t="s">
        <v>74</v>
      </c>
      <c r="C237">
        <v>5</v>
      </c>
      <c r="D237">
        <v>2018</v>
      </c>
      <c r="E237" s="2">
        <f t="shared" si="3"/>
        <v>43195</v>
      </c>
    </row>
    <row r="238" spans="1:5" x14ac:dyDescent="0.3">
      <c r="A238" s="8" t="s">
        <v>55</v>
      </c>
      <c r="B238">
        <v>1</v>
      </c>
      <c r="C238">
        <v>15</v>
      </c>
      <c r="D238">
        <v>2020</v>
      </c>
      <c r="E238" s="2">
        <f t="shared" si="3"/>
        <v>43845</v>
      </c>
    </row>
    <row r="239" spans="1:5" x14ac:dyDescent="0.3">
      <c r="A239" s="9" t="s">
        <v>75</v>
      </c>
      <c r="B239">
        <v>2019</v>
      </c>
      <c r="C239">
        <v>12</v>
      </c>
      <c r="D239">
        <v>1</v>
      </c>
      <c r="E239" s="2">
        <f t="shared" si="3"/>
        <v>43800</v>
      </c>
    </row>
    <row r="240" spans="1:5" x14ac:dyDescent="0.3">
      <c r="A240" s="8" t="s">
        <v>70</v>
      </c>
      <c r="B240">
        <v>20</v>
      </c>
      <c r="C240">
        <v>2</v>
      </c>
      <c r="D240">
        <v>2020</v>
      </c>
      <c r="E240" s="2">
        <f t="shared" si="3"/>
        <v>43881</v>
      </c>
    </row>
    <row r="241" spans="1:5" x14ac:dyDescent="0.3">
      <c r="A241" s="9" t="s">
        <v>55</v>
      </c>
      <c r="B241">
        <v>1</v>
      </c>
      <c r="C241">
        <v>15</v>
      </c>
      <c r="D241">
        <v>2020</v>
      </c>
      <c r="E241" s="2">
        <f t="shared" si="3"/>
        <v>43845</v>
      </c>
    </row>
    <row r="242" spans="1:5" x14ac:dyDescent="0.3">
      <c r="A242" s="8" t="s">
        <v>75</v>
      </c>
      <c r="B242">
        <v>2019</v>
      </c>
      <c r="C242">
        <v>12</v>
      </c>
      <c r="D242">
        <v>1</v>
      </c>
      <c r="E242" s="2">
        <f t="shared" si="3"/>
        <v>43800</v>
      </c>
    </row>
    <row r="243" spans="1:5" x14ac:dyDescent="0.3">
      <c r="A243" s="9" t="s">
        <v>70</v>
      </c>
      <c r="B243">
        <v>20</v>
      </c>
      <c r="C243">
        <v>2</v>
      </c>
      <c r="D243">
        <v>2020</v>
      </c>
      <c r="E243" s="2">
        <f t="shared" si="3"/>
        <v>43881</v>
      </c>
    </row>
    <row r="244" spans="1:5" x14ac:dyDescent="0.3">
      <c r="A244" s="8" t="s">
        <v>69</v>
      </c>
      <c r="B244" t="s">
        <v>74</v>
      </c>
      <c r="C244">
        <v>5</v>
      </c>
      <c r="D244">
        <v>2018</v>
      </c>
      <c r="E244" s="2">
        <f t="shared" si="3"/>
        <v>43195</v>
      </c>
    </row>
    <row r="245" spans="1:5" x14ac:dyDescent="0.3">
      <c r="A245" s="9" t="s">
        <v>70</v>
      </c>
      <c r="B245">
        <v>20</v>
      </c>
      <c r="C245">
        <v>2</v>
      </c>
      <c r="D245">
        <v>2020</v>
      </c>
      <c r="E245" s="2">
        <f t="shared" si="3"/>
        <v>43881</v>
      </c>
    </row>
    <row r="246" spans="1:5" x14ac:dyDescent="0.3">
      <c r="A246" s="8" t="s">
        <v>71</v>
      </c>
      <c r="B246">
        <v>3</v>
      </c>
      <c r="C246">
        <v>25</v>
      </c>
      <c r="D246">
        <v>2019</v>
      </c>
      <c r="E246" s="2">
        <f t="shared" si="3"/>
        <v>43549</v>
      </c>
    </row>
    <row r="247" spans="1:5" x14ac:dyDescent="0.3">
      <c r="A247" s="9" t="s">
        <v>70</v>
      </c>
      <c r="B247">
        <v>20</v>
      </c>
      <c r="C247">
        <v>2</v>
      </c>
      <c r="D247">
        <v>2020</v>
      </c>
      <c r="E247" s="2">
        <f t="shared" si="3"/>
        <v>43881</v>
      </c>
    </row>
    <row r="248" spans="1:5" x14ac:dyDescent="0.3">
      <c r="A248" s="8" t="s">
        <v>71</v>
      </c>
      <c r="B248">
        <v>3</v>
      </c>
      <c r="C248">
        <v>25</v>
      </c>
      <c r="D248">
        <v>2019</v>
      </c>
      <c r="E248" s="2">
        <f t="shared" si="3"/>
        <v>43549</v>
      </c>
    </row>
    <row r="249" spans="1:5" x14ac:dyDescent="0.3">
      <c r="A249" s="9" t="s">
        <v>70</v>
      </c>
      <c r="B249">
        <v>20</v>
      </c>
      <c r="C249">
        <v>2</v>
      </c>
      <c r="D249">
        <v>2020</v>
      </c>
      <c r="E249" s="2">
        <f t="shared" si="3"/>
        <v>43881</v>
      </c>
    </row>
    <row r="250" spans="1:5" x14ac:dyDescent="0.3">
      <c r="A250" s="8" t="s">
        <v>71</v>
      </c>
      <c r="B250">
        <v>3</v>
      </c>
      <c r="C250">
        <v>25</v>
      </c>
      <c r="D250">
        <v>2019</v>
      </c>
      <c r="E250" s="2">
        <f t="shared" si="3"/>
        <v>43549</v>
      </c>
    </row>
    <row r="251" spans="1:5" x14ac:dyDescent="0.3">
      <c r="A251" s="9" t="s">
        <v>69</v>
      </c>
      <c r="B251" t="s">
        <v>74</v>
      </c>
      <c r="C251">
        <v>5</v>
      </c>
      <c r="D251">
        <v>2018</v>
      </c>
      <c r="E251" s="2">
        <f t="shared" si="3"/>
        <v>43195</v>
      </c>
    </row>
    <row r="252" spans="1:5" x14ac:dyDescent="0.3">
      <c r="A252" s="8" t="s">
        <v>75</v>
      </c>
      <c r="B252">
        <v>2019</v>
      </c>
      <c r="C252">
        <v>12</v>
      </c>
      <c r="D252">
        <v>1</v>
      </c>
      <c r="E252" s="2">
        <f t="shared" si="3"/>
        <v>43800</v>
      </c>
    </row>
    <row r="253" spans="1:5" x14ac:dyDescent="0.3">
      <c r="A253" s="9" t="s">
        <v>71</v>
      </c>
      <c r="B253">
        <v>3</v>
      </c>
      <c r="C253">
        <v>25</v>
      </c>
      <c r="D253">
        <v>2019</v>
      </c>
      <c r="E253" s="2">
        <f t="shared" si="3"/>
        <v>43549</v>
      </c>
    </row>
    <row r="254" spans="1:5" x14ac:dyDescent="0.3">
      <c r="A254" s="8" t="s">
        <v>71</v>
      </c>
      <c r="B254">
        <v>3</v>
      </c>
      <c r="C254">
        <v>25</v>
      </c>
      <c r="D254">
        <v>2019</v>
      </c>
      <c r="E254" s="2">
        <f t="shared" si="3"/>
        <v>43549</v>
      </c>
    </row>
    <row r="255" spans="1:5" x14ac:dyDescent="0.3">
      <c r="A255" s="9" t="s">
        <v>69</v>
      </c>
      <c r="B255" t="s">
        <v>74</v>
      </c>
      <c r="C255">
        <v>5</v>
      </c>
      <c r="D255">
        <v>2018</v>
      </c>
      <c r="E255" s="2">
        <f t="shared" si="3"/>
        <v>43195</v>
      </c>
    </row>
    <row r="256" spans="1:5" x14ac:dyDescent="0.3">
      <c r="A256" s="8" t="s">
        <v>71</v>
      </c>
      <c r="B256">
        <v>3</v>
      </c>
      <c r="C256">
        <v>25</v>
      </c>
      <c r="D256">
        <v>2019</v>
      </c>
      <c r="E256" s="2">
        <f t="shared" si="3"/>
        <v>43549</v>
      </c>
    </row>
    <row r="257" spans="1:5" x14ac:dyDescent="0.3">
      <c r="A257" s="9" t="s">
        <v>55</v>
      </c>
      <c r="B257">
        <v>1</v>
      </c>
      <c r="C257">
        <v>15</v>
      </c>
      <c r="D257">
        <v>2020</v>
      </c>
      <c r="E257" s="2">
        <f t="shared" si="3"/>
        <v>43845</v>
      </c>
    </row>
    <row r="258" spans="1:5" x14ac:dyDescent="0.3">
      <c r="A258" s="8" t="s">
        <v>69</v>
      </c>
      <c r="B258" t="s">
        <v>74</v>
      </c>
      <c r="C258">
        <v>5</v>
      </c>
      <c r="D258">
        <v>2018</v>
      </c>
      <c r="E258" s="2">
        <f t="shared" si="3"/>
        <v>43195</v>
      </c>
    </row>
    <row r="259" spans="1:5" x14ac:dyDescent="0.3">
      <c r="A259" s="9" t="s">
        <v>55</v>
      </c>
      <c r="B259">
        <v>1</v>
      </c>
      <c r="C259">
        <v>15</v>
      </c>
      <c r="D259">
        <v>2020</v>
      </c>
      <c r="E259" s="2">
        <f t="shared" ref="E259:E322" si="4">DATE(
 IF(ISNUMBER(--B259),
     IF(LEN(B259)=4, B259, D259),
     D259
 ),
 IF(ISNUMBER(--B259),
     IF(LEN(B259)=4, C259, IF(B259&gt;12, C259, B259)),
     MONTH(DATEVALUE(B259 &amp; " 1"))
 ),
 IF(ISNUMBER(--B259),
     IF(LEN(B259)=4, D259, IF(B259&gt;12, B259, C259)),
     C259
 )
)</f>
        <v>43845</v>
      </c>
    </row>
    <row r="260" spans="1:5" x14ac:dyDescent="0.3">
      <c r="A260" s="8" t="s">
        <v>69</v>
      </c>
      <c r="B260" t="s">
        <v>74</v>
      </c>
      <c r="C260">
        <v>5</v>
      </c>
      <c r="D260">
        <v>2018</v>
      </c>
      <c r="E260" s="2">
        <f t="shared" si="4"/>
        <v>43195</v>
      </c>
    </row>
    <row r="261" spans="1:5" x14ac:dyDescent="0.3">
      <c r="A261" s="9" t="s">
        <v>71</v>
      </c>
      <c r="B261">
        <v>3</v>
      </c>
      <c r="C261">
        <v>25</v>
      </c>
      <c r="D261">
        <v>2019</v>
      </c>
      <c r="E261" s="2">
        <f t="shared" si="4"/>
        <v>43549</v>
      </c>
    </row>
    <row r="262" spans="1:5" x14ac:dyDescent="0.3">
      <c r="A262" s="8" t="s">
        <v>55</v>
      </c>
      <c r="B262">
        <v>1</v>
      </c>
      <c r="C262">
        <v>15</v>
      </c>
      <c r="D262">
        <v>2020</v>
      </c>
      <c r="E262" s="2">
        <f t="shared" si="4"/>
        <v>43845</v>
      </c>
    </row>
    <row r="263" spans="1:5" x14ac:dyDescent="0.3">
      <c r="A263" s="9" t="s">
        <v>71</v>
      </c>
      <c r="B263">
        <v>3</v>
      </c>
      <c r="C263">
        <v>25</v>
      </c>
      <c r="D263">
        <v>2019</v>
      </c>
      <c r="E263" s="2">
        <f t="shared" si="4"/>
        <v>43549</v>
      </c>
    </row>
    <row r="264" spans="1:5" x14ac:dyDescent="0.3">
      <c r="A264" s="8" t="s">
        <v>69</v>
      </c>
      <c r="B264" t="s">
        <v>74</v>
      </c>
      <c r="C264">
        <v>5</v>
      </c>
      <c r="D264">
        <v>2018</v>
      </c>
      <c r="E264" s="2">
        <f t="shared" si="4"/>
        <v>43195</v>
      </c>
    </row>
    <row r="265" spans="1:5" x14ac:dyDescent="0.3">
      <c r="A265" s="9" t="s">
        <v>71</v>
      </c>
      <c r="B265">
        <v>3</v>
      </c>
      <c r="C265">
        <v>25</v>
      </c>
      <c r="D265">
        <v>2019</v>
      </c>
      <c r="E265" s="2">
        <f t="shared" si="4"/>
        <v>43549</v>
      </c>
    </row>
    <row r="266" spans="1:5" x14ac:dyDescent="0.3">
      <c r="A266" s="8" t="s">
        <v>55</v>
      </c>
      <c r="B266">
        <v>1</v>
      </c>
      <c r="C266">
        <v>15</v>
      </c>
      <c r="D266">
        <v>2020</v>
      </c>
      <c r="E266" s="2">
        <f t="shared" si="4"/>
        <v>43845</v>
      </c>
    </row>
    <row r="267" spans="1:5" x14ac:dyDescent="0.3">
      <c r="A267" s="9" t="s">
        <v>55</v>
      </c>
      <c r="B267">
        <v>1</v>
      </c>
      <c r="C267">
        <v>15</v>
      </c>
      <c r="D267">
        <v>2020</v>
      </c>
      <c r="E267" s="2">
        <f t="shared" si="4"/>
        <v>43845</v>
      </c>
    </row>
    <row r="268" spans="1:5" x14ac:dyDescent="0.3">
      <c r="A268" s="8" t="s">
        <v>71</v>
      </c>
      <c r="B268">
        <v>3</v>
      </c>
      <c r="C268">
        <v>25</v>
      </c>
      <c r="D268">
        <v>2019</v>
      </c>
      <c r="E268" s="2">
        <f t="shared" si="4"/>
        <v>43549</v>
      </c>
    </row>
    <row r="269" spans="1:5" x14ac:dyDescent="0.3">
      <c r="A269" s="9" t="s">
        <v>70</v>
      </c>
      <c r="B269">
        <v>20</v>
      </c>
      <c r="C269">
        <v>2</v>
      </c>
      <c r="D269">
        <v>2020</v>
      </c>
      <c r="E269" s="2">
        <f t="shared" si="4"/>
        <v>43881</v>
      </c>
    </row>
    <row r="270" spans="1:5" x14ac:dyDescent="0.3">
      <c r="A270" s="8" t="s">
        <v>69</v>
      </c>
      <c r="B270" t="s">
        <v>74</v>
      </c>
      <c r="C270">
        <v>5</v>
      </c>
      <c r="D270">
        <v>2018</v>
      </c>
      <c r="E270" s="2">
        <f t="shared" si="4"/>
        <v>43195</v>
      </c>
    </row>
    <row r="271" spans="1:5" x14ac:dyDescent="0.3">
      <c r="A271" s="9" t="s">
        <v>69</v>
      </c>
      <c r="B271" t="s">
        <v>74</v>
      </c>
      <c r="C271">
        <v>5</v>
      </c>
      <c r="D271">
        <v>2018</v>
      </c>
      <c r="E271" s="2">
        <f t="shared" si="4"/>
        <v>43195</v>
      </c>
    </row>
    <row r="272" spans="1:5" x14ac:dyDescent="0.3">
      <c r="A272" s="8" t="s">
        <v>71</v>
      </c>
      <c r="B272">
        <v>3</v>
      </c>
      <c r="C272">
        <v>25</v>
      </c>
      <c r="D272">
        <v>2019</v>
      </c>
      <c r="E272" s="2">
        <f t="shared" si="4"/>
        <v>43549</v>
      </c>
    </row>
    <row r="273" spans="1:5" x14ac:dyDescent="0.3">
      <c r="A273" s="9" t="s">
        <v>70</v>
      </c>
      <c r="B273">
        <v>20</v>
      </c>
      <c r="C273">
        <v>2</v>
      </c>
      <c r="D273">
        <v>2020</v>
      </c>
      <c r="E273" s="2">
        <f t="shared" si="4"/>
        <v>43881</v>
      </c>
    </row>
    <row r="274" spans="1:5" x14ac:dyDescent="0.3">
      <c r="A274" s="8" t="s">
        <v>55</v>
      </c>
      <c r="B274">
        <v>1</v>
      </c>
      <c r="C274">
        <v>15</v>
      </c>
      <c r="D274">
        <v>2020</v>
      </c>
      <c r="E274" s="2">
        <f t="shared" si="4"/>
        <v>43845</v>
      </c>
    </row>
    <row r="275" spans="1:5" x14ac:dyDescent="0.3">
      <c r="A275" s="9" t="s">
        <v>75</v>
      </c>
      <c r="B275">
        <v>2019</v>
      </c>
      <c r="C275">
        <v>12</v>
      </c>
      <c r="D275">
        <v>1</v>
      </c>
      <c r="E275" s="2">
        <f t="shared" si="4"/>
        <v>43800</v>
      </c>
    </row>
    <row r="276" spans="1:5" x14ac:dyDescent="0.3">
      <c r="A276" s="8" t="s">
        <v>75</v>
      </c>
      <c r="B276">
        <v>2019</v>
      </c>
      <c r="C276">
        <v>12</v>
      </c>
      <c r="D276">
        <v>1</v>
      </c>
      <c r="E276" s="2">
        <f t="shared" si="4"/>
        <v>43800</v>
      </c>
    </row>
    <row r="277" spans="1:5" x14ac:dyDescent="0.3">
      <c r="A277" s="9" t="s">
        <v>71</v>
      </c>
      <c r="B277">
        <v>3</v>
      </c>
      <c r="C277">
        <v>25</v>
      </c>
      <c r="D277">
        <v>2019</v>
      </c>
      <c r="E277" s="2">
        <f t="shared" si="4"/>
        <v>43549</v>
      </c>
    </row>
    <row r="278" spans="1:5" x14ac:dyDescent="0.3">
      <c r="A278" s="8" t="s">
        <v>70</v>
      </c>
      <c r="B278">
        <v>20</v>
      </c>
      <c r="C278">
        <v>2</v>
      </c>
      <c r="D278">
        <v>2020</v>
      </c>
      <c r="E278" s="2">
        <f t="shared" si="4"/>
        <v>43881</v>
      </c>
    </row>
    <row r="279" spans="1:5" x14ac:dyDescent="0.3">
      <c r="A279" s="9" t="s">
        <v>70</v>
      </c>
      <c r="B279">
        <v>20</v>
      </c>
      <c r="C279">
        <v>2</v>
      </c>
      <c r="D279">
        <v>2020</v>
      </c>
      <c r="E279" s="2">
        <f t="shared" si="4"/>
        <v>43881</v>
      </c>
    </row>
    <row r="280" spans="1:5" x14ac:dyDescent="0.3">
      <c r="A280" s="8" t="s">
        <v>69</v>
      </c>
      <c r="B280" t="s">
        <v>74</v>
      </c>
      <c r="C280">
        <v>5</v>
      </c>
      <c r="D280">
        <v>2018</v>
      </c>
      <c r="E280" s="2">
        <f t="shared" si="4"/>
        <v>43195</v>
      </c>
    </row>
    <row r="281" spans="1:5" x14ac:dyDescent="0.3">
      <c r="A281" s="9" t="s">
        <v>55</v>
      </c>
      <c r="B281">
        <v>1</v>
      </c>
      <c r="C281">
        <v>15</v>
      </c>
      <c r="D281">
        <v>2020</v>
      </c>
      <c r="E281" s="2">
        <f t="shared" si="4"/>
        <v>43845</v>
      </c>
    </row>
    <row r="282" spans="1:5" x14ac:dyDescent="0.3">
      <c r="A282" s="8" t="s">
        <v>70</v>
      </c>
      <c r="B282">
        <v>20</v>
      </c>
      <c r="C282">
        <v>2</v>
      </c>
      <c r="D282">
        <v>2020</v>
      </c>
      <c r="E282" s="2">
        <f t="shared" si="4"/>
        <v>43881</v>
      </c>
    </row>
    <row r="283" spans="1:5" x14ac:dyDescent="0.3">
      <c r="A283" s="9" t="s">
        <v>75</v>
      </c>
      <c r="B283">
        <v>2019</v>
      </c>
      <c r="C283">
        <v>12</v>
      </c>
      <c r="D283">
        <v>1</v>
      </c>
      <c r="E283" s="2">
        <f t="shared" si="4"/>
        <v>43800</v>
      </c>
    </row>
    <row r="284" spans="1:5" x14ac:dyDescent="0.3">
      <c r="A284" s="8" t="s">
        <v>55</v>
      </c>
      <c r="B284">
        <v>1</v>
      </c>
      <c r="C284">
        <v>15</v>
      </c>
      <c r="D284">
        <v>2020</v>
      </c>
      <c r="E284" s="2">
        <f t="shared" si="4"/>
        <v>43845</v>
      </c>
    </row>
    <row r="285" spans="1:5" x14ac:dyDescent="0.3">
      <c r="A285" s="9" t="s">
        <v>55</v>
      </c>
      <c r="B285">
        <v>1</v>
      </c>
      <c r="C285">
        <v>15</v>
      </c>
      <c r="D285">
        <v>2020</v>
      </c>
      <c r="E285" s="2">
        <f t="shared" si="4"/>
        <v>43845</v>
      </c>
    </row>
    <row r="286" spans="1:5" x14ac:dyDescent="0.3">
      <c r="A286" s="8" t="s">
        <v>71</v>
      </c>
      <c r="B286">
        <v>3</v>
      </c>
      <c r="C286">
        <v>25</v>
      </c>
      <c r="D286">
        <v>2019</v>
      </c>
      <c r="E286" s="2">
        <f t="shared" si="4"/>
        <v>43549</v>
      </c>
    </row>
    <row r="287" spans="1:5" x14ac:dyDescent="0.3">
      <c r="A287" s="9" t="s">
        <v>70</v>
      </c>
      <c r="B287">
        <v>20</v>
      </c>
      <c r="C287">
        <v>2</v>
      </c>
      <c r="D287">
        <v>2020</v>
      </c>
      <c r="E287" s="2">
        <f t="shared" si="4"/>
        <v>43881</v>
      </c>
    </row>
    <row r="288" spans="1:5" x14ac:dyDescent="0.3">
      <c r="A288" s="8" t="s">
        <v>71</v>
      </c>
      <c r="B288">
        <v>3</v>
      </c>
      <c r="C288">
        <v>25</v>
      </c>
      <c r="D288">
        <v>2019</v>
      </c>
      <c r="E288" s="2">
        <f t="shared" si="4"/>
        <v>43549</v>
      </c>
    </row>
    <row r="289" spans="1:5" x14ac:dyDescent="0.3">
      <c r="A289" s="9" t="s">
        <v>70</v>
      </c>
      <c r="B289">
        <v>20</v>
      </c>
      <c r="C289">
        <v>2</v>
      </c>
      <c r="D289">
        <v>2020</v>
      </c>
      <c r="E289" s="2">
        <f t="shared" si="4"/>
        <v>43881</v>
      </c>
    </row>
    <row r="290" spans="1:5" x14ac:dyDescent="0.3">
      <c r="A290" s="8" t="s">
        <v>69</v>
      </c>
      <c r="B290" t="s">
        <v>74</v>
      </c>
      <c r="C290">
        <v>5</v>
      </c>
      <c r="D290">
        <v>2018</v>
      </c>
      <c r="E290" s="2">
        <f t="shared" si="4"/>
        <v>43195</v>
      </c>
    </row>
    <row r="291" spans="1:5" x14ac:dyDescent="0.3">
      <c r="A291" s="9" t="s">
        <v>71</v>
      </c>
      <c r="B291">
        <v>3</v>
      </c>
      <c r="C291">
        <v>25</v>
      </c>
      <c r="D291">
        <v>2019</v>
      </c>
      <c r="E291" s="2">
        <f t="shared" si="4"/>
        <v>43549</v>
      </c>
    </row>
    <row r="292" spans="1:5" x14ac:dyDescent="0.3">
      <c r="A292" s="8" t="s">
        <v>71</v>
      </c>
      <c r="B292">
        <v>3</v>
      </c>
      <c r="C292">
        <v>25</v>
      </c>
      <c r="D292">
        <v>2019</v>
      </c>
      <c r="E292" s="2">
        <f t="shared" si="4"/>
        <v>43549</v>
      </c>
    </row>
    <row r="293" spans="1:5" x14ac:dyDescent="0.3">
      <c r="A293" s="9" t="s">
        <v>75</v>
      </c>
      <c r="B293">
        <v>2019</v>
      </c>
      <c r="C293">
        <v>12</v>
      </c>
      <c r="D293">
        <v>1</v>
      </c>
      <c r="E293" s="2">
        <f t="shared" si="4"/>
        <v>43800</v>
      </c>
    </row>
    <row r="294" spans="1:5" x14ac:dyDescent="0.3">
      <c r="A294" s="8" t="s">
        <v>71</v>
      </c>
      <c r="B294">
        <v>3</v>
      </c>
      <c r="C294">
        <v>25</v>
      </c>
      <c r="D294">
        <v>2019</v>
      </c>
      <c r="E294" s="2">
        <f t="shared" si="4"/>
        <v>43549</v>
      </c>
    </row>
    <row r="295" spans="1:5" x14ac:dyDescent="0.3">
      <c r="A295" s="9" t="s">
        <v>70</v>
      </c>
      <c r="B295">
        <v>20</v>
      </c>
      <c r="C295">
        <v>2</v>
      </c>
      <c r="D295">
        <v>2020</v>
      </c>
      <c r="E295" s="2">
        <f t="shared" si="4"/>
        <v>43881</v>
      </c>
    </row>
    <row r="296" spans="1:5" x14ac:dyDescent="0.3">
      <c r="A296" s="8" t="s">
        <v>75</v>
      </c>
      <c r="B296">
        <v>2019</v>
      </c>
      <c r="C296">
        <v>12</v>
      </c>
      <c r="D296">
        <v>1</v>
      </c>
      <c r="E296" s="2">
        <f t="shared" si="4"/>
        <v>43800</v>
      </c>
    </row>
    <row r="297" spans="1:5" x14ac:dyDescent="0.3">
      <c r="A297" s="9" t="s">
        <v>71</v>
      </c>
      <c r="B297">
        <v>3</v>
      </c>
      <c r="C297">
        <v>25</v>
      </c>
      <c r="D297">
        <v>2019</v>
      </c>
      <c r="E297" s="2">
        <f t="shared" si="4"/>
        <v>43549</v>
      </c>
    </row>
    <row r="298" spans="1:5" x14ac:dyDescent="0.3">
      <c r="A298" s="8" t="s">
        <v>71</v>
      </c>
      <c r="B298">
        <v>3</v>
      </c>
      <c r="C298">
        <v>25</v>
      </c>
      <c r="D298">
        <v>2019</v>
      </c>
      <c r="E298" s="2">
        <f t="shared" si="4"/>
        <v>43549</v>
      </c>
    </row>
    <row r="299" spans="1:5" x14ac:dyDescent="0.3">
      <c r="A299" s="9" t="s">
        <v>69</v>
      </c>
      <c r="B299" t="s">
        <v>74</v>
      </c>
      <c r="C299">
        <v>5</v>
      </c>
      <c r="D299">
        <v>2018</v>
      </c>
      <c r="E299" s="2">
        <f t="shared" si="4"/>
        <v>43195</v>
      </c>
    </row>
    <row r="300" spans="1:5" x14ac:dyDescent="0.3">
      <c r="A300" s="8" t="s">
        <v>71</v>
      </c>
      <c r="B300">
        <v>3</v>
      </c>
      <c r="C300">
        <v>25</v>
      </c>
      <c r="D300">
        <v>2019</v>
      </c>
      <c r="E300" s="2">
        <f t="shared" si="4"/>
        <v>43549</v>
      </c>
    </row>
    <row r="301" spans="1:5" x14ac:dyDescent="0.3">
      <c r="A301" s="9" t="s">
        <v>55</v>
      </c>
      <c r="B301">
        <v>1</v>
      </c>
      <c r="C301">
        <v>15</v>
      </c>
      <c r="D301">
        <v>2020</v>
      </c>
      <c r="E301" s="2">
        <f t="shared" si="4"/>
        <v>43845</v>
      </c>
    </row>
    <row r="302" spans="1:5" x14ac:dyDescent="0.3">
      <c r="A302" s="8" t="s">
        <v>75</v>
      </c>
      <c r="B302">
        <v>2019</v>
      </c>
      <c r="C302">
        <v>12</v>
      </c>
      <c r="D302">
        <v>1</v>
      </c>
      <c r="E302" s="2">
        <f t="shared" si="4"/>
        <v>43800</v>
      </c>
    </row>
    <row r="303" spans="1:5" x14ac:dyDescent="0.3">
      <c r="A303" s="9" t="s">
        <v>55</v>
      </c>
      <c r="B303">
        <v>1</v>
      </c>
      <c r="C303">
        <v>15</v>
      </c>
      <c r="D303">
        <v>2020</v>
      </c>
      <c r="E303" s="2">
        <f t="shared" si="4"/>
        <v>43845</v>
      </c>
    </row>
    <row r="304" spans="1:5" x14ac:dyDescent="0.3">
      <c r="A304" s="8" t="s">
        <v>75</v>
      </c>
      <c r="B304">
        <v>2019</v>
      </c>
      <c r="C304">
        <v>12</v>
      </c>
      <c r="D304">
        <v>1</v>
      </c>
      <c r="E304" s="2">
        <f t="shared" si="4"/>
        <v>43800</v>
      </c>
    </row>
    <row r="305" spans="1:5" x14ac:dyDescent="0.3">
      <c r="A305" s="9" t="s">
        <v>69</v>
      </c>
      <c r="B305" t="s">
        <v>74</v>
      </c>
      <c r="C305">
        <v>5</v>
      </c>
      <c r="D305">
        <v>2018</v>
      </c>
      <c r="E305" s="2">
        <f t="shared" si="4"/>
        <v>43195</v>
      </c>
    </row>
    <row r="306" spans="1:5" x14ac:dyDescent="0.3">
      <c r="A306" s="8" t="s">
        <v>71</v>
      </c>
      <c r="B306">
        <v>3</v>
      </c>
      <c r="C306">
        <v>25</v>
      </c>
      <c r="D306">
        <v>2019</v>
      </c>
      <c r="E306" s="2">
        <f t="shared" si="4"/>
        <v>43549</v>
      </c>
    </row>
    <row r="307" spans="1:5" x14ac:dyDescent="0.3">
      <c r="A307" s="9" t="s">
        <v>71</v>
      </c>
      <c r="B307">
        <v>3</v>
      </c>
      <c r="C307">
        <v>25</v>
      </c>
      <c r="D307">
        <v>2019</v>
      </c>
      <c r="E307" s="2">
        <f t="shared" si="4"/>
        <v>43549</v>
      </c>
    </row>
    <row r="308" spans="1:5" x14ac:dyDescent="0.3">
      <c r="A308" s="8" t="s">
        <v>71</v>
      </c>
      <c r="B308">
        <v>3</v>
      </c>
      <c r="C308">
        <v>25</v>
      </c>
      <c r="D308">
        <v>2019</v>
      </c>
      <c r="E308" s="2">
        <f t="shared" si="4"/>
        <v>43549</v>
      </c>
    </row>
    <row r="309" spans="1:5" x14ac:dyDescent="0.3">
      <c r="A309" s="9" t="s">
        <v>75</v>
      </c>
      <c r="B309">
        <v>2019</v>
      </c>
      <c r="C309">
        <v>12</v>
      </c>
      <c r="D309">
        <v>1</v>
      </c>
      <c r="E309" s="2">
        <f t="shared" si="4"/>
        <v>43800</v>
      </c>
    </row>
    <row r="310" spans="1:5" x14ac:dyDescent="0.3">
      <c r="A310" s="8" t="s">
        <v>71</v>
      </c>
      <c r="B310">
        <v>3</v>
      </c>
      <c r="C310">
        <v>25</v>
      </c>
      <c r="D310">
        <v>2019</v>
      </c>
      <c r="E310" s="2">
        <f t="shared" si="4"/>
        <v>43549</v>
      </c>
    </row>
    <row r="311" spans="1:5" x14ac:dyDescent="0.3">
      <c r="A311" s="9" t="s">
        <v>55</v>
      </c>
      <c r="B311">
        <v>1</v>
      </c>
      <c r="C311">
        <v>15</v>
      </c>
      <c r="D311">
        <v>2020</v>
      </c>
      <c r="E311" s="2">
        <f t="shared" si="4"/>
        <v>43845</v>
      </c>
    </row>
    <row r="312" spans="1:5" x14ac:dyDescent="0.3">
      <c r="A312" s="8" t="s">
        <v>71</v>
      </c>
      <c r="B312">
        <v>3</v>
      </c>
      <c r="C312">
        <v>25</v>
      </c>
      <c r="D312">
        <v>2019</v>
      </c>
      <c r="E312" s="2">
        <f t="shared" si="4"/>
        <v>43549</v>
      </c>
    </row>
    <row r="313" spans="1:5" x14ac:dyDescent="0.3">
      <c r="A313" s="9" t="s">
        <v>69</v>
      </c>
      <c r="B313" t="s">
        <v>74</v>
      </c>
      <c r="C313">
        <v>5</v>
      </c>
      <c r="D313">
        <v>2018</v>
      </c>
      <c r="E313" s="2">
        <f t="shared" si="4"/>
        <v>43195</v>
      </c>
    </row>
    <row r="314" spans="1:5" x14ac:dyDescent="0.3">
      <c r="A314" s="8" t="s">
        <v>55</v>
      </c>
      <c r="B314">
        <v>1</v>
      </c>
      <c r="C314">
        <v>15</v>
      </c>
      <c r="D314">
        <v>2020</v>
      </c>
      <c r="E314" s="2">
        <f t="shared" si="4"/>
        <v>43845</v>
      </c>
    </row>
    <row r="315" spans="1:5" x14ac:dyDescent="0.3">
      <c r="A315" s="9" t="s">
        <v>71</v>
      </c>
      <c r="B315">
        <v>3</v>
      </c>
      <c r="C315">
        <v>25</v>
      </c>
      <c r="D315">
        <v>2019</v>
      </c>
      <c r="E315" s="2">
        <f t="shared" si="4"/>
        <v>43549</v>
      </c>
    </row>
    <row r="316" spans="1:5" x14ac:dyDescent="0.3">
      <c r="A316" s="8" t="s">
        <v>71</v>
      </c>
      <c r="B316">
        <v>3</v>
      </c>
      <c r="C316">
        <v>25</v>
      </c>
      <c r="D316">
        <v>2019</v>
      </c>
      <c r="E316" s="2">
        <f t="shared" si="4"/>
        <v>43549</v>
      </c>
    </row>
    <row r="317" spans="1:5" x14ac:dyDescent="0.3">
      <c r="A317" s="9" t="s">
        <v>70</v>
      </c>
      <c r="B317">
        <v>20</v>
      </c>
      <c r="C317">
        <v>2</v>
      </c>
      <c r="D317">
        <v>2020</v>
      </c>
      <c r="E317" s="2">
        <f t="shared" si="4"/>
        <v>43881</v>
      </c>
    </row>
    <row r="318" spans="1:5" x14ac:dyDescent="0.3">
      <c r="A318" s="8" t="s">
        <v>75</v>
      </c>
      <c r="B318">
        <v>2019</v>
      </c>
      <c r="C318">
        <v>12</v>
      </c>
      <c r="D318">
        <v>1</v>
      </c>
      <c r="E318" s="2">
        <f t="shared" si="4"/>
        <v>43800</v>
      </c>
    </row>
    <row r="319" spans="1:5" x14ac:dyDescent="0.3">
      <c r="A319" s="9" t="s">
        <v>55</v>
      </c>
      <c r="B319">
        <v>1</v>
      </c>
      <c r="C319">
        <v>15</v>
      </c>
      <c r="D319">
        <v>2020</v>
      </c>
      <c r="E319" s="2">
        <f t="shared" si="4"/>
        <v>43845</v>
      </c>
    </row>
    <row r="320" spans="1:5" x14ac:dyDescent="0.3">
      <c r="A320" s="8" t="s">
        <v>70</v>
      </c>
      <c r="B320">
        <v>20</v>
      </c>
      <c r="C320">
        <v>2</v>
      </c>
      <c r="D320">
        <v>2020</v>
      </c>
      <c r="E320" s="2">
        <f t="shared" si="4"/>
        <v>43881</v>
      </c>
    </row>
    <row r="321" spans="1:5" x14ac:dyDescent="0.3">
      <c r="A321" s="9" t="s">
        <v>69</v>
      </c>
      <c r="B321" t="s">
        <v>74</v>
      </c>
      <c r="C321">
        <v>5</v>
      </c>
      <c r="D321">
        <v>2018</v>
      </c>
      <c r="E321" s="2">
        <f t="shared" si="4"/>
        <v>43195</v>
      </c>
    </row>
    <row r="322" spans="1:5" x14ac:dyDescent="0.3">
      <c r="A322" s="8" t="s">
        <v>75</v>
      </c>
      <c r="B322">
        <v>2019</v>
      </c>
      <c r="C322">
        <v>12</v>
      </c>
      <c r="D322">
        <v>1</v>
      </c>
      <c r="E322" s="2">
        <f t="shared" si="4"/>
        <v>43800</v>
      </c>
    </row>
    <row r="323" spans="1:5" x14ac:dyDescent="0.3">
      <c r="A323" s="9" t="s">
        <v>55</v>
      </c>
      <c r="B323">
        <v>1</v>
      </c>
      <c r="C323">
        <v>15</v>
      </c>
      <c r="D323">
        <v>2020</v>
      </c>
      <c r="E323" s="2">
        <f t="shared" ref="E323:E386" si="5">DATE(
 IF(ISNUMBER(--B323),
     IF(LEN(B323)=4, B323, D323),
     D323
 ),
 IF(ISNUMBER(--B323),
     IF(LEN(B323)=4, C323, IF(B323&gt;12, C323, B323)),
     MONTH(DATEVALUE(B323 &amp; " 1"))
 ),
 IF(ISNUMBER(--B323),
     IF(LEN(B323)=4, D323, IF(B323&gt;12, B323, C323)),
     C323
 )
)</f>
        <v>43845</v>
      </c>
    </row>
    <row r="324" spans="1:5" x14ac:dyDescent="0.3">
      <c r="A324" s="8" t="s">
        <v>71</v>
      </c>
      <c r="B324">
        <v>3</v>
      </c>
      <c r="C324">
        <v>25</v>
      </c>
      <c r="D324">
        <v>2019</v>
      </c>
      <c r="E324" s="2">
        <f t="shared" si="5"/>
        <v>43549</v>
      </c>
    </row>
    <row r="325" spans="1:5" x14ac:dyDescent="0.3">
      <c r="A325" s="9" t="s">
        <v>55</v>
      </c>
      <c r="B325">
        <v>1</v>
      </c>
      <c r="C325">
        <v>15</v>
      </c>
      <c r="D325">
        <v>2020</v>
      </c>
      <c r="E325" s="2">
        <f t="shared" si="5"/>
        <v>43845</v>
      </c>
    </row>
    <row r="326" spans="1:5" x14ac:dyDescent="0.3">
      <c r="A326" s="8" t="s">
        <v>71</v>
      </c>
      <c r="B326">
        <v>3</v>
      </c>
      <c r="C326">
        <v>25</v>
      </c>
      <c r="D326">
        <v>2019</v>
      </c>
      <c r="E326" s="2">
        <f t="shared" si="5"/>
        <v>43549</v>
      </c>
    </row>
    <row r="327" spans="1:5" x14ac:dyDescent="0.3">
      <c r="A327" s="9" t="s">
        <v>75</v>
      </c>
      <c r="B327">
        <v>2019</v>
      </c>
      <c r="C327">
        <v>12</v>
      </c>
      <c r="D327">
        <v>1</v>
      </c>
      <c r="E327" s="2">
        <f t="shared" si="5"/>
        <v>43800</v>
      </c>
    </row>
    <row r="328" spans="1:5" x14ac:dyDescent="0.3">
      <c r="A328" s="8" t="s">
        <v>71</v>
      </c>
      <c r="B328">
        <v>3</v>
      </c>
      <c r="C328">
        <v>25</v>
      </c>
      <c r="D328">
        <v>2019</v>
      </c>
      <c r="E328" s="2">
        <f t="shared" si="5"/>
        <v>43549</v>
      </c>
    </row>
    <row r="329" spans="1:5" x14ac:dyDescent="0.3">
      <c r="A329" s="9" t="s">
        <v>69</v>
      </c>
      <c r="B329" t="s">
        <v>74</v>
      </c>
      <c r="C329">
        <v>5</v>
      </c>
      <c r="D329">
        <v>2018</v>
      </c>
      <c r="E329" s="2">
        <f t="shared" si="5"/>
        <v>43195</v>
      </c>
    </row>
    <row r="330" spans="1:5" x14ac:dyDescent="0.3">
      <c r="A330" s="8" t="s">
        <v>71</v>
      </c>
      <c r="B330">
        <v>3</v>
      </c>
      <c r="C330">
        <v>25</v>
      </c>
      <c r="D330">
        <v>2019</v>
      </c>
      <c r="E330" s="2">
        <f t="shared" si="5"/>
        <v>43549</v>
      </c>
    </row>
    <row r="331" spans="1:5" x14ac:dyDescent="0.3">
      <c r="A331" s="9" t="s">
        <v>69</v>
      </c>
      <c r="B331" t="s">
        <v>74</v>
      </c>
      <c r="C331">
        <v>5</v>
      </c>
      <c r="D331">
        <v>2018</v>
      </c>
      <c r="E331" s="2">
        <f t="shared" si="5"/>
        <v>43195</v>
      </c>
    </row>
    <row r="332" spans="1:5" x14ac:dyDescent="0.3">
      <c r="A332" s="8" t="s">
        <v>75</v>
      </c>
      <c r="B332">
        <v>2019</v>
      </c>
      <c r="C332">
        <v>12</v>
      </c>
      <c r="D332">
        <v>1</v>
      </c>
      <c r="E332" s="2">
        <f t="shared" si="5"/>
        <v>43800</v>
      </c>
    </row>
    <row r="333" spans="1:5" x14ac:dyDescent="0.3">
      <c r="A333" s="9" t="s">
        <v>75</v>
      </c>
      <c r="B333">
        <v>2019</v>
      </c>
      <c r="C333">
        <v>12</v>
      </c>
      <c r="D333">
        <v>1</v>
      </c>
      <c r="E333" s="2">
        <f t="shared" si="5"/>
        <v>43800</v>
      </c>
    </row>
    <row r="334" spans="1:5" x14ac:dyDescent="0.3">
      <c r="A334" s="8" t="s">
        <v>55</v>
      </c>
      <c r="B334">
        <v>1</v>
      </c>
      <c r="C334">
        <v>15</v>
      </c>
      <c r="D334">
        <v>2020</v>
      </c>
      <c r="E334" s="2">
        <f t="shared" si="5"/>
        <v>43845</v>
      </c>
    </row>
    <row r="335" spans="1:5" x14ac:dyDescent="0.3">
      <c r="A335" s="9" t="s">
        <v>69</v>
      </c>
      <c r="B335" t="s">
        <v>74</v>
      </c>
      <c r="C335">
        <v>5</v>
      </c>
      <c r="D335">
        <v>2018</v>
      </c>
      <c r="E335" s="2">
        <f t="shared" si="5"/>
        <v>43195</v>
      </c>
    </row>
    <row r="336" spans="1:5" x14ac:dyDescent="0.3">
      <c r="A336" s="8" t="s">
        <v>69</v>
      </c>
      <c r="B336" t="s">
        <v>74</v>
      </c>
      <c r="C336">
        <v>5</v>
      </c>
      <c r="D336">
        <v>2018</v>
      </c>
      <c r="E336" s="2">
        <f t="shared" si="5"/>
        <v>43195</v>
      </c>
    </row>
    <row r="337" spans="1:5" x14ac:dyDescent="0.3">
      <c r="A337" s="9" t="s">
        <v>70</v>
      </c>
      <c r="B337">
        <v>20</v>
      </c>
      <c r="C337">
        <v>2</v>
      </c>
      <c r="D337">
        <v>2020</v>
      </c>
      <c r="E337" s="2">
        <f t="shared" si="5"/>
        <v>43881</v>
      </c>
    </row>
    <row r="338" spans="1:5" x14ac:dyDescent="0.3">
      <c r="A338" s="8" t="s">
        <v>70</v>
      </c>
      <c r="B338">
        <v>20</v>
      </c>
      <c r="C338">
        <v>2</v>
      </c>
      <c r="D338">
        <v>2020</v>
      </c>
      <c r="E338" s="2">
        <f t="shared" si="5"/>
        <v>43881</v>
      </c>
    </row>
    <row r="339" spans="1:5" x14ac:dyDescent="0.3">
      <c r="A339" s="9" t="s">
        <v>70</v>
      </c>
      <c r="B339">
        <v>20</v>
      </c>
      <c r="C339">
        <v>2</v>
      </c>
      <c r="D339">
        <v>2020</v>
      </c>
      <c r="E339" s="2">
        <f t="shared" si="5"/>
        <v>43881</v>
      </c>
    </row>
    <row r="340" spans="1:5" x14ac:dyDescent="0.3">
      <c r="A340" s="8" t="s">
        <v>71</v>
      </c>
      <c r="B340">
        <v>3</v>
      </c>
      <c r="C340">
        <v>25</v>
      </c>
      <c r="D340">
        <v>2019</v>
      </c>
      <c r="E340" s="2">
        <f t="shared" si="5"/>
        <v>43549</v>
      </c>
    </row>
    <row r="341" spans="1:5" x14ac:dyDescent="0.3">
      <c r="A341" s="9" t="s">
        <v>70</v>
      </c>
      <c r="B341">
        <v>20</v>
      </c>
      <c r="C341">
        <v>2</v>
      </c>
      <c r="D341">
        <v>2020</v>
      </c>
      <c r="E341" s="2">
        <f t="shared" si="5"/>
        <v>43881</v>
      </c>
    </row>
    <row r="342" spans="1:5" x14ac:dyDescent="0.3">
      <c r="A342" s="8" t="s">
        <v>69</v>
      </c>
      <c r="B342" t="s">
        <v>74</v>
      </c>
      <c r="C342">
        <v>5</v>
      </c>
      <c r="D342">
        <v>2018</v>
      </c>
      <c r="E342" s="2">
        <f t="shared" si="5"/>
        <v>43195</v>
      </c>
    </row>
    <row r="343" spans="1:5" x14ac:dyDescent="0.3">
      <c r="A343" s="9" t="s">
        <v>71</v>
      </c>
      <c r="B343">
        <v>3</v>
      </c>
      <c r="C343">
        <v>25</v>
      </c>
      <c r="D343">
        <v>2019</v>
      </c>
      <c r="E343" s="2">
        <f t="shared" si="5"/>
        <v>43549</v>
      </c>
    </row>
    <row r="344" spans="1:5" x14ac:dyDescent="0.3">
      <c r="A344" s="8" t="s">
        <v>75</v>
      </c>
      <c r="B344">
        <v>2019</v>
      </c>
      <c r="C344">
        <v>12</v>
      </c>
      <c r="D344">
        <v>1</v>
      </c>
      <c r="E344" s="2">
        <f t="shared" si="5"/>
        <v>43800</v>
      </c>
    </row>
    <row r="345" spans="1:5" x14ac:dyDescent="0.3">
      <c r="A345" s="9" t="s">
        <v>55</v>
      </c>
      <c r="B345">
        <v>1</v>
      </c>
      <c r="C345">
        <v>15</v>
      </c>
      <c r="D345">
        <v>2020</v>
      </c>
      <c r="E345" s="2">
        <f t="shared" si="5"/>
        <v>43845</v>
      </c>
    </row>
    <row r="346" spans="1:5" x14ac:dyDescent="0.3">
      <c r="A346" s="8" t="s">
        <v>70</v>
      </c>
      <c r="B346">
        <v>20</v>
      </c>
      <c r="C346">
        <v>2</v>
      </c>
      <c r="D346">
        <v>2020</v>
      </c>
      <c r="E346" s="2">
        <f t="shared" si="5"/>
        <v>43881</v>
      </c>
    </row>
    <row r="347" spans="1:5" x14ac:dyDescent="0.3">
      <c r="A347" s="9" t="s">
        <v>75</v>
      </c>
      <c r="B347">
        <v>2019</v>
      </c>
      <c r="C347">
        <v>12</v>
      </c>
      <c r="D347">
        <v>1</v>
      </c>
      <c r="E347" s="2">
        <f t="shared" si="5"/>
        <v>43800</v>
      </c>
    </row>
    <row r="348" spans="1:5" x14ac:dyDescent="0.3">
      <c r="A348" s="8" t="s">
        <v>69</v>
      </c>
      <c r="B348" t="s">
        <v>74</v>
      </c>
      <c r="C348">
        <v>5</v>
      </c>
      <c r="D348">
        <v>2018</v>
      </c>
      <c r="E348" s="2">
        <f t="shared" si="5"/>
        <v>43195</v>
      </c>
    </row>
    <row r="349" spans="1:5" x14ac:dyDescent="0.3">
      <c r="A349" s="9" t="s">
        <v>55</v>
      </c>
      <c r="B349">
        <v>1</v>
      </c>
      <c r="C349">
        <v>15</v>
      </c>
      <c r="D349">
        <v>2020</v>
      </c>
      <c r="E349" s="2">
        <f t="shared" si="5"/>
        <v>43845</v>
      </c>
    </row>
    <row r="350" spans="1:5" x14ac:dyDescent="0.3">
      <c r="A350" s="8" t="s">
        <v>75</v>
      </c>
      <c r="B350">
        <v>2019</v>
      </c>
      <c r="C350">
        <v>12</v>
      </c>
      <c r="D350">
        <v>1</v>
      </c>
      <c r="E350" s="2">
        <f t="shared" si="5"/>
        <v>43800</v>
      </c>
    </row>
    <row r="351" spans="1:5" x14ac:dyDescent="0.3">
      <c r="A351" s="9" t="s">
        <v>55</v>
      </c>
      <c r="B351">
        <v>1</v>
      </c>
      <c r="C351">
        <v>15</v>
      </c>
      <c r="D351">
        <v>2020</v>
      </c>
      <c r="E351" s="2">
        <f t="shared" si="5"/>
        <v>43845</v>
      </c>
    </row>
    <row r="352" spans="1:5" x14ac:dyDescent="0.3">
      <c r="A352" s="8" t="s">
        <v>70</v>
      </c>
      <c r="B352">
        <v>20</v>
      </c>
      <c r="C352">
        <v>2</v>
      </c>
      <c r="D352">
        <v>2020</v>
      </c>
      <c r="E352" s="2">
        <f t="shared" si="5"/>
        <v>43881</v>
      </c>
    </row>
    <row r="353" spans="1:5" x14ac:dyDescent="0.3">
      <c r="A353" s="9" t="s">
        <v>69</v>
      </c>
      <c r="B353" t="s">
        <v>74</v>
      </c>
      <c r="C353">
        <v>5</v>
      </c>
      <c r="D353">
        <v>2018</v>
      </c>
      <c r="E353" s="2">
        <f t="shared" si="5"/>
        <v>43195</v>
      </c>
    </row>
    <row r="354" spans="1:5" x14ac:dyDescent="0.3">
      <c r="A354" s="8" t="s">
        <v>55</v>
      </c>
      <c r="B354">
        <v>1</v>
      </c>
      <c r="C354">
        <v>15</v>
      </c>
      <c r="D354">
        <v>2020</v>
      </c>
      <c r="E354" s="2">
        <f t="shared" si="5"/>
        <v>43845</v>
      </c>
    </row>
    <row r="355" spans="1:5" x14ac:dyDescent="0.3">
      <c r="A355" s="9" t="s">
        <v>75</v>
      </c>
      <c r="B355">
        <v>2019</v>
      </c>
      <c r="C355">
        <v>12</v>
      </c>
      <c r="D355">
        <v>1</v>
      </c>
      <c r="E355" s="2">
        <f t="shared" si="5"/>
        <v>43800</v>
      </c>
    </row>
    <row r="356" spans="1:5" x14ac:dyDescent="0.3">
      <c r="A356" s="8" t="s">
        <v>70</v>
      </c>
      <c r="B356">
        <v>20</v>
      </c>
      <c r="C356">
        <v>2</v>
      </c>
      <c r="D356">
        <v>2020</v>
      </c>
      <c r="E356" s="2">
        <f t="shared" si="5"/>
        <v>43881</v>
      </c>
    </row>
    <row r="357" spans="1:5" x14ac:dyDescent="0.3">
      <c r="A357" s="9" t="s">
        <v>70</v>
      </c>
      <c r="B357">
        <v>20</v>
      </c>
      <c r="C357">
        <v>2</v>
      </c>
      <c r="D357">
        <v>2020</v>
      </c>
      <c r="E357" s="2">
        <f t="shared" si="5"/>
        <v>43881</v>
      </c>
    </row>
    <row r="358" spans="1:5" x14ac:dyDescent="0.3">
      <c r="A358" s="8" t="s">
        <v>75</v>
      </c>
      <c r="B358">
        <v>2019</v>
      </c>
      <c r="C358">
        <v>12</v>
      </c>
      <c r="D358">
        <v>1</v>
      </c>
      <c r="E358" s="2">
        <f t="shared" si="5"/>
        <v>43800</v>
      </c>
    </row>
    <row r="359" spans="1:5" x14ac:dyDescent="0.3">
      <c r="A359" s="9" t="s">
        <v>75</v>
      </c>
      <c r="B359">
        <v>2019</v>
      </c>
      <c r="C359">
        <v>12</v>
      </c>
      <c r="D359">
        <v>1</v>
      </c>
      <c r="E359" s="2">
        <f t="shared" si="5"/>
        <v>43800</v>
      </c>
    </row>
    <row r="360" spans="1:5" x14ac:dyDescent="0.3">
      <c r="A360" s="8" t="s">
        <v>55</v>
      </c>
      <c r="B360">
        <v>1</v>
      </c>
      <c r="C360">
        <v>15</v>
      </c>
      <c r="D360">
        <v>2020</v>
      </c>
      <c r="E360" s="2">
        <f t="shared" si="5"/>
        <v>43845</v>
      </c>
    </row>
    <row r="361" spans="1:5" x14ac:dyDescent="0.3">
      <c r="A361" s="9" t="s">
        <v>71</v>
      </c>
      <c r="B361">
        <v>3</v>
      </c>
      <c r="C361">
        <v>25</v>
      </c>
      <c r="D361">
        <v>2019</v>
      </c>
      <c r="E361" s="2">
        <f t="shared" si="5"/>
        <v>43549</v>
      </c>
    </row>
    <row r="362" spans="1:5" x14ac:dyDescent="0.3">
      <c r="A362" s="8" t="s">
        <v>70</v>
      </c>
      <c r="B362">
        <v>20</v>
      </c>
      <c r="C362">
        <v>2</v>
      </c>
      <c r="D362">
        <v>2020</v>
      </c>
      <c r="E362" s="2">
        <f t="shared" si="5"/>
        <v>43881</v>
      </c>
    </row>
    <row r="363" spans="1:5" x14ac:dyDescent="0.3">
      <c r="A363" s="9" t="s">
        <v>55</v>
      </c>
      <c r="B363">
        <v>1</v>
      </c>
      <c r="C363">
        <v>15</v>
      </c>
      <c r="D363">
        <v>2020</v>
      </c>
      <c r="E363" s="2">
        <f t="shared" si="5"/>
        <v>43845</v>
      </c>
    </row>
    <row r="364" spans="1:5" x14ac:dyDescent="0.3">
      <c r="A364" s="8" t="s">
        <v>75</v>
      </c>
      <c r="B364">
        <v>2019</v>
      </c>
      <c r="C364">
        <v>12</v>
      </c>
      <c r="D364">
        <v>1</v>
      </c>
      <c r="E364" s="2">
        <f t="shared" si="5"/>
        <v>43800</v>
      </c>
    </row>
    <row r="365" spans="1:5" x14ac:dyDescent="0.3">
      <c r="A365" s="9" t="s">
        <v>55</v>
      </c>
      <c r="B365">
        <v>1</v>
      </c>
      <c r="C365">
        <v>15</v>
      </c>
      <c r="D365">
        <v>2020</v>
      </c>
      <c r="E365" s="2">
        <f t="shared" si="5"/>
        <v>43845</v>
      </c>
    </row>
    <row r="366" spans="1:5" x14ac:dyDescent="0.3">
      <c r="A366" s="8" t="s">
        <v>75</v>
      </c>
      <c r="B366">
        <v>2019</v>
      </c>
      <c r="C366">
        <v>12</v>
      </c>
      <c r="D366">
        <v>1</v>
      </c>
      <c r="E366" s="2">
        <f t="shared" si="5"/>
        <v>43800</v>
      </c>
    </row>
    <row r="367" spans="1:5" x14ac:dyDescent="0.3">
      <c r="A367" s="9" t="s">
        <v>69</v>
      </c>
      <c r="B367" t="s">
        <v>74</v>
      </c>
      <c r="C367">
        <v>5</v>
      </c>
      <c r="D367">
        <v>2018</v>
      </c>
      <c r="E367" s="2">
        <f t="shared" si="5"/>
        <v>43195</v>
      </c>
    </row>
    <row r="368" spans="1:5" x14ac:dyDescent="0.3">
      <c r="A368" s="8" t="s">
        <v>75</v>
      </c>
      <c r="B368">
        <v>2019</v>
      </c>
      <c r="C368">
        <v>12</v>
      </c>
      <c r="D368">
        <v>1</v>
      </c>
      <c r="E368" s="2">
        <f t="shared" si="5"/>
        <v>43800</v>
      </c>
    </row>
    <row r="369" spans="1:5" x14ac:dyDescent="0.3">
      <c r="A369" s="9" t="s">
        <v>75</v>
      </c>
      <c r="B369">
        <v>2019</v>
      </c>
      <c r="C369">
        <v>12</v>
      </c>
      <c r="D369">
        <v>1</v>
      </c>
      <c r="E369" s="2">
        <f t="shared" si="5"/>
        <v>43800</v>
      </c>
    </row>
    <row r="370" spans="1:5" x14ac:dyDescent="0.3">
      <c r="A370" s="8" t="s">
        <v>75</v>
      </c>
      <c r="B370">
        <v>2019</v>
      </c>
      <c r="C370">
        <v>12</v>
      </c>
      <c r="D370">
        <v>1</v>
      </c>
      <c r="E370" s="2">
        <f t="shared" si="5"/>
        <v>43800</v>
      </c>
    </row>
    <row r="371" spans="1:5" x14ac:dyDescent="0.3">
      <c r="A371" s="9" t="s">
        <v>71</v>
      </c>
      <c r="B371">
        <v>3</v>
      </c>
      <c r="C371">
        <v>25</v>
      </c>
      <c r="D371">
        <v>2019</v>
      </c>
      <c r="E371" s="2">
        <f t="shared" si="5"/>
        <v>43549</v>
      </c>
    </row>
    <row r="372" spans="1:5" x14ac:dyDescent="0.3">
      <c r="A372" s="8" t="s">
        <v>75</v>
      </c>
      <c r="B372">
        <v>2019</v>
      </c>
      <c r="C372">
        <v>12</v>
      </c>
      <c r="D372">
        <v>1</v>
      </c>
      <c r="E372" s="2">
        <f t="shared" si="5"/>
        <v>43800</v>
      </c>
    </row>
    <row r="373" spans="1:5" x14ac:dyDescent="0.3">
      <c r="A373" s="9" t="s">
        <v>70</v>
      </c>
      <c r="B373">
        <v>20</v>
      </c>
      <c r="C373">
        <v>2</v>
      </c>
      <c r="D373">
        <v>2020</v>
      </c>
      <c r="E373" s="2">
        <f t="shared" si="5"/>
        <v>43881</v>
      </c>
    </row>
    <row r="374" spans="1:5" x14ac:dyDescent="0.3">
      <c r="A374" s="8" t="s">
        <v>70</v>
      </c>
      <c r="B374">
        <v>20</v>
      </c>
      <c r="C374">
        <v>2</v>
      </c>
      <c r="D374">
        <v>2020</v>
      </c>
      <c r="E374" s="2">
        <f t="shared" si="5"/>
        <v>43881</v>
      </c>
    </row>
    <row r="375" spans="1:5" x14ac:dyDescent="0.3">
      <c r="A375" s="9" t="s">
        <v>55</v>
      </c>
      <c r="B375">
        <v>1</v>
      </c>
      <c r="C375">
        <v>15</v>
      </c>
      <c r="D375">
        <v>2020</v>
      </c>
      <c r="E375" s="2">
        <f t="shared" si="5"/>
        <v>43845</v>
      </c>
    </row>
    <row r="376" spans="1:5" x14ac:dyDescent="0.3">
      <c r="A376" s="8" t="s">
        <v>71</v>
      </c>
      <c r="B376">
        <v>3</v>
      </c>
      <c r="C376">
        <v>25</v>
      </c>
      <c r="D376">
        <v>2019</v>
      </c>
      <c r="E376" s="2">
        <f t="shared" si="5"/>
        <v>43549</v>
      </c>
    </row>
    <row r="377" spans="1:5" x14ac:dyDescent="0.3">
      <c r="A377" s="9" t="s">
        <v>55</v>
      </c>
      <c r="B377">
        <v>1</v>
      </c>
      <c r="C377">
        <v>15</v>
      </c>
      <c r="D377">
        <v>2020</v>
      </c>
      <c r="E377" s="2">
        <f t="shared" si="5"/>
        <v>43845</v>
      </c>
    </row>
    <row r="378" spans="1:5" x14ac:dyDescent="0.3">
      <c r="A378" s="8" t="s">
        <v>70</v>
      </c>
      <c r="B378">
        <v>20</v>
      </c>
      <c r="C378">
        <v>2</v>
      </c>
      <c r="D378">
        <v>2020</v>
      </c>
      <c r="E378" s="2">
        <f t="shared" si="5"/>
        <v>43881</v>
      </c>
    </row>
    <row r="379" spans="1:5" x14ac:dyDescent="0.3">
      <c r="A379" s="9" t="s">
        <v>70</v>
      </c>
      <c r="B379">
        <v>20</v>
      </c>
      <c r="C379">
        <v>2</v>
      </c>
      <c r="D379">
        <v>2020</v>
      </c>
      <c r="E379" s="2">
        <f t="shared" si="5"/>
        <v>43881</v>
      </c>
    </row>
    <row r="380" spans="1:5" x14ac:dyDescent="0.3">
      <c r="A380" s="8" t="s">
        <v>69</v>
      </c>
      <c r="B380" t="s">
        <v>74</v>
      </c>
      <c r="C380">
        <v>5</v>
      </c>
      <c r="D380">
        <v>2018</v>
      </c>
      <c r="E380" s="2">
        <f t="shared" si="5"/>
        <v>43195</v>
      </c>
    </row>
    <row r="381" spans="1:5" x14ac:dyDescent="0.3">
      <c r="A381" s="9" t="s">
        <v>75</v>
      </c>
      <c r="B381">
        <v>2019</v>
      </c>
      <c r="C381">
        <v>12</v>
      </c>
      <c r="D381">
        <v>1</v>
      </c>
      <c r="E381" s="2">
        <f t="shared" si="5"/>
        <v>43800</v>
      </c>
    </row>
    <row r="382" spans="1:5" x14ac:dyDescent="0.3">
      <c r="A382" s="8" t="s">
        <v>70</v>
      </c>
      <c r="B382">
        <v>20</v>
      </c>
      <c r="C382">
        <v>2</v>
      </c>
      <c r="D382">
        <v>2020</v>
      </c>
      <c r="E382" s="2">
        <f t="shared" si="5"/>
        <v>43881</v>
      </c>
    </row>
    <row r="383" spans="1:5" x14ac:dyDescent="0.3">
      <c r="A383" s="9" t="s">
        <v>55</v>
      </c>
      <c r="B383">
        <v>1</v>
      </c>
      <c r="C383">
        <v>15</v>
      </c>
      <c r="D383">
        <v>2020</v>
      </c>
      <c r="E383" s="2">
        <f t="shared" si="5"/>
        <v>43845</v>
      </c>
    </row>
    <row r="384" spans="1:5" x14ac:dyDescent="0.3">
      <c r="A384" s="8" t="s">
        <v>55</v>
      </c>
      <c r="B384">
        <v>1</v>
      </c>
      <c r="C384">
        <v>15</v>
      </c>
      <c r="D384">
        <v>2020</v>
      </c>
      <c r="E384" s="2">
        <f t="shared" si="5"/>
        <v>43845</v>
      </c>
    </row>
    <row r="385" spans="1:5" x14ac:dyDescent="0.3">
      <c r="A385" s="9" t="s">
        <v>75</v>
      </c>
      <c r="B385">
        <v>2019</v>
      </c>
      <c r="C385">
        <v>12</v>
      </c>
      <c r="D385">
        <v>1</v>
      </c>
      <c r="E385" s="2">
        <f t="shared" si="5"/>
        <v>43800</v>
      </c>
    </row>
    <row r="386" spans="1:5" x14ac:dyDescent="0.3">
      <c r="A386" s="8" t="s">
        <v>75</v>
      </c>
      <c r="B386">
        <v>2019</v>
      </c>
      <c r="C386">
        <v>12</v>
      </c>
      <c r="D386">
        <v>1</v>
      </c>
      <c r="E386" s="2">
        <f t="shared" si="5"/>
        <v>43800</v>
      </c>
    </row>
    <row r="387" spans="1:5" x14ac:dyDescent="0.3">
      <c r="A387" s="9" t="s">
        <v>69</v>
      </c>
      <c r="B387" t="s">
        <v>74</v>
      </c>
      <c r="C387">
        <v>5</v>
      </c>
      <c r="D387">
        <v>2018</v>
      </c>
      <c r="E387" s="2">
        <f t="shared" ref="E387:E450" si="6">DATE(
 IF(ISNUMBER(--B387),
     IF(LEN(B387)=4, B387, D387),
     D387
 ),
 IF(ISNUMBER(--B387),
     IF(LEN(B387)=4, C387, IF(B387&gt;12, C387, B387)),
     MONTH(DATEVALUE(B387 &amp; " 1"))
 ),
 IF(ISNUMBER(--B387),
     IF(LEN(B387)=4, D387, IF(B387&gt;12, B387, C387)),
     C387
 )
)</f>
        <v>43195</v>
      </c>
    </row>
    <row r="388" spans="1:5" x14ac:dyDescent="0.3">
      <c r="A388" s="8" t="s">
        <v>71</v>
      </c>
      <c r="B388">
        <v>3</v>
      </c>
      <c r="C388">
        <v>25</v>
      </c>
      <c r="D388">
        <v>2019</v>
      </c>
      <c r="E388" s="2">
        <f t="shared" si="6"/>
        <v>43549</v>
      </c>
    </row>
    <row r="389" spans="1:5" x14ac:dyDescent="0.3">
      <c r="A389" s="9" t="s">
        <v>55</v>
      </c>
      <c r="B389">
        <v>1</v>
      </c>
      <c r="C389">
        <v>15</v>
      </c>
      <c r="D389">
        <v>2020</v>
      </c>
      <c r="E389" s="2">
        <f t="shared" si="6"/>
        <v>43845</v>
      </c>
    </row>
    <row r="390" spans="1:5" x14ac:dyDescent="0.3">
      <c r="A390" s="8" t="s">
        <v>75</v>
      </c>
      <c r="B390">
        <v>2019</v>
      </c>
      <c r="C390">
        <v>12</v>
      </c>
      <c r="D390">
        <v>1</v>
      </c>
      <c r="E390" s="2">
        <f t="shared" si="6"/>
        <v>43800</v>
      </c>
    </row>
    <row r="391" spans="1:5" x14ac:dyDescent="0.3">
      <c r="A391" s="9" t="s">
        <v>55</v>
      </c>
      <c r="B391">
        <v>1</v>
      </c>
      <c r="C391">
        <v>15</v>
      </c>
      <c r="D391">
        <v>2020</v>
      </c>
      <c r="E391" s="2">
        <f t="shared" si="6"/>
        <v>43845</v>
      </c>
    </row>
    <row r="392" spans="1:5" x14ac:dyDescent="0.3">
      <c r="A392" s="8" t="s">
        <v>75</v>
      </c>
      <c r="B392">
        <v>2019</v>
      </c>
      <c r="C392">
        <v>12</v>
      </c>
      <c r="D392">
        <v>1</v>
      </c>
      <c r="E392" s="2">
        <f t="shared" si="6"/>
        <v>43800</v>
      </c>
    </row>
    <row r="393" spans="1:5" x14ac:dyDescent="0.3">
      <c r="A393" s="9" t="s">
        <v>70</v>
      </c>
      <c r="B393">
        <v>20</v>
      </c>
      <c r="C393">
        <v>2</v>
      </c>
      <c r="D393">
        <v>2020</v>
      </c>
      <c r="E393" s="2">
        <f t="shared" si="6"/>
        <v>43881</v>
      </c>
    </row>
    <row r="394" spans="1:5" x14ac:dyDescent="0.3">
      <c r="A394" s="8" t="s">
        <v>55</v>
      </c>
      <c r="B394">
        <v>1</v>
      </c>
      <c r="C394">
        <v>15</v>
      </c>
      <c r="D394">
        <v>2020</v>
      </c>
      <c r="E394" s="2">
        <f t="shared" si="6"/>
        <v>43845</v>
      </c>
    </row>
    <row r="395" spans="1:5" x14ac:dyDescent="0.3">
      <c r="A395" s="9" t="s">
        <v>70</v>
      </c>
      <c r="B395">
        <v>20</v>
      </c>
      <c r="C395">
        <v>2</v>
      </c>
      <c r="D395">
        <v>2020</v>
      </c>
      <c r="E395" s="2">
        <f t="shared" si="6"/>
        <v>43881</v>
      </c>
    </row>
    <row r="396" spans="1:5" x14ac:dyDescent="0.3">
      <c r="A396" s="8" t="s">
        <v>55</v>
      </c>
      <c r="B396">
        <v>1</v>
      </c>
      <c r="C396">
        <v>15</v>
      </c>
      <c r="D396">
        <v>2020</v>
      </c>
      <c r="E396" s="2">
        <f t="shared" si="6"/>
        <v>43845</v>
      </c>
    </row>
    <row r="397" spans="1:5" x14ac:dyDescent="0.3">
      <c r="A397" s="9" t="s">
        <v>71</v>
      </c>
      <c r="B397">
        <v>3</v>
      </c>
      <c r="C397">
        <v>25</v>
      </c>
      <c r="D397">
        <v>2019</v>
      </c>
      <c r="E397" s="2">
        <f t="shared" si="6"/>
        <v>43549</v>
      </c>
    </row>
    <row r="398" spans="1:5" x14ac:dyDescent="0.3">
      <c r="A398" s="8" t="s">
        <v>69</v>
      </c>
      <c r="B398" t="s">
        <v>74</v>
      </c>
      <c r="C398">
        <v>5</v>
      </c>
      <c r="D398">
        <v>2018</v>
      </c>
      <c r="E398" s="2">
        <f t="shared" si="6"/>
        <v>43195</v>
      </c>
    </row>
    <row r="399" spans="1:5" x14ac:dyDescent="0.3">
      <c r="A399" s="9" t="s">
        <v>70</v>
      </c>
      <c r="B399">
        <v>20</v>
      </c>
      <c r="C399">
        <v>2</v>
      </c>
      <c r="D399">
        <v>2020</v>
      </c>
      <c r="E399" s="2">
        <f t="shared" si="6"/>
        <v>43881</v>
      </c>
    </row>
    <row r="400" spans="1:5" x14ac:dyDescent="0.3">
      <c r="A400" s="8" t="s">
        <v>75</v>
      </c>
      <c r="B400">
        <v>2019</v>
      </c>
      <c r="C400">
        <v>12</v>
      </c>
      <c r="D400">
        <v>1</v>
      </c>
      <c r="E400" s="2">
        <f t="shared" si="6"/>
        <v>43800</v>
      </c>
    </row>
    <row r="401" spans="1:5" x14ac:dyDescent="0.3">
      <c r="A401" s="9" t="s">
        <v>71</v>
      </c>
      <c r="B401">
        <v>3</v>
      </c>
      <c r="C401">
        <v>25</v>
      </c>
      <c r="D401">
        <v>2019</v>
      </c>
      <c r="E401" s="2">
        <f t="shared" si="6"/>
        <v>43549</v>
      </c>
    </row>
    <row r="402" spans="1:5" x14ac:dyDescent="0.3">
      <c r="A402" s="8" t="s">
        <v>55</v>
      </c>
      <c r="B402">
        <v>1</v>
      </c>
      <c r="C402">
        <v>15</v>
      </c>
      <c r="D402">
        <v>2020</v>
      </c>
      <c r="E402" s="2">
        <f t="shared" si="6"/>
        <v>43845</v>
      </c>
    </row>
    <row r="403" spans="1:5" x14ac:dyDescent="0.3">
      <c r="A403" s="9" t="s">
        <v>70</v>
      </c>
      <c r="B403">
        <v>20</v>
      </c>
      <c r="C403">
        <v>2</v>
      </c>
      <c r="D403">
        <v>2020</v>
      </c>
      <c r="E403" s="2">
        <f t="shared" si="6"/>
        <v>43881</v>
      </c>
    </row>
    <row r="404" spans="1:5" x14ac:dyDescent="0.3">
      <c r="A404" s="8" t="s">
        <v>55</v>
      </c>
      <c r="B404">
        <v>1</v>
      </c>
      <c r="C404">
        <v>15</v>
      </c>
      <c r="D404">
        <v>2020</v>
      </c>
      <c r="E404" s="2">
        <f t="shared" si="6"/>
        <v>43845</v>
      </c>
    </row>
    <row r="405" spans="1:5" x14ac:dyDescent="0.3">
      <c r="A405" s="9" t="s">
        <v>55</v>
      </c>
      <c r="B405">
        <v>1</v>
      </c>
      <c r="C405">
        <v>15</v>
      </c>
      <c r="D405">
        <v>2020</v>
      </c>
      <c r="E405" s="2">
        <f t="shared" si="6"/>
        <v>43845</v>
      </c>
    </row>
    <row r="406" spans="1:5" x14ac:dyDescent="0.3">
      <c r="A406" s="8" t="s">
        <v>55</v>
      </c>
      <c r="B406">
        <v>1</v>
      </c>
      <c r="C406">
        <v>15</v>
      </c>
      <c r="D406">
        <v>2020</v>
      </c>
      <c r="E406" s="2">
        <f t="shared" si="6"/>
        <v>43845</v>
      </c>
    </row>
    <row r="407" spans="1:5" x14ac:dyDescent="0.3">
      <c r="A407" s="9" t="s">
        <v>69</v>
      </c>
      <c r="B407" t="s">
        <v>74</v>
      </c>
      <c r="C407">
        <v>5</v>
      </c>
      <c r="D407">
        <v>2018</v>
      </c>
      <c r="E407" s="2">
        <f t="shared" si="6"/>
        <v>43195</v>
      </c>
    </row>
    <row r="408" spans="1:5" x14ac:dyDescent="0.3">
      <c r="A408" s="8" t="s">
        <v>69</v>
      </c>
      <c r="B408" t="s">
        <v>74</v>
      </c>
      <c r="C408">
        <v>5</v>
      </c>
      <c r="D408">
        <v>2018</v>
      </c>
      <c r="E408" s="2">
        <f t="shared" si="6"/>
        <v>43195</v>
      </c>
    </row>
    <row r="409" spans="1:5" x14ac:dyDescent="0.3">
      <c r="A409" s="9" t="s">
        <v>75</v>
      </c>
      <c r="B409">
        <v>2019</v>
      </c>
      <c r="C409">
        <v>12</v>
      </c>
      <c r="D409">
        <v>1</v>
      </c>
      <c r="E409" s="2">
        <f t="shared" si="6"/>
        <v>43800</v>
      </c>
    </row>
    <row r="410" spans="1:5" x14ac:dyDescent="0.3">
      <c r="A410" s="8" t="s">
        <v>70</v>
      </c>
      <c r="B410">
        <v>20</v>
      </c>
      <c r="C410">
        <v>2</v>
      </c>
      <c r="D410">
        <v>2020</v>
      </c>
      <c r="E410" s="2">
        <f t="shared" si="6"/>
        <v>43881</v>
      </c>
    </row>
    <row r="411" spans="1:5" x14ac:dyDescent="0.3">
      <c r="A411" s="9" t="s">
        <v>71</v>
      </c>
      <c r="B411">
        <v>3</v>
      </c>
      <c r="C411">
        <v>25</v>
      </c>
      <c r="D411">
        <v>2019</v>
      </c>
      <c r="E411" s="2">
        <f t="shared" si="6"/>
        <v>43549</v>
      </c>
    </row>
    <row r="412" spans="1:5" x14ac:dyDescent="0.3">
      <c r="A412" s="8" t="s">
        <v>71</v>
      </c>
      <c r="B412">
        <v>3</v>
      </c>
      <c r="C412">
        <v>25</v>
      </c>
      <c r="D412">
        <v>2019</v>
      </c>
      <c r="E412" s="2">
        <f t="shared" si="6"/>
        <v>43549</v>
      </c>
    </row>
    <row r="413" spans="1:5" x14ac:dyDescent="0.3">
      <c r="A413" s="9" t="s">
        <v>71</v>
      </c>
      <c r="B413">
        <v>3</v>
      </c>
      <c r="C413">
        <v>25</v>
      </c>
      <c r="D413">
        <v>2019</v>
      </c>
      <c r="E413" s="2">
        <f t="shared" si="6"/>
        <v>43549</v>
      </c>
    </row>
    <row r="414" spans="1:5" x14ac:dyDescent="0.3">
      <c r="A414" s="8" t="s">
        <v>55</v>
      </c>
      <c r="B414">
        <v>1</v>
      </c>
      <c r="C414">
        <v>15</v>
      </c>
      <c r="D414">
        <v>2020</v>
      </c>
      <c r="E414" s="2">
        <f t="shared" si="6"/>
        <v>43845</v>
      </c>
    </row>
    <row r="415" spans="1:5" x14ac:dyDescent="0.3">
      <c r="A415" s="9" t="s">
        <v>69</v>
      </c>
      <c r="B415" t="s">
        <v>74</v>
      </c>
      <c r="C415">
        <v>5</v>
      </c>
      <c r="D415">
        <v>2018</v>
      </c>
      <c r="E415" s="2">
        <f t="shared" si="6"/>
        <v>43195</v>
      </c>
    </row>
    <row r="416" spans="1:5" x14ac:dyDescent="0.3">
      <c r="A416" s="8" t="s">
        <v>70</v>
      </c>
      <c r="B416">
        <v>20</v>
      </c>
      <c r="C416">
        <v>2</v>
      </c>
      <c r="D416">
        <v>2020</v>
      </c>
      <c r="E416" s="2">
        <f t="shared" si="6"/>
        <v>43881</v>
      </c>
    </row>
    <row r="417" spans="1:5" x14ac:dyDescent="0.3">
      <c r="A417" s="9" t="s">
        <v>55</v>
      </c>
      <c r="B417">
        <v>1</v>
      </c>
      <c r="C417">
        <v>15</v>
      </c>
      <c r="D417">
        <v>2020</v>
      </c>
      <c r="E417" s="2">
        <f t="shared" si="6"/>
        <v>43845</v>
      </c>
    </row>
    <row r="418" spans="1:5" x14ac:dyDescent="0.3">
      <c r="A418" s="8" t="s">
        <v>69</v>
      </c>
      <c r="B418" t="s">
        <v>74</v>
      </c>
      <c r="C418">
        <v>5</v>
      </c>
      <c r="D418">
        <v>2018</v>
      </c>
      <c r="E418" s="2">
        <f t="shared" si="6"/>
        <v>43195</v>
      </c>
    </row>
    <row r="419" spans="1:5" x14ac:dyDescent="0.3">
      <c r="A419" s="9" t="s">
        <v>69</v>
      </c>
      <c r="B419" t="s">
        <v>74</v>
      </c>
      <c r="C419">
        <v>5</v>
      </c>
      <c r="D419">
        <v>2018</v>
      </c>
      <c r="E419" s="2">
        <f t="shared" si="6"/>
        <v>43195</v>
      </c>
    </row>
    <row r="420" spans="1:5" x14ac:dyDescent="0.3">
      <c r="A420" s="8" t="s">
        <v>70</v>
      </c>
      <c r="B420">
        <v>20</v>
      </c>
      <c r="C420">
        <v>2</v>
      </c>
      <c r="D420">
        <v>2020</v>
      </c>
      <c r="E420" s="2">
        <f t="shared" si="6"/>
        <v>43881</v>
      </c>
    </row>
    <row r="421" spans="1:5" x14ac:dyDescent="0.3">
      <c r="A421" s="9" t="s">
        <v>70</v>
      </c>
      <c r="B421">
        <v>20</v>
      </c>
      <c r="C421">
        <v>2</v>
      </c>
      <c r="D421">
        <v>2020</v>
      </c>
      <c r="E421" s="2">
        <f t="shared" si="6"/>
        <v>43881</v>
      </c>
    </row>
    <row r="422" spans="1:5" x14ac:dyDescent="0.3">
      <c r="A422" s="8" t="s">
        <v>70</v>
      </c>
      <c r="B422">
        <v>20</v>
      </c>
      <c r="C422">
        <v>2</v>
      </c>
      <c r="D422">
        <v>2020</v>
      </c>
      <c r="E422" s="2">
        <f t="shared" si="6"/>
        <v>43881</v>
      </c>
    </row>
    <row r="423" spans="1:5" x14ac:dyDescent="0.3">
      <c r="A423" s="9" t="s">
        <v>55</v>
      </c>
      <c r="B423">
        <v>1</v>
      </c>
      <c r="C423">
        <v>15</v>
      </c>
      <c r="D423">
        <v>2020</v>
      </c>
      <c r="E423" s="2">
        <f t="shared" si="6"/>
        <v>43845</v>
      </c>
    </row>
    <row r="424" spans="1:5" x14ac:dyDescent="0.3">
      <c r="A424" s="8" t="s">
        <v>75</v>
      </c>
      <c r="B424">
        <v>2019</v>
      </c>
      <c r="C424">
        <v>12</v>
      </c>
      <c r="D424">
        <v>1</v>
      </c>
      <c r="E424" s="2">
        <f t="shared" si="6"/>
        <v>43800</v>
      </c>
    </row>
    <row r="425" spans="1:5" x14ac:dyDescent="0.3">
      <c r="A425" s="9" t="s">
        <v>70</v>
      </c>
      <c r="B425">
        <v>20</v>
      </c>
      <c r="C425">
        <v>2</v>
      </c>
      <c r="D425">
        <v>2020</v>
      </c>
      <c r="E425" s="2">
        <f t="shared" si="6"/>
        <v>43881</v>
      </c>
    </row>
    <row r="426" spans="1:5" x14ac:dyDescent="0.3">
      <c r="A426" s="8" t="s">
        <v>75</v>
      </c>
      <c r="B426">
        <v>2019</v>
      </c>
      <c r="C426">
        <v>12</v>
      </c>
      <c r="D426">
        <v>1</v>
      </c>
      <c r="E426" s="2">
        <f t="shared" si="6"/>
        <v>43800</v>
      </c>
    </row>
    <row r="427" spans="1:5" x14ac:dyDescent="0.3">
      <c r="A427" s="9" t="s">
        <v>55</v>
      </c>
      <c r="B427">
        <v>1</v>
      </c>
      <c r="C427">
        <v>15</v>
      </c>
      <c r="D427">
        <v>2020</v>
      </c>
      <c r="E427" s="2">
        <f t="shared" si="6"/>
        <v>43845</v>
      </c>
    </row>
    <row r="428" spans="1:5" x14ac:dyDescent="0.3">
      <c r="A428" s="8" t="s">
        <v>75</v>
      </c>
      <c r="B428">
        <v>2019</v>
      </c>
      <c r="C428">
        <v>12</v>
      </c>
      <c r="D428">
        <v>1</v>
      </c>
      <c r="E428" s="2">
        <f t="shared" si="6"/>
        <v>43800</v>
      </c>
    </row>
    <row r="429" spans="1:5" x14ac:dyDescent="0.3">
      <c r="A429" s="9" t="s">
        <v>71</v>
      </c>
      <c r="B429">
        <v>3</v>
      </c>
      <c r="C429">
        <v>25</v>
      </c>
      <c r="D429">
        <v>2019</v>
      </c>
      <c r="E429" s="2">
        <f t="shared" si="6"/>
        <v>43549</v>
      </c>
    </row>
    <row r="430" spans="1:5" x14ac:dyDescent="0.3">
      <c r="A430" s="8" t="s">
        <v>75</v>
      </c>
      <c r="B430">
        <v>2019</v>
      </c>
      <c r="C430">
        <v>12</v>
      </c>
      <c r="D430">
        <v>1</v>
      </c>
      <c r="E430" s="2">
        <f t="shared" si="6"/>
        <v>43800</v>
      </c>
    </row>
    <row r="431" spans="1:5" x14ac:dyDescent="0.3">
      <c r="A431" s="9" t="s">
        <v>70</v>
      </c>
      <c r="B431">
        <v>20</v>
      </c>
      <c r="C431">
        <v>2</v>
      </c>
      <c r="D431">
        <v>2020</v>
      </c>
      <c r="E431" s="2">
        <f t="shared" si="6"/>
        <v>43881</v>
      </c>
    </row>
    <row r="432" spans="1:5" x14ac:dyDescent="0.3">
      <c r="A432" s="8" t="s">
        <v>55</v>
      </c>
      <c r="B432">
        <v>1</v>
      </c>
      <c r="C432">
        <v>15</v>
      </c>
      <c r="D432">
        <v>2020</v>
      </c>
      <c r="E432" s="2">
        <f t="shared" si="6"/>
        <v>43845</v>
      </c>
    </row>
    <row r="433" spans="1:5" x14ac:dyDescent="0.3">
      <c r="A433" s="9" t="s">
        <v>70</v>
      </c>
      <c r="B433">
        <v>20</v>
      </c>
      <c r="C433">
        <v>2</v>
      </c>
      <c r="D433">
        <v>2020</v>
      </c>
      <c r="E433" s="2">
        <f t="shared" si="6"/>
        <v>43881</v>
      </c>
    </row>
    <row r="434" spans="1:5" x14ac:dyDescent="0.3">
      <c r="A434" s="8" t="s">
        <v>71</v>
      </c>
      <c r="B434">
        <v>3</v>
      </c>
      <c r="C434">
        <v>25</v>
      </c>
      <c r="D434">
        <v>2019</v>
      </c>
      <c r="E434" s="2">
        <f t="shared" si="6"/>
        <v>43549</v>
      </c>
    </row>
    <row r="435" spans="1:5" x14ac:dyDescent="0.3">
      <c r="A435" s="9" t="s">
        <v>70</v>
      </c>
      <c r="B435">
        <v>20</v>
      </c>
      <c r="C435">
        <v>2</v>
      </c>
      <c r="D435">
        <v>2020</v>
      </c>
      <c r="E435" s="2">
        <f t="shared" si="6"/>
        <v>43881</v>
      </c>
    </row>
    <row r="436" spans="1:5" x14ac:dyDescent="0.3">
      <c r="A436" s="8" t="s">
        <v>70</v>
      </c>
      <c r="B436">
        <v>20</v>
      </c>
      <c r="C436">
        <v>2</v>
      </c>
      <c r="D436">
        <v>2020</v>
      </c>
      <c r="E436" s="2">
        <f t="shared" si="6"/>
        <v>43881</v>
      </c>
    </row>
    <row r="437" spans="1:5" x14ac:dyDescent="0.3">
      <c r="A437" s="9" t="s">
        <v>70</v>
      </c>
      <c r="B437">
        <v>20</v>
      </c>
      <c r="C437">
        <v>2</v>
      </c>
      <c r="D437">
        <v>2020</v>
      </c>
      <c r="E437" s="2">
        <f t="shared" si="6"/>
        <v>43881</v>
      </c>
    </row>
    <row r="438" spans="1:5" x14ac:dyDescent="0.3">
      <c r="A438" s="8" t="s">
        <v>69</v>
      </c>
      <c r="B438" t="s">
        <v>74</v>
      </c>
      <c r="C438">
        <v>5</v>
      </c>
      <c r="D438">
        <v>2018</v>
      </c>
      <c r="E438" s="2">
        <f t="shared" si="6"/>
        <v>43195</v>
      </c>
    </row>
    <row r="439" spans="1:5" x14ac:dyDescent="0.3">
      <c r="A439" s="9" t="s">
        <v>71</v>
      </c>
      <c r="B439">
        <v>3</v>
      </c>
      <c r="C439">
        <v>25</v>
      </c>
      <c r="D439">
        <v>2019</v>
      </c>
      <c r="E439" s="2">
        <f t="shared" si="6"/>
        <v>43549</v>
      </c>
    </row>
    <row r="440" spans="1:5" x14ac:dyDescent="0.3">
      <c r="A440" s="8" t="s">
        <v>70</v>
      </c>
      <c r="B440">
        <v>20</v>
      </c>
      <c r="C440">
        <v>2</v>
      </c>
      <c r="D440">
        <v>2020</v>
      </c>
      <c r="E440" s="2">
        <f t="shared" si="6"/>
        <v>43881</v>
      </c>
    </row>
    <row r="441" spans="1:5" x14ac:dyDescent="0.3">
      <c r="A441" s="9" t="s">
        <v>70</v>
      </c>
      <c r="B441">
        <v>20</v>
      </c>
      <c r="C441">
        <v>2</v>
      </c>
      <c r="D441">
        <v>2020</v>
      </c>
      <c r="E441" s="2">
        <f t="shared" si="6"/>
        <v>43881</v>
      </c>
    </row>
    <row r="442" spans="1:5" x14ac:dyDescent="0.3">
      <c r="A442" s="8" t="s">
        <v>70</v>
      </c>
      <c r="B442">
        <v>20</v>
      </c>
      <c r="C442">
        <v>2</v>
      </c>
      <c r="D442">
        <v>2020</v>
      </c>
      <c r="E442" s="2">
        <f t="shared" si="6"/>
        <v>43881</v>
      </c>
    </row>
    <row r="443" spans="1:5" x14ac:dyDescent="0.3">
      <c r="A443" s="9" t="s">
        <v>55</v>
      </c>
      <c r="B443">
        <v>1</v>
      </c>
      <c r="C443">
        <v>15</v>
      </c>
      <c r="D443">
        <v>2020</v>
      </c>
      <c r="E443" s="2">
        <f t="shared" si="6"/>
        <v>43845</v>
      </c>
    </row>
    <row r="444" spans="1:5" x14ac:dyDescent="0.3">
      <c r="A444" s="8" t="s">
        <v>69</v>
      </c>
      <c r="B444" t="s">
        <v>74</v>
      </c>
      <c r="C444">
        <v>5</v>
      </c>
      <c r="D444">
        <v>2018</v>
      </c>
      <c r="E444" s="2">
        <f t="shared" si="6"/>
        <v>43195</v>
      </c>
    </row>
    <row r="445" spans="1:5" x14ac:dyDescent="0.3">
      <c r="A445" s="9" t="s">
        <v>55</v>
      </c>
      <c r="B445">
        <v>1</v>
      </c>
      <c r="C445">
        <v>15</v>
      </c>
      <c r="D445">
        <v>2020</v>
      </c>
      <c r="E445" s="2">
        <f t="shared" si="6"/>
        <v>43845</v>
      </c>
    </row>
    <row r="446" spans="1:5" x14ac:dyDescent="0.3">
      <c r="A446" s="8" t="s">
        <v>69</v>
      </c>
      <c r="B446" t="s">
        <v>74</v>
      </c>
      <c r="C446">
        <v>5</v>
      </c>
      <c r="D446">
        <v>2018</v>
      </c>
      <c r="E446" s="2">
        <f t="shared" si="6"/>
        <v>43195</v>
      </c>
    </row>
    <row r="447" spans="1:5" x14ac:dyDescent="0.3">
      <c r="A447" s="9" t="s">
        <v>70</v>
      </c>
      <c r="B447">
        <v>20</v>
      </c>
      <c r="C447">
        <v>2</v>
      </c>
      <c r="D447">
        <v>2020</v>
      </c>
      <c r="E447" s="2">
        <f t="shared" si="6"/>
        <v>43881</v>
      </c>
    </row>
    <row r="448" spans="1:5" x14ac:dyDescent="0.3">
      <c r="A448" s="8" t="s">
        <v>71</v>
      </c>
      <c r="B448">
        <v>3</v>
      </c>
      <c r="C448">
        <v>25</v>
      </c>
      <c r="D448">
        <v>2019</v>
      </c>
      <c r="E448" s="2">
        <f t="shared" si="6"/>
        <v>43549</v>
      </c>
    </row>
    <row r="449" spans="1:5" x14ac:dyDescent="0.3">
      <c r="A449" s="9" t="s">
        <v>75</v>
      </c>
      <c r="B449">
        <v>2019</v>
      </c>
      <c r="C449">
        <v>12</v>
      </c>
      <c r="D449">
        <v>1</v>
      </c>
      <c r="E449" s="2">
        <f t="shared" si="6"/>
        <v>43800</v>
      </c>
    </row>
    <row r="450" spans="1:5" x14ac:dyDescent="0.3">
      <c r="A450" s="8" t="s">
        <v>75</v>
      </c>
      <c r="B450">
        <v>2019</v>
      </c>
      <c r="C450">
        <v>12</v>
      </c>
      <c r="D450">
        <v>1</v>
      </c>
      <c r="E450" s="2">
        <f t="shared" si="6"/>
        <v>43800</v>
      </c>
    </row>
    <row r="451" spans="1:5" x14ac:dyDescent="0.3">
      <c r="A451" s="9" t="s">
        <v>70</v>
      </c>
      <c r="B451">
        <v>20</v>
      </c>
      <c r="C451">
        <v>2</v>
      </c>
      <c r="D451">
        <v>2020</v>
      </c>
      <c r="E451" s="2">
        <f t="shared" ref="E451:E514" si="7">DATE(
 IF(ISNUMBER(--B451),
     IF(LEN(B451)=4, B451, D451),
     D451
 ),
 IF(ISNUMBER(--B451),
     IF(LEN(B451)=4, C451, IF(B451&gt;12, C451, B451)),
     MONTH(DATEVALUE(B451 &amp; " 1"))
 ),
 IF(ISNUMBER(--B451),
     IF(LEN(B451)=4, D451, IF(B451&gt;12, B451, C451)),
     C451
 )
)</f>
        <v>43881</v>
      </c>
    </row>
    <row r="452" spans="1:5" x14ac:dyDescent="0.3">
      <c r="A452" s="8" t="s">
        <v>55</v>
      </c>
      <c r="B452">
        <v>1</v>
      </c>
      <c r="C452">
        <v>15</v>
      </c>
      <c r="D452">
        <v>2020</v>
      </c>
      <c r="E452" s="2">
        <f t="shared" si="7"/>
        <v>43845</v>
      </c>
    </row>
    <row r="453" spans="1:5" x14ac:dyDescent="0.3">
      <c r="A453" s="9" t="s">
        <v>71</v>
      </c>
      <c r="B453">
        <v>3</v>
      </c>
      <c r="C453">
        <v>25</v>
      </c>
      <c r="D453">
        <v>2019</v>
      </c>
      <c r="E453" s="2">
        <f t="shared" si="7"/>
        <v>43549</v>
      </c>
    </row>
    <row r="454" spans="1:5" x14ac:dyDescent="0.3">
      <c r="A454" s="8" t="s">
        <v>69</v>
      </c>
      <c r="B454" t="s">
        <v>74</v>
      </c>
      <c r="C454">
        <v>5</v>
      </c>
      <c r="D454">
        <v>2018</v>
      </c>
      <c r="E454" s="2">
        <f t="shared" si="7"/>
        <v>43195</v>
      </c>
    </row>
    <row r="455" spans="1:5" x14ac:dyDescent="0.3">
      <c r="A455" s="9" t="s">
        <v>70</v>
      </c>
      <c r="B455">
        <v>20</v>
      </c>
      <c r="C455">
        <v>2</v>
      </c>
      <c r="D455">
        <v>2020</v>
      </c>
      <c r="E455" s="2">
        <f t="shared" si="7"/>
        <v>43881</v>
      </c>
    </row>
    <row r="456" spans="1:5" x14ac:dyDescent="0.3">
      <c r="A456" s="8" t="s">
        <v>71</v>
      </c>
      <c r="B456">
        <v>3</v>
      </c>
      <c r="C456">
        <v>25</v>
      </c>
      <c r="D456">
        <v>2019</v>
      </c>
      <c r="E456" s="2">
        <f t="shared" si="7"/>
        <v>43549</v>
      </c>
    </row>
    <row r="457" spans="1:5" x14ac:dyDescent="0.3">
      <c r="A457" s="9" t="s">
        <v>71</v>
      </c>
      <c r="B457">
        <v>3</v>
      </c>
      <c r="C457">
        <v>25</v>
      </c>
      <c r="D457">
        <v>2019</v>
      </c>
      <c r="E457" s="2">
        <f t="shared" si="7"/>
        <v>43549</v>
      </c>
    </row>
    <row r="458" spans="1:5" x14ac:dyDescent="0.3">
      <c r="A458" s="8" t="s">
        <v>69</v>
      </c>
      <c r="B458" t="s">
        <v>74</v>
      </c>
      <c r="C458">
        <v>5</v>
      </c>
      <c r="D458">
        <v>2018</v>
      </c>
      <c r="E458" s="2">
        <f t="shared" si="7"/>
        <v>43195</v>
      </c>
    </row>
    <row r="459" spans="1:5" x14ac:dyDescent="0.3">
      <c r="A459" s="9" t="s">
        <v>71</v>
      </c>
      <c r="B459">
        <v>3</v>
      </c>
      <c r="C459">
        <v>25</v>
      </c>
      <c r="D459">
        <v>2019</v>
      </c>
      <c r="E459" s="2">
        <f t="shared" si="7"/>
        <v>43549</v>
      </c>
    </row>
    <row r="460" spans="1:5" x14ac:dyDescent="0.3">
      <c r="A460" s="8" t="s">
        <v>55</v>
      </c>
      <c r="B460">
        <v>1</v>
      </c>
      <c r="C460">
        <v>15</v>
      </c>
      <c r="D460">
        <v>2020</v>
      </c>
      <c r="E460" s="2">
        <f t="shared" si="7"/>
        <v>43845</v>
      </c>
    </row>
    <row r="461" spans="1:5" x14ac:dyDescent="0.3">
      <c r="A461" s="9" t="s">
        <v>55</v>
      </c>
      <c r="B461">
        <v>1</v>
      </c>
      <c r="C461">
        <v>15</v>
      </c>
      <c r="D461">
        <v>2020</v>
      </c>
      <c r="E461" s="2">
        <f t="shared" si="7"/>
        <v>43845</v>
      </c>
    </row>
    <row r="462" spans="1:5" x14ac:dyDescent="0.3">
      <c r="A462" s="8" t="s">
        <v>55</v>
      </c>
      <c r="B462">
        <v>1</v>
      </c>
      <c r="C462">
        <v>15</v>
      </c>
      <c r="D462">
        <v>2020</v>
      </c>
      <c r="E462" s="2">
        <f t="shared" si="7"/>
        <v>43845</v>
      </c>
    </row>
    <row r="463" spans="1:5" x14ac:dyDescent="0.3">
      <c r="A463" s="9" t="s">
        <v>71</v>
      </c>
      <c r="B463">
        <v>3</v>
      </c>
      <c r="C463">
        <v>25</v>
      </c>
      <c r="D463">
        <v>2019</v>
      </c>
      <c r="E463" s="2">
        <f t="shared" si="7"/>
        <v>43549</v>
      </c>
    </row>
    <row r="464" spans="1:5" x14ac:dyDescent="0.3">
      <c r="A464" s="8" t="s">
        <v>55</v>
      </c>
      <c r="B464">
        <v>1</v>
      </c>
      <c r="C464">
        <v>15</v>
      </c>
      <c r="D464">
        <v>2020</v>
      </c>
      <c r="E464" s="2">
        <f t="shared" si="7"/>
        <v>43845</v>
      </c>
    </row>
    <row r="465" spans="1:5" x14ac:dyDescent="0.3">
      <c r="A465" s="9" t="s">
        <v>69</v>
      </c>
      <c r="B465" t="s">
        <v>74</v>
      </c>
      <c r="C465">
        <v>5</v>
      </c>
      <c r="D465">
        <v>2018</v>
      </c>
      <c r="E465" s="2">
        <f t="shared" si="7"/>
        <v>43195</v>
      </c>
    </row>
    <row r="466" spans="1:5" x14ac:dyDescent="0.3">
      <c r="A466" s="8" t="s">
        <v>71</v>
      </c>
      <c r="B466">
        <v>3</v>
      </c>
      <c r="C466">
        <v>25</v>
      </c>
      <c r="D466">
        <v>2019</v>
      </c>
      <c r="E466" s="2">
        <f t="shared" si="7"/>
        <v>43549</v>
      </c>
    </row>
    <row r="467" spans="1:5" x14ac:dyDescent="0.3">
      <c r="A467" s="9" t="s">
        <v>75</v>
      </c>
      <c r="B467">
        <v>2019</v>
      </c>
      <c r="C467">
        <v>12</v>
      </c>
      <c r="D467">
        <v>1</v>
      </c>
      <c r="E467" s="2">
        <f t="shared" si="7"/>
        <v>43800</v>
      </c>
    </row>
    <row r="468" spans="1:5" x14ac:dyDescent="0.3">
      <c r="A468" s="8" t="s">
        <v>71</v>
      </c>
      <c r="B468">
        <v>3</v>
      </c>
      <c r="C468">
        <v>25</v>
      </c>
      <c r="D468">
        <v>2019</v>
      </c>
      <c r="E468" s="2">
        <f t="shared" si="7"/>
        <v>43549</v>
      </c>
    </row>
    <row r="469" spans="1:5" x14ac:dyDescent="0.3">
      <c r="A469" s="9" t="s">
        <v>69</v>
      </c>
      <c r="B469" t="s">
        <v>74</v>
      </c>
      <c r="C469">
        <v>5</v>
      </c>
      <c r="D469">
        <v>2018</v>
      </c>
      <c r="E469" s="2">
        <f t="shared" si="7"/>
        <v>43195</v>
      </c>
    </row>
    <row r="470" spans="1:5" x14ac:dyDescent="0.3">
      <c r="A470" s="8" t="s">
        <v>75</v>
      </c>
      <c r="B470">
        <v>2019</v>
      </c>
      <c r="C470">
        <v>12</v>
      </c>
      <c r="D470">
        <v>1</v>
      </c>
      <c r="E470" s="2">
        <f t="shared" si="7"/>
        <v>43800</v>
      </c>
    </row>
    <row r="471" spans="1:5" x14ac:dyDescent="0.3">
      <c r="A471" s="9" t="s">
        <v>71</v>
      </c>
      <c r="B471">
        <v>3</v>
      </c>
      <c r="C471">
        <v>25</v>
      </c>
      <c r="D471">
        <v>2019</v>
      </c>
      <c r="E471" s="2">
        <f t="shared" si="7"/>
        <v>43549</v>
      </c>
    </row>
    <row r="472" spans="1:5" x14ac:dyDescent="0.3">
      <c r="A472" s="8" t="s">
        <v>55</v>
      </c>
      <c r="B472">
        <v>1</v>
      </c>
      <c r="C472">
        <v>15</v>
      </c>
      <c r="D472">
        <v>2020</v>
      </c>
      <c r="E472" s="2">
        <f t="shared" si="7"/>
        <v>43845</v>
      </c>
    </row>
    <row r="473" spans="1:5" x14ac:dyDescent="0.3">
      <c r="A473" s="9" t="s">
        <v>70</v>
      </c>
      <c r="B473">
        <v>20</v>
      </c>
      <c r="C473">
        <v>2</v>
      </c>
      <c r="D473">
        <v>2020</v>
      </c>
      <c r="E473" s="2">
        <f t="shared" si="7"/>
        <v>43881</v>
      </c>
    </row>
    <row r="474" spans="1:5" x14ac:dyDescent="0.3">
      <c r="A474" s="8" t="s">
        <v>70</v>
      </c>
      <c r="B474">
        <v>20</v>
      </c>
      <c r="C474">
        <v>2</v>
      </c>
      <c r="D474">
        <v>2020</v>
      </c>
      <c r="E474" s="2">
        <f t="shared" si="7"/>
        <v>43881</v>
      </c>
    </row>
    <row r="475" spans="1:5" x14ac:dyDescent="0.3">
      <c r="A475" s="9" t="s">
        <v>55</v>
      </c>
      <c r="B475">
        <v>1</v>
      </c>
      <c r="C475">
        <v>15</v>
      </c>
      <c r="D475">
        <v>2020</v>
      </c>
      <c r="E475" s="2">
        <f t="shared" si="7"/>
        <v>43845</v>
      </c>
    </row>
    <row r="476" spans="1:5" x14ac:dyDescent="0.3">
      <c r="A476" s="8" t="s">
        <v>70</v>
      </c>
      <c r="B476">
        <v>20</v>
      </c>
      <c r="C476">
        <v>2</v>
      </c>
      <c r="D476">
        <v>2020</v>
      </c>
      <c r="E476" s="2">
        <f t="shared" si="7"/>
        <v>43881</v>
      </c>
    </row>
    <row r="477" spans="1:5" x14ac:dyDescent="0.3">
      <c r="A477" s="9" t="s">
        <v>70</v>
      </c>
      <c r="B477">
        <v>20</v>
      </c>
      <c r="C477">
        <v>2</v>
      </c>
      <c r="D477">
        <v>2020</v>
      </c>
      <c r="E477" s="2">
        <f t="shared" si="7"/>
        <v>43881</v>
      </c>
    </row>
    <row r="478" spans="1:5" x14ac:dyDescent="0.3">
      <c r="A478" s="8" t="s">
        <v>55</v>
      </c>
      <c r="B478">
        <v>1</v>
      </c>
      <c r="C478">
        <v>15</v>
      </c>
      <c r="D478">
        <v>2020</v>
      </c>
      <c r="E478" s="2">
        <f t="shared" si="7"/>
        <v>43845</v>
      </c>
    </row>
    <row r="479" spans="1:5" x14ac:dyDescent="0.3">
      <c r="A479" s="9" t="s">
        <v>55</v>
      </c>
      <c r="B479">
        <v>1</v>
      </c>
      <c r="C479">
        <v>15</v>
      </c>
      <c r="D479">
        <v>2020</v>
      </c>
      <c r="E479" s="2">
        <f t="shared" si="7"/>
        <v>43845</v>
      </c>
    </row>
    <row r="480" spans="1:5" x14ac:dyDescent="0.3">
      <c r="A480" s="8" t="s">
        <v>71</v>
      </c>
      <c r="B480">
        <v>3</v>
      </c>
      <c r="C480">
        <v>25</v>
      </c>
      <c r="D480">
        <v>2019</v>
      </c>
      <c r="E480" s="2">
        <f t="shared" si="7"/>
        <v>43549</v>
      </c>
    </row>
    <row r="481" spans="1:5" x14ac:dyDescent="0.3">
      <c r="A481" s="9" t="s">
        <v>71</v>
      </c>
      <c r="B481">
        <v>3</v>
      </c>
      <c r="C481">
        <v>25</v>
      </c>
      <c r="D481">
        <v>2019</v>
      </c>
      <c r="E481" s="2">
        <f t="shared" si="7"/>
        <v>43549</v>
      </c>
    </row>
    <row r="482" spans="1:5" x14ac:dyDescent="0.3">
      <c r="A482" s="8" t="s">
        <v>55</v>
      </c>
      <c r="B482">
        <v>1</v>
      </c>
      <c r="C482">
        <v>15</v>
      </c>
      <c r="D482">
        <v>2020</v>
      </c>
      <c r="E482" s="2">
        <f t="shared" si="7"/>
        <v>43845</v>
      </c>
    </row>
    <row r="483" spans="1:5" x14ac:dyDescent="0.3">
      <c r="A483" s="9" t="s">
        <v>69</v>
      </c>
      <c r="B483" t="s">
        <v>74</v>
      </c>
      <c r="C483">
        <v>5</v>
      </c>
      <c r="D483">
        <v>2018</v>
      </c>
      <c r="E483" s="2">
        <f t="shared" si="7"/>
        <v>43195</v>
      </c>
    </row>
    <row r="484" spans="1:5" x14ac:dyDescent="0.3">
      <c r="A484" s="8" t="s">
        <v>70</v>
      </c>
      <c r="B484">
        <v>20</v>
      </c>
      <c r="C484">
        <v>2</v>
      </c>
      <c r="D484">
        <v>2020</v>
      </c>
      <c r="E484" s="2">
        <f t="shared" si="7"/>
        <v>43881</v>
      </c>
    </row>
    <row r="485" spans="1:5" x14ac:dyDescent="0.3">
      <c r="A485" s="9" t="s">
        <v>71</v>
      </c>
      <c r="B485">
        <v>3</v>
      </c>
      <c r="C485">
        <v>25</v>
      </c>
      <c r="D485">
        <v>2019</v>
      </c>
      <c r="E485" s="2">
        <f t="shared" si="7"/>
        <v>43549</v>
      </c>
    </row>
    <row r="486" spans="1:5" x14ac:dyDescent="0.3">
      <c r="A486" s="8" t="s">
        <v>70</v>
      </c>
      <c r="B486">
        <v>20</v>
      </c>
      <c r="C486">
        <v>2</v>
      </c>
      <c r="D486">
        <v>2020</v>
      </c>
      <c r="E486" s="2">
        <f t="shared" si="7"/>
        <v>43881</v>
      </c>
    </row>
    <row r="487" spans="1:5" x14ac:dyDescent="0.3">
      <c r="A487" s="9" t="s">
        <v>75</v>
      </c>
      <c r="B487">
        <v>2019</v>
      </c>
      <c r="C487">
        <v>12</v>
      </c>
      <c r="D487">
        <v>1</v>
      </c>
      <c r="E487" s="2">
        <f t="shared" si="7"/>
        <v>43800</v>
      </c>
    </row>
    <row r="488" spans="1:5" x14ac:dyDescent="0.3">
      <c r="A488" s="8" t="s">
        <v>55</v>
      </c>
      <c r="B488">
        <v>1</v>
      </c>
      <c r="C488">
        <v>15</v>
      </c>
      <c r="D488">
        <v>2020</v>
      </c>
      <c r="E488" s="2">
        <f t="shared" si="7"/>
        <v>43845</v>
      </c>
    </row>
    <row r="489" spans="1:5" x14ac:dyDescent="0.3">
      <c r="A489" s="9" t="s">
        <v>69</v>
      </c>
      <c r="B489" t="s">
        <v>74</v>
      </c>
      <c r="C489">
        <v>5</v>
      </c>
      <c r="D489">
        <v>2018</v>
      </c>
      <c r="E489" s="2">
        <f t="shared" si="7"/>
        <v>43195</v>
      </c>
    </row>
    <row r="490" spans="1:5" x14ac:dyDescent="0.3">
      <c r="A490" s="8" t="s">
        <v>75</v>
      </c>
      <c r="B490">
        <v>2019</v>
      </c>
      <c r="C490">
        <v>12</v>
      </c>
      <c r="D490">
        <v>1</v>
      </c>
      <c r="E490" s="2">
        <f t="shared" si="7"/>
        <v>43800</v>
      </c>
    </row>
    <row r="491" spans="1:5" x14ac:dyDescent="0.3">
      <c r="A491" s="9" t="s">
        <v>75</v>
      </c>
      <c r="B491">
        <v>2019</v>
      </c>
      <c r="C491">
        <v>12</v>
      </c>
      <c r="D491">
        <v>1</v>
      </c>
      <c r="E491" s="2">
        <f t="shared" si="7"/>
        <v>43800</v>
      </c>
    </row>
    <row r="492" spans="1:5" x14ac:dyDescent="0.3">
      <c r="A492" s="8" t="s">
        <v>75</v>
      </c>
      <c r="B492">
        <v>2019</v>
      </c>
      <c r="C492">
        <v>12</v>
      </c>
      <c r="D492">
        <v>1</v>
      </c>
      <c r="E492" s="2">
        <f t="shared" si="7"/>
        <v>43800</v>
      </c>
    </row>
    <row r="493" spans="1:5" x14ac:dyDescent="0.3">
      <c r="A493" s="9" t="s">
        <v>55</v>
      </c>
      <c r="B493">
        <v>1</v>
      </c>
      <c r="C493">
        <v>15</v>
      </c>
      <c r="D493">
        <v>2020</v>
      </c>
      <c r="E493" s="2">
        <f t="shared" si="7"/>
        <v>43845</v>
      </c>
    </row>
    <row r="494" spans="1:5" x14ac:dyDescent="0.3">
      <c r="A494" s="8" t="s">
        <v>71</v>
      </c>
      <c r="B494">
        <v>3</v>
      </c>
      <c r="C494">
        <v>25</v>
      </c>
      <c r="D494">
        <v>2019</v>
      </c>
      <c r="E494" s="2">
        <f t="shared" si="7"/>
        <v>43549</v>
      </c>
    </row>
    <row r="495" spans="1:5" x14ac:dyDescent="0.3">
      <c r="A495" s="9" t="s">
        <v>55</v>
      </c>
      <c r="B495">
        <v>1</v>
      </c>
      <c r="C495">
        <v>15</v>
      </c>
      <c r="D495">
        <v>2020</v>
      </c>
      <c r="E495" s="2">
        <f t="shared" si="7"/>
        <v>43845</v>
      </c>
    </row>
    <row r="496" spans="1:5" x14ac:dyDescent="0.3">
      <c r="A496" s="8" t="s">
        <v>71</v>
      </c>
      <c r="B496">
        <v>3</v>
      </c>
      <c r="C496">
        <v>25</v>
      </c>
      <c r="D496">
        <v>2019</v>
      </c>
      <c r="E496" s="2">
        <f t="shared" si="7"/>
        <v>43549</v>
      </c>
    </row>
    <row r="497" spans="1:5" x14ac:dyDescent="0.3">
      <c r="A497" s="9" t="s">
        <v>75</v>
      </c>
      <c r="B497">
        <v>2019</v>
      </c>
      <c r="C497">
        <v>12</v>
      </c>
      <c r="D497">
        <v>1</v>
      </c>
      <c r="E497" s="2">
        <f t="shared" si="7"/>
        <v>43800</v>
      </c>
    </row>
    <row r="498" spans="1:5" x14ac:dyDescent="0.3">
      <c r="A498" s="8" t="s">
        <v>75</v>
      </c>
      <c r="B498">
        <v>2019</v>
      </c>
      <c r="C498">
        <v>12</v>
      </c>
      <c r="D498">
        <v>1</v>
      </c>
      <c r="E498" s="2">
        <f t="shared" si="7"/>
        <v>43800</v>
      </c>
    </row>
    <row r="499" spans="1:5" x14ac:dyDescent="0.3">
      <c r="A499" s="9" t="s">
        <v>69</v>
      </c>
      <c r="B499" t="s">
        <v>74</v>
      </c>
      <c r="C499">
        <v>5</v>
      </c>
      <c r="D499">
        <v>2018</v>
      </c>
      <c r="E499" s="2">
        <f t="shared" si="7"/>
        <v>43195</v>
      </c>
    </row>
    <row r="500" spans="1:5" x14ac:dyDescent="0.3">
      <c r="A500" s="8" t="s">
        <v>71</v>
      </c>
      <c r="B500">
        <v>3</v>
      </c>
      <c r="C500">
        <v>25</v>
      </c>
      <c r="D500">
        <v>2019</v>
      </c>
      <c r="E500" s="2">
        <f t="shared" si="7"/>
        <v>43549</v>
      </c>
    </row>
    <row r="501" spans="1:5" x14ac:dyDescent="0.3">
      <c r="A501" s="9" t="s">
        <v>75</v>
      </c>
      <c r="B501">
        <v>2019</v>
      </c>
      <c r="C501">
        <v>12</v>
      </c>
      <c r="D501">
        <v>1</v>
      </c>
      <c r="E501" s="2">
        <f t="shared" si="7"/>
        <v>43800</v>
      </c>
    </row>
    <row r="502" spans="1:5" x14ac:dyDescent="0.3">
      <c r="A502" s="8" t="s">
        <v>70</v>
      </c>
      <c r="B502">
        <v>20</v>
      </c>
      <c r="C502">
        <v>2</v>
      </c>
      <c r="D502">
        <v>2020</v>
      </c>
      <c r="E502" s="2">
        <f t="shared" si="7"/>
        <v>43881</v>
      </c>
    </row>
    <row r="503" spans="1:5" x14ac:dyDescent="0.3">
      <c r="A503" s="9" t="s">
        <v>69</v>
      </c>
      <c r="B503" t="s">
        <v>74</v>
      </c>
      <c r="C503">
        <v>5</v>
      </c>
      <c r="D503">
        <v>2018</v>
      </c>
      <c r="E503" s="2">
        <f t="shared" si="7"/>
        <v>43195</v>
      </c>
    </row>
    <row r="504" spans="1:5" x14ac:dyDescent="0.3">
      <c r="A504" s="8" t="s">
        <v>55</v>
      </c>
      <c r="B504">
        <v>1</v>
      </c>
      <c r="C504">
        <v>15</v>
      </c>
      <c r="D504">
        <v>2020</v>
      </c>
      <c r="E504" s="2">
        <f t="shared" si="7"/>
        <v>43845</v>
      </c>
    </row>
    <row r="505" spans="1:5" x14ac:dyDescent="0.3">
      <c r="A505" s="9" t="s">
        <v>69</v>
      </c>
      <c r="B505" t="s">
        <v>74</v>
      </c>
      <c r="C505">
        <v>5</v>
      </c>
      <c r="D505">
        <v>2018</v>
      </c>
      <c r="E505" s="2">
        <f t="shared" si="7"/>
        <v>43195</v>
      </c>
    </row>
    <row r="506" spans="1:5" x14ac:dyDescent="0.3">
      <c r="A506" s="8" t="s">
        <v>70</v>
      </c>
      <c r="B506">
        <v>20</v>
      </c>
      <c r="C506">
        <v>2</v>
      </c>
      <c r="D506">
        <v>2020</v>
      </c>
      <c r="E506" s="2">
        <f t="shared" si="7"/>
        <v>43881</v>
      </c>
    </row>
    <row r="507" spans="1:5" x14ac:dyDescent="0.3">
      <c r="A507" s="9" t="s">
        <v>71</v>
      </c>
      <c r="B507">
        <v>3</v>
      </c>
      <c r="C507">
        <v>25</v>
      </c>
      <c r="D507">
        <v>2019</v>
      </c>
      <c r="E507" s="2">
        <f t="shared" si="7"/>
        <v>43549</v>
      </c>
    </row>
    <row r="508" spans="1:5" x14ac:dyDescent="0.3">
      <c r="A508" s="8" t="s">
        <v>55</v>
      </c>
      <c r="B508">
        <v>1</v>
      </c>
      <c r="C508">
        <v>15</v>
      </c>
      <c r="D508">
        <v>2020</v>
      </c>
      <c r="E508" s="2">
        <f t="shared" si="7"/>
        <v>43845</v>
      </c>
    </row>
    <row r="509" spans="1:5" x14ac:dyDescent="0.3">
      <c r="A509" s="9" t="s">
        <v>55</v>
      </c>
      <c r="B509">
        <v>1</v>
      </c>
      <c r="C509">
        <v>15</v>
      </c>
      <c r="D509">
        <v>2020</v>
      </c>
      <c r="E509" s="2">
        <f t="shared" si="7"/>
        <v>43845</v>
      </c>
    </row>
    <row r="510" spans="1:5" x14ac:dyDescent="0.3">
      <c r="A510" s="8" t="s">
        <v>71</v>
      </c>
      <c r="B510">
        <v>3</v>
      </c>
      <c r="C510">
        <v>25</v>
      </c>
      <c r="D510">
        <v>2019</v>
      </c>
      <c r="E510" s="2">
        <f t="shared" si="7"/>
        <v>43549</v>
      </c>
    </row>
    <row r="511" spans="1:5" x14ac:dyDescent="0.3">
      <c r="A511" s="9" t="s">
        <v>69</v>
      </c>
      <c r="B511" t="s">
        <v>74</v>
      </c>
      <c r="C511">
        <v>5</v>
      </c>
      <c r="D511">
        <v>2018</v>
      </c>
      <c r="E511" s="2">
        <f t="shared" si="7"/>
        <v>43195</v>
      </c>
    </row>
    <row r="512" spans="1:5" x14ac:dyDescent="0.3">
      <c r="A512" s="8" t="s">
        <v>75</v>
      </c>
      <c r="B512">
        <v>2019</v>
      </c>
      <c r="C512">
        <v>12</v>
      </c>
      <c r="D512">
        <v>1</v>
      </c>
      <c r="E512" s="2">
        <f t="shared" si="7"/>
        <v>43800</v>
      </c>
    </row>
    <row r="513" spans="1:5" x14ac:dyDescent="0.3">
      <c r="A513" s="9" t="s">
        <v>69</v>
      </c>
      <c r="B513" t="s">
        <v>74</v>
      </c>
      <c r="C513">
        <v>5</v>
      </c>
      <c r="D513">
        <v>2018</v>
      </c>
      <c r="E513" s="2">
        <f t="shared" si="7"/>
        <v>43195</v>
      </c>
    </row>
    <row r="514" spans="1:5" x14ac:dyDescent="0.3">
      <c r="A514" s="8" t="s">
        <v>70</v>
      </c>
      <c r="B514">
        <v>20</v>
      </c>
      <c r="C514">
        <v>2</v>
      </c>
      <c r="D514">
        <v>2020</v>
      </c>
      <c r="E514" s="2">
        <f t="shared" si="7"/>
        <v>43881</v>
      </c>
    </row>
    <row r="515" spans="1:5" x14ac:dyDescent="0.3">
      <c r="A515" s="9" t="s">
        <v>75</v>
      </c>
      <c r="B515">
        <v>2019</v>
      </c>
      <c r="C515">
        <v>12</v>
      </c>
      <c r="D515">
        <v>1</v>
      </c>
      <c r="E515" s="2">
        <f t="shared" ref="E515:E578" si="8">DATE(
 IF(ISNUMBER(--B515),
     IF(LEN(B515)=4, B515, D515),
     D515
 ),
 IF(ISNUMBER(--B515),
     IF(LEN(B515)=4, C515, IF(B515&gt;12, C515, B515)),
     MONTH(DATEVALUE(B515 &amp; " 1"))
 ),
 IF(ISNUMBER(--B515),
     IF(LEN(B515)=4, D515, IF(B515&gt;12, B515, C515)),
     C515
 )
)</f>
        <v>43800</v>
      </c>
    </row>
    <row r="516" spans="1:5" x14ac:dyDescent="0.3">
      <c r="A516" s="8" t="s">
        <v>69</v>
      </c>
      <c r="B516" t="s">
        <v>74</v>
      </c>
      <c r="C516">
        <v>5</v>
      </c>
      <c r="D516">
        <v>2018</v>
      </c>
      <c r="E516" s="2">
        <f t="shared" si="8"/>
        <v>43195</v>
      </c>
    </row>
    <row r="517" spans="1:5" x14ac:dyDescent="0.3">
      <c r="A517" s="9" t="s">
        <v>71</v>
      </c>
      <c r="B517">
        <v>3</v>
      </c>
      <c r="C517">
        <v>25</v>
      </c>
      <c r="D517">
        <v>2019</v>
      </c>
      <c r="E517" s="2">
        <f t="shared" si="8"/>
        <v>43549</v>
      </c>
    </row>
    <row r="518" spans="1:5" x14ac:dyDescent="0.3">
      <c r="A518" s="8" t="s">
        <v>70</v>
      </c>
      <c r="B518">
        <v>20</v>
      </c>
      <c r="C518">
        <v>2</v>
      </c>
      <c r="D518">
        <v>2020</v>
      </c>
      <c r="E518" s="2">
        <f t="shared" si="8"/>
        <v>43881</v>
      </c>
    </row>
    <row r="519" spans="1:5" x14ac:dyDescent="0.3">
      <c r="A519" s="9" t="s">
        <v>70</v>
      </c>
      <c r="B519">
        <v>20</v>
      </c>
      <c r="C519">
        <v>2</v>
      </c>
      <c r="D519">
        <v>2020</v>
      </c>
      <c r="E519" s="2">
        <f t="shared" si="8"/>
        <v>43881</v>
      </c>
    </row>
    <row r="520" spans="1:5" x14ac:dyDescent="0.3">
      <c r="A520" s="8" t="s">
        <v>70</v>
      </c>
      <c r="B520">
        <v>20</v>
      </c>
      <c r="C520">
        <v>2</v>
      </c>
      <c r="D520">
        <v>2020</v>
      </c>
      <c r="E520" s="2">
        <f t="shared" si="8"/>
        <v>43881</v>
      </c>
    </row>
    <row r="521" spans="1:5" x14ac:dyDescent="0.3">
      <c r="A521" s="9" t="s">
        <v>75</v>
      </c>
      <c r="B521">
        <v>2019</v>
      </c>
      <c r="C521">
        <v>12</v>
      </c>
      <c r="D521">
        <v>1</v>
      </c>
      <c r="E521" s="2">
        <f t="shared" si="8"/>
        <v>43800</v>
      </c>
    </row>
    <row r="522" spans="1:5" x14ac:dyDescent="0.3">
      <c r="A522" s="8" t="s">
        <v>55</v>
      </c>
      <c r="B522">
        <v>1</v>
      </c>
      <c r="C522">
        <v>15</v>
      </c>
      <c r="D522">
        <v>2020</v>
      </c>
      <c r="E522" s="2">
        <f t="shared" si="8"/>
        <v>43845</v>
      </c>
    </row>
    <row r="523" spans="1:5" x14ac:dyDescent="0.3">
      <c r="A523" s="9" t="s">
        <v>75</v>
      </c>
      <c r="B523">
        <v>2019</v>
      </c>
      <c r="C523">
        <v>12</v>
      </c>
      <c r="D523">
        <v>1</v>
      </c>
      <c r="E523" s="2">
        <f t="shared" si="8"/>
        <v>43800</v>
      </c>
    </row>
    <row r="524" spans="1:5" x14ac:dyDescent="0.3">
      <c r="A524" s="8" t="s">
        <v>69</v>
      </c>
      <c r="B524" t="s">
        <v>74</v>
      </c>
      <c r="C524">
        <v>5</v>
      </c>
      <c r="D524">
        <v>2018</v>
      </c>
      <c r="E524" s="2">
        <f t="shared" si="8"/>
        <v>43195</v>
      </c>
    </row>
    <row r="525" spans="1:5" x14ac:dyDescent="0.3">
      <c r="A525" s="9" t="s">
        <v>55</v>
      </c>
      <c r="B525">
        <v>1</v>
      </c>
      <c r="C525">
        <v>15</v>
      </c>
      <c r="D525">
        <v>2020</v>
      </c>
      <c r="E525" s="2">
        <f t="shared" si="8"/>
        <v>43845</v>
      </c>
    </row>
    <row r="526" spans="1:5" x14ac:dyDescent="0.3">
      <c r="A526" s="8" t="s">
        <v>69</v>
      </c>
      <c r="B526" t="s">
        <v>74</v>
      </c>
      <c r="C526">
        <v>5</v>
      </c>
      <c r="D526">
        <v>2018</v>
      </c>
      <c r="E526" s="2">
        <f t="shared" si="8"/>
        <v>43195</v>
      </c>
    </row>
    <row r="527" spans="1:5" x14ac:dyDescent="0.3">
      <c r="A527" s="9" t="s">
        <v>55</v>
      </c>
      <c r="B527">
        <v>1</v>
      </c>
      <c r="C527">
        <v>15</v>
      </c>
      <c r="D527">
        <v>2020</v>
      </c>
      <c r="E527" s="2">
        <f t="shared" si="8"/>
        <v>43845</v>
      </c>
    </row>
    <row r="528" spans="1:5" x14ac:dyDescent="0.3">
      <c r="A528" s="8" t="s">
        <v>75</v>
      </c>
      <c r="B528">
        <v>2019</v>
      </c>
      <c r="C528">
        <v>12</v>
      </c>
      <c r="D528">
        <v>1</v>
      </c>
      <c r="E528" s="2">
        <f t="shared" si="8"/>
        <v>43800</v>
      </c>
    </row>
    <row r="529" spans="1:5" x14ac:dyDescent="0.3">
      <c r="A529" s="9" t="s">
        <v>70</v>
      </c>
      <c r="B529">
        <v>20</v>
      </c>
      <c r="C529">
        <v>2</v>
      </c>
      <c r="D529">
        <v>2020</v>
      </c>
      <c r="E529" s="2">
        <f t="shared" si="8"/>
        <v>43881</v>
      </c>
    </row>
    <row r="530" spans="1:5" x14ac:dyDescent="0.3">
      <c r="A530" s="8" t="s">
        <v>71</v>
      </c>
      <c r="B530">
        <v>3</v>
      </c>
      <c r="C530">
        <v>25</v>
      </c>
      <c r="D530">
        <v>2019</v>
      </c>
      <c r="E530" s="2">
        <f t="shared" si="8"/>
        <v>43549</v>
      </c>
    </row>
    <row r="531" spans="1:5" x14ac:dyDescent="0.3">
      <c r="A531" s="9" t="s">
        <v>70</v>
      </c>
      <c r="B531">
        <v>20</v>
      </c>
      <c r="C531">
        <v>2</v>
      </c>
      <c r="D531">
        <v>2020</v>
      </c>
      <c r="E531" s="2">
        <f t="shared" si="8"/>
        <v>43881</v>
      </c>
    </row>
    <row r="532" spans="1:5" x14ac:dyDescent="0.3">
      <c r="A532" s="8" t="s">
        <v>75</v>
      </c>
      <c r="B532">
        <v>2019</v>
      </c>
      <c r="C532">
        <v>12</v>
      </c>
      <c r="D532">
        <v>1</v>
      </c>
      <c r="E532" s="2">
        <f t="shared" si="8"/>
        <v>43800</v>
      </c>
    </row>
    <row r="533" spans="1:5" x14ac:dyDescent="0.3">
      <c r="A533" s="9" t="s">
        <v>55</v>
      </c>
      <c r="B533">
        <v>1</v>
      </c>
      <c r="C533">
        <v>15</v>
      </c>
      <c r="D533">
        <v>2020</v>
      </c>
      <c r="E533" s="2">
        <f t="shared" si="8"/>
        <v>43845</v>
      </c>
    </row>
    <row r="534" spans="1:5" x14ac:dyDescent="0.3">
      <c r="A534" s="8" t="s">
        <v>70</v>
      </c>
      <c r="B534">
        <v>20</v>
      </c>
      <c r="C534">
        <v>2</v>
      </c>
      <c r="D534">
        <v>2020</v>
      </c>
      <c r="E534" s="2">
        <f t="shared" si="8"/>
        <v>43881</v>
      </c>
    </row>
    <row r="535" spans="1:5" x14ac:dyDescent="0.3">
      <c r="A535" s="9" t="s">
        <v>75</v>
      </c>
      <c r="B535">
        <v>2019</v>
      </c>
      <c r="C535">
        <v>12</v>
      </c>
      <c r="D535">
        <v>1</v>
      </c>
      <c r="E535" s="2">
        <f t="shared" si="8"/>
        <v>43800</v>
      </c>
    </row>
    <row r="536" spans="1:5" x14ac:dyDescent="0.3">
      <c r="A536" s="8" t="s">
        <v>69</v>
      </c>
      <c r="B536" t="s">
        <v>74</v>
      </c>
      <c r="C536">
        <v>5</v>
      </c>
      <c r="D536">
        <v>2018</v>
      </c>
      <c r="E536" s="2">
        <f t="shared" si="8"/>
        <v>43195</v>
      </c>
    </row>
    <row r="537" spans="1:5" x14ac:dyDescent="0.3">
      <c r="A537" s="9" t="s">
        <v>71</v>
      </c>
      <c r="B537">
        <v>3</v>
      </c>
      <c r="C537">
        <v>25</v>
      </c>
      <c r="D537">
        <v>2019</v>
      </c>
      <c r="E537" s="2">
        <f t="shared" si="8"/>
        <v>43549</v>
      </c>
    </row>
    <row r="538" spans="1:5" x14ac:dyDescent="0.3">
      <c r="A538" s="8" t="s">
        <v>70</v>
      </c>
      <c r="B538">
        <v>20</v>
      </c>
      <c r="C538">
        <v>2</v>
      </c>
      <c r="D538">
        <v>2020</v>
      </c>
      <c r="E538" s="2">
        <f t="shared" si="8"/>
        <v>43881</v>
      </c>
    </row>
    <row r="539" spans="1:5" x14ac:dyDescent="0.3">
      <c r="A539" s="9" t="s">
        <v>55</v>
      </c>
      <c r="B539">
        <v>1</v>
      </c>
      <c r="C539">
        <v>15</v>
      </c>
      <c r="D539">
        <v>2020</v>
      </c>
      <c r="E539" s="2">
        <f t="shared" si="8"/>
        <v>43845</v>
      </c>
    </row>
    <row r="540" spans="1:5" x14ac:dyDescent="0.3">
      <c r="A540" s="8" t="s">
        <v>69</v>
      </c>
      <c r="B540" t="s">
        <v>74</v>
      </c>
      <c r="C540">
        <v>5</v>
      </c>
      <c r="D540">
        <v>2018</v>
      </c>
      <c r="E540" s="2">
        <f t="shared" si="8"/>
        <v>43195</v>
      </c>
    </row>
    <row r="541" spans="1:5" x14ac:dyDescent="0.3">
      <c r="A541" s="9" t="s">
        <v>75</v>
      </c>
      <c r="B541">
        <v>2019</v>
      </c>
      <c r="C541">
        <v>12</v>
      </c>
      <c r="D541">
        <v>1</v>
      </c>
      <c r="E541" s="2">
        <f t="shared" si="8"/>
        <v>43800</v>
      </c>
    </row>
    <row r="542" spans="1:5" x14ac:dyDescent="0.3">
      <c r="A542" s="8" t="s">
        <v>71</v>
      </c>
      <c r="B542">
        <v>3</v>
      </c>
      <c r="C542">
        <v>25</v>
      </c>
      <c r="D542">
        <v>2019</v>
      </c>
      <c r="E542" s="2">
        <f t="shared" si="8"/>
        <v>43549</v>
      </c>
    </row>
    <row r="543" spans="1:5" x14ac:dyDescent="0.3">
      <c r="A543" s="9" t="s">
        <v>55</v>
      </c>
      <c r="B543">
        <v>1</v>
      </c>
      <c r="C543">
        <v>15</v>
      </c>
      <c r="D543">
        <v>2020</v>
      </c>
      <c r="E543" s="2">
        <f t="shared" si="8"/>
        <v>43845</v>
      </c>
    </row>
    <row r="544" spans="1:5" x14ac:dyDescent="0.3">
      <c r="A544" s="8" t="s">
        <v>75</v>
      </c>
      <c r="B544">
        <v>2019</v>
      </c>
      <c r="C544">
        <v>12</v>
      </c>
      <c r="D544">
        <v>1</v>
      </c>
      <c r="E544" s="2">
        <f t="shared" si="8"/>
        <v>43800</v>
      </c>
    </row>
    <row r="545" spans="1:5" x14ac:dyDescent="0.3">
      <c r="A545" s="9" t="s">
        <v>75</v>
      </c>
      <c r="B545">
        <v>2019</v>
      </c>
      <c r="C545">
        <v>12</v>
      </c>
      <c r="D545">
        <v>1</v>
      </c>
      <c r="E545" s="2">
        <f t="shared" si="8"/>
        <v>43800</v>
      </c>
    </row>
    <row r="546" spans="1:5" x14ac:dyDescent="0.3">
      <c r="A546" s="8" t="s">
        <v>70</v>
      </c>
      <c r="B546">
        <v>20</v>
      </c>
      <c r="C546">
        <v>2</v>
      </c>
      <c r="D546">
        <v>2020</v>
      </c>
      <c r="E546" s="2">
        <f t="shared" si="8"/>
        <v>43881</v>
      </c>
    </row>
    <row r="547" spans="1:5" x14ac:dyDescent="0.3">
      <c r="A547" s="9" t="s">
        <v>70</v>
      </c>
      <c r="B547">
        <v>20</v>
      </c>
      <c r="C547">
        <v>2</v>
      </c>
      <c r="D547">
        <v>2020</v>
      </c>
      <c r="E547" s="2">
        <f t="shared" si="8"/>
        <v>43881</v>
      </c>
    </row>
    <row r="548" spans="1:5" x14ac:dyDescent="0.3">
      <c r="A548" s="8" t="s">
        <v>55</v>
      </c>
      <c r="B548">
        <v>1</v>
      </c>
      <c r="C548">
        <v>15</v>
      </c>
      <c r="D548">
        <v>2020</v>
      </c>
      <c r="E548" s="2">
        <f t="shared" si="8"/>
        <v>43845</v>
      </c>
    </row>
    <row r="549" spans="1:5" x14ac:dyDescent="0.3">
      <c r="A549" s="9" t="s">
        <v>75</v>
      </c>
      <c r="B549">
        <v>2019</v>
      </c>
      <c r="C549">
        <v>12</v>
      </c>
      <c r="D549">
        <v>1</v>
      </c>
      <c r="E549" s="2">
        <f t="shared" si="8"/>
        <v>43800</v>
      </c>
    </row>
    <row r="550" spans="1:5" x14ac:dyDescent="0.3">
      <c r="A550" s="8" t="s">
        <v>70</v>
      </c>
      <c r="B550">
        <v>20</v>
      </c>
      <c r="C550">
        <v>2</v>
      </c>
      <c r="D550">
        <v>2020</v>
      </c>
      <c r="E550" s="2">
        <f t="shared" si="8"/>
        <v>43881</v>
      </c>
    </row>
    <row r="551" spans="1:5" x14ac:dyDescent="0.3">
      <c r="A551" s="9" t="s">
        <v>71</v>
      </c>
      <c r="B551">
        <v>3</v>
      </c>
      <c r="C551">
        <v>25</v>
      </c>
      <c r="D551">
        <v>2019</v>
      </c>
      <c r="E551" s="2">
        <f t="shared" si="8"/>
        <v>43549</v>
      </c>
    </row>
    <row r="552" spans="1:5" x14ac:dyDescent="0.3">
      <c r="A552" s="8" t="s">
        <v>71</v>
      </c>
      <c r="B552">
        <v>3</v>
      </c>
      <c r="C552">
        <v>25</v>
      </c>
      <c r="D552">
        <v>2019</v>
      </c>
      <c r="E552" s="2">
        <f t="shared" si="8"/>
        <v>43549</v>
      </c>
    </row>
    <row r="553" spans="1:5" x14ac:dyDescent="0.3">
      <c r="A553" s="9" t="s">
        <v>75</v>
      </c>
      <c r="B553">
        <v>2019</v>
      </c>
      <c r="C553">
        <v>12</v>
      </c>
      <c r="D553">
        <v>1</v>
      </c>
      <c r="E553" s="2">
        <f t="shared" si="8"/>
        <v>43800</v>
      </c>
    </row>
    <row r="554" spans="1:5" x14ac:dyDescent="0.3">
      <c r="A554" s="8" t="s">
        <v>70</v>
      </c>
      <c r="B554">
        <v>20</v>
      </c>
      <c r="C554">
        <v>2</v>
      </c>
      <c r="D554">
        <v>2020</v>
      </c>
      <c r="E554" s="2">
        <f t="shared" si="8"/>
        <v>43881</v>
      </c>
    </row>
    <row r="555" spans="1:5" x14ac:dyDescent="0.3">
      <c r="A555" s="9" t="s">
        <v>55</v>
      </c>
      <c r="B555">
        <v>1</v>
      </c>
      <c r="C555">
        <v>15</v>
      </c>
      <c r="D555">
        <v>2020</v>
      </c>
      <c r="E555" s="2">
        <f t="shared" si="8"/>
        <v>43845</v>
      </c>
    </row>
    <row r="556" spans="1:5" x14ac:dyDescent="0.3">
      <c r="A556" s="8" t="s">
        <v>55</v>
      </c>
      <c r="B556">
        <v>1</v>
      </c>
      <c r="C556">
        <v>15</v>
      </c>
      <c r="D556">
        <v>2020</v>
      </c>
      <c r="E556" s="2">
        <f t="shared" si="8"/>
        <v>43845</v>
      </c>
    </row>
    <row r="557" spans="1:5" x14ac:dyDescent="0.3">
      <c r="A557" s="9" t="s">
        <v>55</v>
      </c>
      <c r="B557">
        <v>1</v>
      </c>
      <c r="C557">
        <v>15</v>
      </c>
      <c r="D557">
        <v>2020</v>
      </c>
      <c r="E557" s="2">
        <f t="shared" si="8"/>
        <v>43845</v>
      </c>
    </row>
    <row r="558" spans="1:5" x14ac:dyDescent="0.3">
      <c r="A558" s="8" t="s">
        <v>71</v>
      </c>
      <c r="B558">
        <v>3</v>
      </c>
      <c r="C558">
        <v>25</v>
      </c>
      <c r="D558">
        <v>2019</v>
      </c>
      <c r="E558" s="2">
        <f t="shared" si="8"/>
        <v>43549</v>
      </c>
    </row>
    <row r="559" spans="1:5" x14ac:dyDescent="0.3">
      <c r="A559" s="9" t="s">
        <v>70</v>
      </c>
      <c r="B559">
        <v>20</v>
      </c>
      <c r="C559">
        <v>2</v>
      </c>
      <c r="D559">
        <v>2020</v>
      </c>
      <c r="E559" s="2">
        <f t="shared" si="8"/>
        <v>43881</v>
      </c>
    </row>
    <row r="560" spans="1:5" x14ac:dyDescent="0.3">
      <c r="A560" s="8" t="s">
        <v>70</v>
      </c>
      <c r="B560">
        <v>20</v>
      </c>
      <c r="C560">
        <v>2</v>
      </c>
      <c r="D560">
        <v>2020</v>
      </c>
      <c r="E560" s="2">
        <f t="shared" si="8"/>
        <v>43881</v>
      </c>
    </row>
    <row r="561" spans="1:5" x14ac:dyDescent="0.3">
      <c r="A561" s="9" t="s">
        <v>71</v>
      </c>
      <c r="B561">
        <v>3</v>
      </c>
      <c r="C561">
        <v>25</v>
      </c>
      <c r="D561">
        <v>2019</v>
      </c>
      <c r="E561" s="2">
        <f t="shared" si="8"/>
        <v>43549</v>
      </c>
    </row>
    <row r="562" spans="1:5" x14ac:dyDescent="0.3">
      <c r="A562" s="8" t="s">
        <v>55</v>
      </c>
      <c r="B562">
        <v>1</v>
      </c>
      <c r="C562">
        <v>15</v>
      </c>
      <c r="D562">
        <v>2020</v>
      </c>
      <c r="E562" s="2">
        <f t="shared" si="8"/>
        <v>43845</v>
      </c>
    </row>
    <row r="563" spans="1:5" x14ac:dyDescent="0.3">
      <c r="A563" s="9" t="s">
        <v>55</v>
      </c>
      <c r="B563">
        <v>1</v>
      </c>
      <c r="C563">
        <v>15</v>
      </c>
      <c r="D563">
        <v>2020</v>
      </c>
      <c r="E563" s="2">
        <f t="shared" si="8"/>
        <v>43845</v>
      </c>
    </row>
    <row r="564" spans="1:5" x14ac:dyDescent="0.3">
      <c r="A564" s="8" t="s">
        <v>75</v>
      </c>
      <c r="B564">
        <v>2019</v>
      </c>
      <c r="C564">
        <v>12</v>
      </c>
      <c r="D564">
        <v>1</v>
      </c>
      <c r="E564" s="2">
        <f t="shared" si="8"/>
        <v>43800</v>
      </c>
    </row>
    <row r="565" spans="1:5" x14ac:dyDescent="0.3">
      <c r="A565" s="9" t="s">
        <v>69</v>
      </c>
      <c r="B565" t="s">
        <v>74</v>
      </c>
      <c r="C565">
        <v>5</v>
      </c>
      <c r="D565">
        <v>2018</v>
      </c>
      <c r="E565" s="2">
        <f t="shared" si="8"/>
        <v>43195</v>
      </c>
    </row>
    <row r="566" spans="1:5" x14ac:dyDescent="0.3">
      <c r="A566" s="8" t="s">
        <v>70</v>
      </c>
      <c r="B566">
        <v>20</v>
      </c>
      <c r="C566">
        <v>2</v>
      </c>
      <c r="D566">
        <v>2020</v>
      </c>
      <c r="E566" s="2">
        <f t="shared" si="8"/>
        <v>43881</v>
      </c>
    </row>
    <row r="567" spans="1:5" x14ac:dyDescent="0.3">
      <c r="A567" s="9" t="s">
        <v>70</v>
      </c>
      <c r="B567">
        <v>20</v>
      </c>
      <c r="C567">
        <v>2</v>
      </c>
      <c r="D567">
        <v>2020</v>
      </c>
      <c r="E567" s="2">
        <f t="shared" si="8"/>
        <v>43881</v>
      </c>
    </row>
    <row r="568" spans="1:5" x14ac:dyDescent="0.3">
      <c r="A568" s="8" t="s">
        <v>70</v>
      </c>
      <c r="B568">
        <v>20</v>
      </c>
      <c r="C568">
        <v>2</v>
      </c>
      <c r="D568">
        <v>2020</v>
      </c>
      <c r="E568" s="2">
        <f t="shared" si="8"/>
        <v>43881</v>
      </c>
    </row>
    <row r="569" spans="1:5" x14ac:dyDescent="0.3">
      <c r="A569" s="9" t="s">
        <v>69</v>
      </c>
      <c r="B569" t="s">
        <v>74</v>
      </c>
      <c r="C569">
        <v>5</v>
      </c>
      <c r="D569">
        <v>2018</v>
      </c>
      <c r="E569" s="2">
        <f t="shared" si="8"/>
        <v>43195</v>
      </c>
    </row>
    <row r="570" spans="1:5" x14ac:dyDescent="0.3">
      <c r="A570" s="8" t="s">
        <v>75</v>
      </c>
      <c r="B570">
        <v>2019</v>
      </c>
      <c r="C570">
        <v>12</v>
      </c>
      <c r="D570">
        <v>1</v>
      </c>
      <c r="E570" s="2">
        <f t="shared" si="8"/>
        <v>43800</v>
      </c>
    </row>
    <row r="571" spans="1:5" x14ac:dyDescent="0.3">
      <c r="A571" s="9" t="s">
        <v>69</v>
      </c>
      <c r="B571" t="s">
        <v>74</v>
      </c>
      <c r="C571">
        <v>5</v>
      </c>
      <c r="D571">
        <v>2018</v>
      </c>
      <c r="E571" s="2">
        <f t="shared" si="8"/>
        <v>43195</v>
      </c>
    </row>
    <row r="572" spans="1:5" x14ac:dyDescent="0.3">
      <c r="A572" s="8" t="s">
        <v>55</v>
      </c>
      <c r="B572">
        <v>1</v>
      </c>
      <c r="C572">
        <v>15</v>
      </c>
      <c r="D572">
        <v>2020</v>
      </c>
      <c r="E572" s="2">
        <f t="shared" si="8"/>
        <v>43845</v>
      </c>
    </row>
    <row r="573" spans="1:5" x14ac:dyDescent="0.3">
      <c r="A573" s="9" t="s">
        <v>55</v>
      </c>
      <c r="B573">
        <v>1</v>
      </c>
      <c r="C573">
        <v>15</v>
      </c>
      <c r="D573">
        <v>2020</v>
      </c>
      <c r="E573" s="2">
        <f t="shared" si="8"/>
        <v>43845</v>
      </c>
    </row>
    <row r="574" spans="1:5" x14ac:dyDescent="0.3">
      <c r="A574" s="8" t="s">
        <v>70</v>
      </c>
      <c r="B574">
        <v>20</v>
      </c>
      <c r="C574">
        <v>2</v>
      </c>
      <c r="D574">
        <v>2020</v>
      </c>
      <c r="E574" s="2">
        <f t="shared" si="8"/>
        <v>43881</v>
      </c>
    </row>
    <row r="575" spans="1:5" x14ac:dyDescent="0.3">
      <c r="A575" s="9" t="s">
        <v>71</v>
      </c>
      <c r="B575">
        <v>3</v>
      </c>
      <c r="C575">
        <v>25</v>
      </c>
      <c r="D575">
        <v>2019</v>
      </c>
      <c r="E575" s="2">
        <f t="shared" si="8"/>
        <v>43549</v>
      </c>
    </row>
    <row r="576" spans="1:5" x14ac:dyDescent="0.3">
      <c r="A576" s="8" t="s">
        <v>70</v>
      </c>
      <c r="B576">
        <v>20</v>
      </c>
      <c r="C576">
        <v>2</v>
      </c>
      <c r="D576">
        <v>2020</v>
      </c>
      <c r="E576" s="2">
        <f t="shared" si="8"/>
        <v>43881</v>
      </c>
    </row>
    <row r="577" spans="1:5" x14ac:dyDescent="0.3">
      <c r="A577" s="9" t="s">
        <v>71</v>
      </c>
      <c r="B577">
        <v>3</v>
      </c>
      <c r="C577">
        <v>25</v>
      </c>
      <c r="D577">
        <v>2019</v>
      </c>
      <c r="E577" s="2">
        <f t="shared" si="8"/>
        <v>43549</v>
      </c>
    </row>
    <row r="578" spans="1:5" x14ac:dyDescent="0.3">
      <c r="A578" s="8" t="s">
        <v>69</v>
      </c>
      <c r="B578" t="s">
        <v>74</v>
      </c>
      <c r="C578">
        <v>5</v>
      </c>
      <c r="D578">
        <v>2018</v>
      </c>
      <c r="E578" s="2">
        <f t="shared" si="8"/>
        <v>43195</v>
      </c>
    </row>
    <row r="579" spans="1:5" x14ac:dyDescent="0.3">
      <c r="A579" s="9" t="s">
        <v>55</v>
      </c>
      <c r="B579">
        <v>1</v>
      </c>
      <c r="C579">
        <v>15</v>
      </c>
      <c r="D579">
        <v>2020</v>
      </c>
      <c r="E579" s="2">
        <f t="shared" ref="E579:E642" si="9">DATE(
 IF(ISNUMBER(--B579),
     IF(LEN(B579)=4, B579, D579),
     D579
 ),
 IF(ISNUMBER(--B579),
     IF(LEN(B579)=4, C579, IF(B579&gt;12, C579, B579)),
     MONTH(DATEVALUE(B579 &amp; " 1"))
 ),
 IF(ISNUMBER(--B579),
     IF(LEN(B579)=4, D579, IF(B579&gt;12, B579, C579)),
     C579
 )
)</f>
        <v>43845</v>
      </c>
    </row>
    <row r="580" spans="1:5" x14ac:dyDescent="0.3">
      <c r="A580" s="8" t="s">
        <v>71</v>
      </c>
      <c r="B580">
        <v>3</v>
      </c>
      <c r="C580">
        <v>25</v>
      </c>
      <c r="D580">
        <v>2019</v>
      </c>
      <c r="E580" s="2">
        <f t="shared" si="9"/>
        <v>43549</v>
      </c>
    </row>
    <row r="581" spans="1:5" x14ac:dyDescent="0.3">
      <c r="A581" s="9" t="s">
        <v>69</v>
      </c>
      <c r="B581" t="s">
        <v>74</v>
      </c>
      <c r="C581">
        <v>5</v>
      </c>
      <c r="D581">
        <v>2018</v>
      </c>
      <c r="E581" s="2">
        <f t="shared" si="9"/>
        <v>43195</v>
      </c>
    </row>
    <row r="582" spans="1:5" x14ac:dyDescent="0.3">
      <c r="A582" s="8" t="s">
        <v>55</v>
      </c>
      <c r="B582">
        <v>1</v>
      </c>
      <c r="C582">
        <v>15</v>
      </c>
      <c r="D582">
        <v>2020</v>
      </c>
      <c r="E582" s="2">
        <f t="shared" si="9"/>
        <v>43845</v>
      </c>
    </row>
    <row r="583" spans="1:5" x14ac:dyDescent="0.3">
      <c r="A583" s="9" t="s">
        <v>71</v>
      </c>
      <c r="B583">
        <v>3</v>
      </c>
      <c r="C583">
        <v>25</v>
      </c>
      <c r="D583">
        <v>2019</v>
      </c>
      <c r="E583" s="2">
        <f t="shared" si="9"/>
        <v>43549</v>
      </c>
    </row>
    <row r="584" spans="1:5" x14ac:dyDescent="0.3">
      <c r="A584" s="8" t="s">
        <v>70</v>
      </c>
      <c r="B584">
        <v>20</v>
      </c>
      <c r="C584">
        <v>2</v>
      </c>
      <c r="D584">
        <v>2020</v>
      </c>
      <c r="E584" s="2">
        <f t="shared" si="9"/>
        <v>43881</v>
      </c>
    </row>
    <row r="585" spans="1:5" x14ac:dyDescent="0.3">
      <c r="A585" s="9" t="s">
        <v>70</v>
      </c>
      <c r="B585">
        <v>20</v>
      </c>
      <c r="C585">
        <v>2</v>
      </c>
      <c r="D585">
        <v>2020</v>
      </c>
      <c r="E585" s="2">
        <f t="shared" si="9"/>
        <v>43881</v>
      </c>
    </row>
    <row r="586" spans="1:5" x14ac:dyDescent="0.3">
      <c r="A586" s="8" t="s">
        <v>70</v>
      </c>
      <c r="B586">
        <v>20</v>
      </c>
      <c r="C586">
        <v>2</v>
      </c>
      <c r="D586">
        <v>2020</v>
      </c>
      <c r="E586" s="2">
        <f t="shared" si="9"/>
        <v>43881</v>
      </c>
    </row>
    <row r="587" spans="1:5" x14ac:dyDescent="0.3">
      <c r="A587" s="9" t="s">
        <v>69</v>
      </c>
      <c r="B587" t="s">
        <v>74</v>
      </c>
      <c r="C587">
        <v>5</v>
      </c>
      <c r="D587">
        <v>2018</v>
      </c>
      <c r="E587" s="2">
        <f t="shared" si="9"/>
        <v>43195</v>
      </c>
    </row>
    <row r="588" spans="1:5" x14ac:dyDescent="0.3">
      <c r="A588" s="8" t="s">
        <v>70</v>
      </c>
      <c r="B588">
        <v>20</v>
      </c>
      <c r="C588">
        <v>2</v>
      </c>
      <c r="D588">
        <v>2020</v>
      </c>
      <c r="E588" s="2">
        <f t="shared" si="9"/>
        <v>43881</v>
      </c>
    </row>
    <row r="589" spans="1:5" x14ac:dyDescent="0.3">
      <c r="A589" s="9" t="s">
        <v>75</v>
      </c>
      <c r="B589">
        <v>2019</v>
      </c>
      <c r="C589">
        <v>12</v>
      </c>
      <c r="D589">
        <v>1</v>
      </c>
      <c r="E589" s="2">
        <f t="shared" si="9"/>
        <v>43800</v>
      </c>
    </row>
    <row r="590" spans="1:5" x14ac:dyDescent="0.3">
      <c r="A590" s="8" t="s">
        <v>55</v>
      </c>
      <c r="B590">
        <v>1</v>
      </c>
      <c r="C590">
        <v>15</v>
      </c>
      <c r="D590">
        <v>2020</v>
      </c>
      <c r="E590" s="2">
        <f t="shared" si="9"/>
        <v>43845</v>
      </c>
    </row>
    <row r="591" spans="1:5" x14ac:dyDescent="0.3">
      <c r="A591" s="9" t="s">
        <v>69</v>
      </c>
      <c r="B591" t="s">
        <v>74</v>
      </c>
      <c r="C591">
        <v>5</v>
      </c>
      <c r="D591">
        <v>2018</v>
      </c>
      <c r="E591" s="2">
        <f t="shared" si="9"/>
        <v>43195</v>
      </c>
    </row>
    <row r="592" spans="1:5" x14ac:dyDescent="0.3">
      <c r="A592" s="8" t="s">
        <v>70</v>
      </c>
      <c r="B592">
        <v>20</v>
      </c>
      <c r="C592">
        <v>2</v>
      </c>
      <c r="D592">
        <v>2020</v>
      </c>
      <c r="E592" s="2">
        <f t="shared" si="9"/>
        <v>43881</v>
      </c>
    </row>
    <row r="593" spans="1:5" x14ac:dyDescent="0.3">
      <c r="A593" s="9" t="s">
        <v>55</v>
      </c>
      <c r="B593">
        <v>1</v>
      </c>
      <c r="C593">
        <v>15</v>
      </c>
      <c r="D593">
        <v>2020</v>
      </c>
      <c r="E593" s="2">
        <f t="shared" si="9"/>
        <v>43845</v>
      </c>
    </row>
    <row r="594" spans="1:5" x14ac:dyDescent="0.3">
      <c r="A594" s="8" t="s">
        <v>71</v>
      </c>
      <c r="B594">
        <v>3</v>
      </c>
      <c r="C594">
        <v>25</v>
      </c>
      <c r="D594">
        <v>2019</v>
      </c>
      <c r="E594" s="2">
        <f t="shared" si="9"/>
        <v>43549</v>
      </c>
    </row>
    <row r="595" spans="1:5" x14ac:dyDescent="0.3">
      <c r="A595" s="9" t="s">
        <v>70</v>
      </c>
      <c r="B595">
        <v>20</v>
      </c>
      <c r="C595">
        <v>2</v>
      </c>
      <c r="D595">
        <v>2020</v>
      </c>
      <c r="E595" s="2">
        <f t="shared" si="9"/>
        <v>43881</v>
      </c>
    </row>
    <row r="596" spans="1:5" x14ac:dyDescent="0.3">
      <c r="A596" s="8" t="s">
        <v>55</v>
      </c>
      <c r="B596">
        <v>1</v>
      </c>
      <c r="C596">
        <v>15</v>
      </c>
      <c r="D596">
        <v>2020</v>
      </c>
      <c r="E596" s="2">
        <f t="shared" si="9"/>
        <v>43845</v>
      </c>
    </row>
    <row r="597" spans="1:5" x14ac:dyDescent="0.3">
      <c r="A597" s="9" t="s">
        <v>75</v>
      </c>
      <c r="B597">
        <v>2019</v>
      </c>
      <c r="C597">
        <v>12</v>
      </c>
      <c r="D597">
        <v>1</v>
      </c>
      <c r="E597" s="2">
        <f t="shared" si="9"/>
        <v>43800</v>
      </c>
    </row>
    <row r="598" spans="1:5" x14ac:dyDescent="0.3">
      <c r="A598" s="8" t="s">
        <v>71</v>
      </c>
      <c r="B598">
        <v>3</v>
      </c>
      <c r="C598">
        <v>25</v>
      </c>
      <c r="D598">
        <v>2019</v>
      </c>
      <c r="E598" s="2">
        <f t="shared" si="9"/>
        <v>43549</v>
      </c>
    </row>
    <row r="599" spans="1:5" x14ac:dyDescent="0.3">
      <c r="A599" s="9" t="s">
        <v>75</v>
      </c>
      <c r="B599">
        <v>2019</v>
      </c>
      <c r="C599">
        <v>12</v>
      </c>
      <c r="D599">
        <v>1</v>
      </c>
      <c r="E599" s="2">
        <f t="shared" si="9"/>
        <v>43800</v>
      </c>
    </row>
    <row r="600" spans="1:5" x14ac:dyDescent="0.3">
      <c r="A600" s="8" t="s">
        <v>55</v>
      </c>
      <c r="B600">
        <v>1</v>
      </c>
      <c r="C600">
        <v>15</v>
      </c>
      <c r="D600">
        <v>2020</v>
      </c>
      <c r="E600" s="2">
        <f t="shared" si="9"/>
        <v>43845</v>
      </c>
    </row>
    <row r="601" spans="1:5" x14ac:dyDescent="0.3">
      <c r="A601" s="9" t="s">
        <v>75</v>
      </c>
      <c r="B601">
        <v>2019</v>
      </c>
      <c r="C601">
        <v>12</v>
      </c>
      <c r="D601">
        <v>1</v>
      </c>
      <c r="E601" s="2">
        <f t="shared" si="9"/>
        <v>43800</v>
      </c>
    </row>
    <row r="602" spans="1:5" x14ac:dyDescent="0.3">
      <c r="A602" s="8" t="s">
        <v>55</v>
      </c>
      <c r="B602">
        <v>1</v>
      </c>
      <c r="C602">
        <v>15</v>
      </c>
      <c r="D602">
        <v>2020</v>
      </c>
      <c r="E602" s="2">
        <f t="shared" si="9"/>
        <v>43845</v>
      </c>
    </row>
    <row r="603" spans="1:5" x14ac:dyDescent="0.3">
      <c r="A603" s="9" t="s">
        <v>55</v>
      </c>
      <c r="B603">
        <v>1</v>
      </c>
      <c r="C603">
        <v>15</v>
      </c>
      <c r="D603">
        <v>2020</v>
      </c>
      <c r="E603" s="2">
        <f t="shared" si="9"/>
        <v>43845</v>
      </c>
    </row>
    <row r="604" spans="1:5" x14ac:dyDescent="0.3">
      <c r="A604" s="8" t="s">
        <v>75</v>
      </c>
      <c r="B604">
        <v>2019</v>
      </c>
      <c r="C604">
        <v>12</v>
      </c>
      <c r="D604">
        <v>1</v>
      </c>
      <c r="E604" s="2">
        <f t="shared" si="9"/>
        <v>43800</v>
      </c>
    </row>
    <row r="605" spans="1:5" x14ac:dyDescent="0.3">
      <c r="A605" s="9" t="s">
        <v>55</v>
      </c>
      <c r="B605">
        <v>1</v>
      </c>
      <c r="C605">
        <v>15</v>
      </c>
      <c r="D605">
        <v>2020</v>
      </c>
      <c r="E605" s="2">
        <f t="shared" si="9"/>
        <v>43845</v>
      </c>
    </row>
    <row r="606" spans="1:5" x14ac:dyDescent="0.3">
      <c r="A606" s="8" t="s">
        <v>70</v>
      </c>
      <c r="B606">
        <v>20</v>
      </c>
      <c r="C606">
        <v>2</v>
      </c>
      <c r="D606">
        <v>2020</v>
      </c>
      <c r="E606" s="2">
        <f t="shared" si="9"/>
        <v>43881</v>
      </c>
    </row>
    <row r="607" spans="1:5" x14ac:dyDescent="0.3">
      <c r="A607" s="9" t="s">
        <v>55</v>
      </c>
      <c r="B607">
        <v>1</v>
      </c>
      <c r="C607">
        <v>15</v>
      </c>
      <c r="D607">
        <v>2020</v>
      </c>
      <c r="E607" s="2">
        <f t="shared" si="9"/>
        <v>43845</v>
      </c>
    </row>
    <row r="608" spans="1:5" x14ac:dyDescent="0.3">
      <c r="A608" s="8" t="s">
        <v>69</v>
      </c>
      <c r="B608" t="s">
        <v>74</v>
      </c>
      <c r="C608">
        <v>5</v>
      </c>
      <c r="D608">
        <v>2018</v>
      </c>
      <c r="E608" s="2">
        <f t="shared" si="9"/>
        <v>43195</v>
      </c>
    </row>
    <row r="609" spans="1:5" x14ac:dyDescent="0.3">
      <c r="A609" s="9" t="s">
        <v>55</v>
      </c>
      <c r="B609">
        <v>1</v>
      </c>
      <c r="C609">
        <v>15</v>
      </c>
      <c r="D609">
        <v>2020</v>
      </c>
      <c r="E609" s="2">
        <f t="shared" si="9"/>
        <v>43845</v>
      </c>
    </row>
    <row r="610" spans="1:5" x14ac:dyDescent="0.3">
      <c r="A610" s="8" t="s">
        <v>69</v>
      </c>
      <c r="B610" t="s">
        <v>74</v>
      </c>
      <c r="C610">
        <v>5</v>
      </c>
      <c r="D610">
        <v>2018</v>
      </c>
      <c r="E610" s="2">
        <f t="shared" si="9"/>
        <v>43195</v>
      </c>
    </row>
    <row r="611" spans="1:5" x14ac:dyDescent="0.3">
      <c r="A611" s="9" t="s">
        <v>55</v>
      </c>
      <c r="B611">
        <v>1</v>
      </c>
      <c r="C611">
        <v>15</v>
      </c>
      <c r="D611">
        <v>2020</v>
      </c>
      <c r="E611" s="2">
        <f t="shared" si="9"/>
        <v>43845</v>
      </c>
    </row>
    <row r="612" spans="1:5" x14ac:dyDescent="0.3">
      <c r="A612" s="8" t="s">
        <v>55</v>
      </c>
      <c r="B612">
        <v>1</v>
      </c>
      <c r="C612">
        <v>15</v>
      </c>
      <c r="D612">
        <v>2020</v>
      </c>
      <c r="E612" s="2">
        <f t="shared" si="9"/>
        <v>43845</v>
      </c>
    </row>
    <row r="613" spans="1:5" x14ac:dyDescent="0.3">
      <c r="A613" s="9" t="s">
        <v>75</v>
      </c>
      <c r="B613">
        <v>2019</v>
      </c>
      <c r="C613">
        <v>12</v>
      </c>
      <c r="D613">
        <v>1</v>
      </c>
      <c r="E613" s="2">
        <f t="shared" si="9"/>
        <v>43800</v>
      </c>
    </row>
    <row r="614" spans="1:5" x14ac:dyDescent="0.3">
      <c r="A614" s="8" t="s">
        <v>70</v>
      </c>
      <c r="B614">
        <v>20</v>
      </c>
      <c r="C614">
        <v>2</v>
      </c>
      <c r="D614">
        <v>2020</v>
      </c>
      <c r="E614" s="2">
        <f t="shared" si="9"/>
        <v>43881</v>
      </c>
    </row>
    <row r="615" spans="1:5" x14ac:dyDescent="0.3">
      <c r="A615" s="9" t="s">
        <v>70</v>
      </c>
      <c r="B615">
        <v>20</v>
      </c>
      <c r="C615">
        <v>2</v>
      </c>
      <c r="D615">
        <v>2020</v>
      </c>
      <c r="E615" s="2">
        <f t="shared" si="9"/>
        <v>43881</v>
      </c>
    </row>
    <row r="616" spans="1:5" x14ac:dyDescent="0.3">
      <c r="A616" s="8" t="s">
        <v>71</v>
      </c>
      <c r="B616">
        <v>3</v>
      </c>
      <c r="C616">
        <v>25</v>
      </c>
      <c r="D616">
        <v>2019</v>
      </c>
      <c r="E616" s="2">
        <f t="shared" si="9"/>
        <v>43549</v>
      </c>
    </row>
    <row r="617" spans="1:5" x14ac:dyDescent="0.3">
      <c r="A617" s="9" t="s">
        <v>75</v>
      </c>
      <c r="B617">
        <v>2019</v>
      </c>
      <c r="C617">
        <v>12</v>
      </c>
      <c r="D617">
        <v>1</v>
      </c>
      <c r="E617" s="2">
        <f t="shared" si="9"/>
        <v>43800</v>
      </c>
    </row>
    <row r="618" spans="1:5" x14ac:dyDescent="0.3">
      <c r="A618" s="8" t="s">
        <v>75</v>
      </c>
      <c r="B618">
        <v>2019</v>
      </c>
      <c r="C618">
        <v>12</v>
      </c>
      <c r="D618">
        <v>1</v>
      </c>
      <c r="E618" s="2">
        <f t="shared" si="9"/>
        <v>43800</v>
      </c>
    </row>
    <row r="619" spans="1:5" x14ac:dyDescent="0.3">
      <c r="A619" s="9" t="s">
        <v>70</v>
      </c>
      <c r="B619">
        <v>20</v>
      </c>
      <c r="C619">
        <v>2</v>
      </c>
      <c r="D619">
        <v>2020</v>
      </c>
      <c r="E619" s="2">
        <f t="shared" si="9"/>
        <v>43881</v>
      </c>
    </row>
    <row r="620" spans="1:5" x14ac:dyDescent="0.3">
      <c r="A620" s="8" t="s">
        <v>75</v>
      </c>
      <c r="B620">
        <v>2019</v>
      </c>
      <c r="C620">
        <v>12</v>
      </c>
      <c r="D620">
        <v>1</v>
      </c>
      <c r="E620" s="2">
        <f t="shared" si="9"/>
        <v>43800</v>
      </c>
    </row>
    <row r="621" spans="1:5" x14ac:dyDescent="0.3">
      <c r="A621" s="9" t="s">
        <v>70</v>
      </c>
      <c r="B621">
        <v>20</v>
      </c>
      <c r="C621">
        <v>2</v>
      </c>
      <c r="D621">
        <v>2020</v>
      </c>
      <c r="E621" s="2">
        <f t="shared" si="9"/>
        <v>43881</v>
      </c>
    </row>
    <row r="622" spans="1:5" x14ac:dyDescent="0.3">
      <c r="A622" s="8" t="s">
        <v>75</v>
      </c>
      <c r="B622">
        <v>2019</v>
      </c>
      <c r="C622">
        <v>12</v>
      </c>
      <c r="D622">
        <v>1</v>
      </c>
      <c r="E622" s="2">
        <f t="shared" si="9"/>
        <v>43800</v>
      </c>
    </row>
    <row r="623" spans="1:5" x14ac:dyDescent="0.3">
      <c r="A623" s="9" t="s">
        <v>55</v>
      </c>
      <c r="B623">
        <v>1</v>
      </c>
      <c r="C623">
        <v>15</v>
      </c>
      <c r="D623">
        <v>2020</v>
      </c>
      <c r="E623" s="2">
        <f t="shared" si="9"/>
        <v>43845</v>
      </c>
    </row>
    <row r="624" spans="1:5" x14ac:dyDescent="0.3">
      <c r="A624" s="8" t="s">
        <v>70</v>
      </c>
      <c r="B624">
        <v>20</v>
      </c>
      <c r="C624">
        <v>2</v>
      </c>
      <c r="D624">
        <v>2020</v>
      </c>
      <c r="E624" s="2">
        <f t="shared" si="9"/>
        <v>43881</v>
      </c>
    </row>
    <row r="625" spans="1:5" x14ac:dyDescent="0.3">
      <c r="A625" s="9" t="s">
        <v>70</v>
      </c>
      <c r="B625">
        <v>20</v>
      </c>
      <c r="C625">
        <v>2</v>
      </c>
      <c r="D625">
        <v>2020</v>
      </c>
      <c r="E625" s="2">
        <f t="shared" si="9"/>
        <v>43881</v>
      </c>
    </row>
    <row r="626" spans="1:5" x14ac:dyDescent="0.3">
      <c r="A626" s="8" t="s">
        <v>69</v>
      </c>
      <c r="B626" t="s">
        <v>74</v>
      </c>
      <c r="C626">
        <v>5</v>
      </c>
      <c r="D626">
        <v>2018</v>
      </c>
      <c r="E626" s="2">
        <f t="shared" si="9"/>
        <v>43195</v>
      </c>
    </row>
    <row r="627" spans="1:5" x14ac:dyDescent="0.3">
      <c r="A627" s="9" t="s">
        <v>75</v>
      </c>
      <c r="B627">
        <v>2019</v>
      </c>
      <c r="C627">
        <v>12</v>
      </c>
      <c r="D627">
        <v>1</v>
      </c>
      <c r="E627" s="2">
        <f t="shared" si="9"/>
        <v>43800</v>
      </c>
    </row>
    <row r="628" spans="1:5" x14ac:dyDescent="0.3">
      <c r="A628" s="8" t="s">
        <v>75</v>
      </c>
      <c r="B628">
        <v>2019</v>
      </c>
      <c r="C628">
        <v>12</v>
      </c>
      <c r="D628">
        <v>1</v>
      </c>
      <c r="E628" s="2">
        <f t="shared" si="9"/>
        <v>43800</v>
      </c>
    </row>
    <row r="629" spans="1:5" x14ac:dyDescent="0.3">
      <c r="A629" s="9" t="s">
        <v>70</v>
      </c>
      <c r="B629">
        <v>20</v>
      </c>
      <c r="C629">
        <v>2</v>
      </c>
      <c r="D629">
        <v>2020</v>
      </c>
      <c r="E629" s="2">
        <f t="shared" si="9"/>
        <v>43881</v>
      </c>
    </row>
    <row r="630" spans="1:5" x14ac:dyDescent="0.3">
      <c r="A630" s="8" t="s">
        <v>55</v>
      </c>
      <c r="B630">
        <v>1</v>
      </c>
      <c r="C630">
        <v>15</v>
      </c>
      <c r="D630">
        <v>2020</v>
      </c>
      <c r="E630" s="2">
        <f t="shared" si="9"/>
        <v>43845</v>
      </c>
    </row>
    <row r="631" spans="1:5" x14ac:dyDescent="0.3">
      <c r="A631" s="9" t="s">
        <v>55</v>
      </c>
      <c r="B631">
        <v>1</v>
      </c>
      <c r="C631">
        <v>15</v>
      </c>
      <c r="D631">
        <v>2020</v>
      </c>
      <c r="E631" s="2">
        <f t="shared" si="9"/>
        <v>43845</v>
      </c>
    </row>
    <row r="632" spans="1:5" x14ac:dyDescent="0.3">
      <c r="A632" s="8" t="s">
        <v>55</v>
      </c>
      <c r="B632">
        <v>1</v>
      </c>
      <c r="C632">
        <v>15</v>
      </c>
      <c r="D632">
        <v>2020</v>
      </c>
      <c r="E632" s="2">
        <f t="shared" si="9"/>
        <v>43845</v>
      </c>
    </row>
    <row r="633" spans="1:5" x14ac:dyDescent="0.3">
      <c r="A633" s="9" t="s">
        <v>75</v>
      </c>
      <c r="B633">
        <v>2019</v>
      </c>
      <c r="C633">
        <v>12</v>
      </c>
      <c r="D633">
        <v>1</v>
      </c>
      <c r="E633" s="2">
        <f t="shared" si="9"/>
        <v>43800</v>
      </c>
    </row>
    <row r="634" spans="1:5" x14ac:dyDescent="0.3">
      <c r="A634" s="8" t="s">
        <v>69</v>
      </c>
      <c r="B634" t="s">
        <v>74</v>
      </c>
      <c r="C634">
        <v>5</v>
      </c>
      <c r="D634">
        <v>2018</v>
      </c>
      <c r="E634" s="2">
        <f t="shared" si="9"/>
        <v>43195</v>
      </c>
    </row>
    <row r="635" spans="1:5" x14ac:dyDescent="0.3">
      <c r="A635" s="9" t="s">
        <v>70</v>
      </c>
      <c r="B635">
        <v>20</v>
      </c>
      <c r="C635">
        <v>2</v>
      </c>
      <c r="D635">
        <v>2020</v>
      </c>
      <c r="E635" s="2">
        <f t="shared" si="9"/>
        <v>43881</v>
      </c>
    </row>
    <row r="636" spans="1:5" x14ac:dyDescent="0.3">
      <c r="A636" s="8" t="s">
        <v>71</v>
      </c>
      <c r="B636">
        <v>3</v>
      </c>
      <c r="C636">
        <v>25</v>
      </c>
      <c r="D636">
        <v>2019</v>
      </c>
      <c r="E636" s="2">
        <f t="shared" si="9"/>
        <v>43549</v>
      </c>
    </row>
    <row r="637" spans="1:5" x14ac:dyDescent="0.3">
      <c r="A637" s="9" t="s">
        <v>69</v>
      </c>
      <c r="B637" t="s">
        <v>74</v>
      </c>
      <c r="C637">
        <v>5</v>
      </c>
      <c r="D637">
        <v>2018</v>
      </c>
      <c r="E637" s="2">
        <f t="shared" si="9"/>
        <v>43195</v>
      </c>
    </row>
    <row r="638" spans="1:5" x14ac:dyDescent="0.3">
      <c r="A638" s="8" t="s">
        <v>71</v>
      </c>
      <c r="B638">
        <v>3</v>
      </c>
      <c r="C638">
        <v>25</v>
      </c>
      <c r="D638">
        <v>2019</v>
      </c>
      <c r="E638" s="2">
        <f t="shared" si="9"/>
        <v>43549</v>
      </c>
    </row>
    <row r="639" spans="1:5" x14ac:dyDescent="0.3">
      <c r="A639" s="9" t="s">
        <v>69</v>
      </c>
      <c r="B639" t="s">
        <v>74</v>
      </c>
      <c r="C639">
        <v>5</v>
      </c>
      <c r="D639">
        <v>2018</v>
      </c>
      <c r="E639" s="2">
        <f t="shared" si="9"/>
        <v>43195</v>
      </c>
    </row>
    <row r="640" spans="1:5" x14ac:dyDescent="0.3">
      <c r="A640" s="8" t="s">
        <v>55</v>
      </c>
      <c r="B640">
        <v>1</v>
      </c>
      <c r="C640">
        <v>15</v>
      </c>
      <c r="D640">
        <v>2020</v>
      </c>
      <c r="E640" s="2">
        <f t="shared" si="9"/>
        <v>43845</v>
      </c>
    </row>
    <row r="641" spans="1:5" x14ac:dyDescent="0.3">
      <c r="A641" s="9" t="s">
        <v>75</v>
      </c>
      <c r="B641">
        <v>2019</v>
      </c>
      <c r="C641">
        <v>12</v>
      </c>
      <c r="D641">
        <v>1</v>
      </c>
      <c r="E641" s="2">
        <f t="shared" si="9"/>
        <v>43800</v>
      </c>
    </row>
    <row r="642" spans="1:5" x14ac:dyDescent="0.3">
      <c r="A642" s="8" t="s">
        <v>71</v>
      </c>
      <c r="B642">
        <v>3</v>
      </c>
      <c r="C642">
        <v>25</v>
      </c>
      <c r="D642">
        <v>2019</v>
      </c>
      <c r="E642" s="2">
        <f t="shared" si="9"/>
        <v>43549</v>
      </c>
    </row>
    <row r="643" spans="1:5" x14ac:dyDescent="0.3">
      <c r="A643" s="9" t="s">
        <v>69</v>
      </c>
      <c r="B643" t="s">
        <v>74</v>
      </c>
      <c r="C643">
        <v>5</v>
      </c>
      <c r="D643">
        <v>2018</v>
      </c>
      <c r="E643" s="2">
        <f t="shared" ref="E643:E706" si="10">DATE(
 IF(ISNUMBER(--B643),
     IF(LEN(B643)=4, B643, D643),
     D643
 ),
 IF(ISNUMBER(--B643),
     IF(LEN(B643)=4, C643, IF(B643&gt;12, C643, B643)),
     MONTH(DATEVALUE(B643 &amp; " 1"))
 ),
 IF(ISNUMBER(--B643),
     IF(LEN(B643)=4, D643, IF(B643&gt;12, B643, C643)),
     C643
 )
)</f>
        <v>43195</v>
      </c>
    </row>
    <row r="644" spans="1:5" x14ac:dyDescent="0.3">
      <c r="A644" s="8" t="s">
        <v>75</v>
      </c>
      <c r="B644">
        <v>2019</v>
      </c>
      <c r="C644">
        <v>12</v>
      </c>
      <c r="D644">
        <v>1</v>
      </c>
      <c r="E644" s="2">
        <f t="shared" si="10"/>
        <v>43800</v>
      </c>
    </row>
    <row r="645" spans="1:5" x14ac:dyDescent="0.3">
      <c r="A645" s="9" t="s">
        <v>71</v>
      </c>
      <c r="B645">
        <v>3</v>
      </c>
      <c r="C645">
        <v>25</v>
      </c>
      <c r="D645">
        <v>2019</v>
      </c>
      <c r="E645" s="2">
        <f t="shared" si="10"/>
        <v>43549</v>
      </c>
    </row>
    <row r="646" spans="1:5" x14ac:dyDescent="0.3">
      <c r="A646" s="8" t="s">
        <v>70</v>
      </c>
      <c r="B646">
        <v>20</v>
      </c>
      <c r="C646">
        <v>2</v>
      </c>
      <c r="D646">
        <v>2020</v>
      </c>
      <c r="E646" s="2">
        <f t="shared" si="10"/>
        <v>43881</v>
      </c>
    </row>
    <row r="647" spans="1:5" x14ac:dyDescent="0.3">
      <c r="A647" s="9" t="s">
        <v>69</v>
      </c>
      <c r="B647" t="s">
        <v>74</v>
      </c>
      <c r="C647">
        <v>5</v>
      </c>
      <c r="D647">
        <v>2018</v>
      </c>
      <c r="E647" s="2">
        <f t="shared" si="10"/>
        <v>43195</v>
      </c>
    </row>
    <row r="648" spans="1:5" x14ac:dyDescent="0.3">
      <c r="A648" s="8" t="s">
        <v>70</v>
      </c>
      <c r="B648">
        <v>20</v>
      </c>
      <c r="C648">
        <v>2</v>
      </c>
      <c r="D648">
        <v>2020</v>
      </c>
      <c r="E648" s="2">
        <f t="shared" si="10"/>
        <v>43881</v>
      </c>
    </row>
    <row r="649" spans="1:5" x14ac:dyDescent="0.3">
      <c r="A649" s="9" t="s">
        <v>55</v>
      </c>
      <c r="B649">
        <v>1</v>
      </c>
      <c r="C649">
        <v>15</v>
      </c>
      <c r="D649">
        <v>2020</v>
      </c>
      <c r="E649" s="2">
        <f t="shared" si="10"/>
        <v>43845</v>
      </c>
    </row>
    <row r="650" spans="1:5" x14ac:dyDescent="0.3">
      <c r="A650" s="8" t="s">
        <v>70</v>
      </c>
      <c r="B650">
        <v>20</v>
      </c>
      <c r="C650">
        <v>2</v>
      </c>
      <c r="D650">
        <v>2020</v>
      </c>
      <c r="E650" s="2">
        <f t="shared" si="10"/>
        <v>43881</v>
      </c>
    </row>
    <row r="651" spans="1:5" x14ac:dyDescent="0.3">
      <c r="A651" s="9" t="s">
        <v>70</v>
      </c>
      <c r="B651">
        <v>20</v>
      </c>
      <c r="C651">
        <v>2</v>
      </c>
      <c r="D651">
        <v>2020</v>
      </c>
      <c r="E651" s="2">
        <f t="shared" si="10"/>
        <v>43881</v>
      </c>
    </row>
    <row r="652" spans="1:5" x14ac:dyDescent="0.3">
      <c r="A652" s="8" t="s">
        <v>69</v>
      </c>
      <c r="B652" t="s">
        <v>74</v>
      </c>
      <c r="C652">
        <v>5</v>
      </c>
      <c r="D652">
        <v>2018</v>
      </c>
      <c r="E652" s="2">
        <f t="shared" si="10"/>
        <v>43195</v>
      </c>
    </row>
    <row r="653" spans="1:5" x14ac:dyDescent="0.3">
      <c r="A653" s="9" t="s">
        <v>55</v>
      </c>
      <c r="B653">
        <v>1</v>
      </c>
      <c r="C653">
        <v>15</v>
      </c>
      <c r="D653">
        <v>2020</v>
      </c>
      <c r="E653" s="2">
        <f t="shared" si="10"/>
        <v>43845</v>
      </c>
    </row>
    <row r="654" spans="1:5" x14ac:dyDescent="0.3">
      <c r="A654" s="8" t="s">
        <v>70</v>
      </c>
      <c r="B654">
        <v>20</v>
      </c>
      <c r="C654">
        <v>2</v>
      </c>
      <c r="D654">
        <v>2020</v>
      </c>
      <c r="E654" s="2">
        <f t="shared" si="10"/>
        <v>43881</v>
      </c>
    </row>
    <row r="655" spans="1:5" x14ac:dyDescent="0.3">
      <c r="A655" s="9" t="s">
        <v>75</v>
      </c>
      <c r="B655">
        <v>2019</v>
      </c>
      <c r="C655">
        <v>12</v>
      </c>
      <c r="D655">
        <v>1</v>
      </c>
      <c r="E655" s="2">
        <f t="shared" si="10"/>
        <v>43800</v>
      </c>
    </row>
    <row r="656" spans="1:5" x14ac:dyDescent="0.3">
      <c r="A656" s="8" t="s">
        <v>71</v>
      </c>
      <c r="B656">
        <v>3</v>
      </c>
      <c r="C656">
        <v>25</v>
      </c>
      <c r="D656">
        <v>2019</v>
      </c>
      <c r="E656" s="2">
        <f t="shared" si="10"/>
        <v>43549</v>
      </c>
    </row>
    <row r="657" spans="1:5" x14ac:dyDescent="0.3">
      <c r="A657" s="9" t="s">
        <v>70</v>
      </c>
      <c r="B657">
        <v>20</v>
      </c>
      <c r="C657">
        <v>2</v>
      </c>
      <c r="D657">
        <v>2020</v>
      </c>
      <c r="E657" s="2">
        <f t="shared" si="10"/>
        <v>43881</v>
      </c>
    </row>
    <row r="658" spans="1:5" x14ac:dyDescent="0.3">
      <c r="A658" s="8" t="s">
        <v>55</v>
      </c>
      <c r="B658">
        <v>1</v>
      </c>
      <c r="C658">
        <v>15</v>
      </c>
      <c r="D658">
        <v>2020</v>
      </c>
      <c r="E658" s="2">
        <f t="shared" si="10"/>
        <v>43845</v>
      </c>
    </row>
    <row r="659" spans="1:5" x14ac:dyDescent="0.3">
      <c r="A659" s="9" t="s">
        <v>70</v>
      </c>
      <c r="B659">
        <v>20</v>
      </c>
      <c r="C659">
        <v>2</v>
      </c>
      <c r="D659">
        <v>2020</v>
      </c>
      <c r="E659" s="2">
        <f t="shared" si="10"/>
        <v>43881</v>
      </c>
    </row>
    <row r="660" spans="1:5" x14ac:dyDescent="0.3">
      <c r="A660" s="8" t="s">
        <v>71</v>
      </c>
      <c r="B660">
        <v>3</v>
      </c>
      <c r="C660">
        <v>25</v>
      </c>
      <c r="D660">
        <v>2019</v>
      </c>
      <c r="E660" s="2">
        <f t="shared" si="10"/>
        <v>43549</v>
      </c>
    </row>
    <row r="661" spans="1:5" x14ac:dyDescent="0.3">
      <c r="A661" s="9" t="s">
        <v>55</v>
      </c>
      <c r="B661">
        <v>1</v>
      </c>
      <c r="C661">
        <v>15</v>
      </c>
      <c r="D661">
        <v>2020</v>
      </c>
      <c r="E661" s="2">
        <f t="shared" si="10"/>
        <v>43845</v>
      </c>
    </row>
    <row r="662" spans="1:5" x14ac:dyDescent="0.3">
      <c r="A662" s="8" t="s">
        <v>69</v>
      </c>
      <c r="B662" t="s">
        <v>74</v>
      </c>
      <c r="C662">
        <v>5</v>
      </c>
      <c r="D662">
        <v>2018</v>
      </c>
      <c r="E662" s="2">
        <f t="shared" si="10"/>
        <v>43195</v>
      </c>
    </row>
    <row r="663" spans="1:5" x14ac:dyDescent="0.3">
      <c r="A663" s="9" t="s">
        <v>55</v>
      </c>
      <c r="B663">
        <v>1</v>
      </c>
      <c r="C663">
        <v>15</v>
      </c>
      <c r="D663">
        <v>2020</v>
      </c>
      <c r="E663" s="2">
        <f t="shared" si="10"/>
        <v>43845</v>
      </c>
    </row>
    <row r="664" spans="1:5" x14ac:dyDescent="0.3">
      <c r="A664" s="8" t="s">
        <v>69</v>
      </c>
      <c r="B664" t="s">
        <v>74</v>
      </c>
      <c r="C664">
        <v>5</v>
      </c>
      <c r="D664">
        <v>2018</v>
      </c>
      <c r="E664" s="2">
        <f t="shared" si="10"/>
        <v>43195</v>
      </c>
    </row>
    <row r="665" spans="1:5" x14ac:dyDescent="0.3">
      <c r="A665" s="9" t="s">
        <v>55</v>
      </c>
      <c r="B665">
        <v>1</v>
      </c>
      <c r="C665">
        <v>15</v>
      </c>
      <c r="D665">
        <v>2020</v>
      </c>
      <c r="E665" s="2">
        <f t="shared" si="10"/>
        <v>43845</v>
      </c>
    </row>
    <row r="666" spans="1:5" x14ac:dyDescent="0.3">
      <c r="A666" s="8" t="s">
        <v>71</v>
      </c>
      <c r="B666">
        <v>3</v>
      </c>
      <c r="C666">
        <v>25</v>
      </c>
      <c r="D666">
        <v>2019</v>
      </c>
      <c r="E666" s="2">
        <f t="shared" si="10"/>
        <v>43549</v>
      </c>
    </row>
    <row r="667" spans="1:5" x14ac:dyDescent="0.3">
      <c r="A667" s="9" t="s">
        <v>71</v>
      </c>
      <c r="B667">
        <v>3</v>
      </c>
      <c r="C667">
        <v>25</v>
      </c>
      <c r="D667">
        <v>2019</v>
      </c>
      <c r="E667" s="2">
        <f t="shared" si="10"/>
        <v>43549</v>
      </c>
    </row>
    <row r="668" spans="1:5" x14ac:dyDescent="0.3">
      <c r="A668" s="8" t="s">
        <v>55</v>
      </c>
      <c r="B668">
        <v>1</v>
      </c>
      <c r="C668">
        <v>15</v>
      </c>
      <c r="D668">
        <v>2020</v>
      </c>
      <c r="E668" s="2">
        <f t="shared" si="10"/>
        <v>43845</v>
      </c>
    </row>
    <row r="669" spans="1:5" x14ac:dyDescent="0.3">
      <c r="A669" s="9" t="s">
        <v>70</v>
      </c>
      <c r="B669">
        <v>20</v>
      </c>
      <c r="C669">
        <v>2</v>
      </c>
      <c r="D669">
        <v>2020</v>
      </c>
      <c r="E669" s="2">
        <f t="shared" si="10"/>
        <v>43881</v>
      </c>
    </row>
    <row r="670" spans="1:5" x14ac:dyDescent="0.3">
      <c r="A670" s="8" t="s">
        <v>71</v>
      </c>
      <c r="B670">
        <v>3</v>
      </c>
      <c r="C670">
        <v>25</v>
      </c>
      <c r="D670">
        <v>2019</v>
      </c>
      <c r="E670" s="2">
        <f t="shared" si="10"/>
        <v>43549</v>
      </c>
    </row>
    <row r="671" spans="1:5" x14ac:dyDescent="0.3">
      <c r="A671" s="9" t="s">
        <v>69</v>
      </c>
      <c r="B671" t="s">
        <v>74</v>
      </c>
      <c r="C671">
        <v>5</v>
      </c>
      <c r="D671">
        <v>2018</v>
      </c>
      <c r="E671" s="2">
        <f t="shared" si="10"/>
        <v>43195</v>
      </c>
    </row>
    <row r="672" spans="1:5" x14ac:dyDescent="0.3">
      <c r="A672" s="8" t="s">
        <v>69</v>
      </c>
      <c r="B672" t="s">
        <v>74</v>
      </c>
      <c r="C672">
        <v>5</v>
      </c>
      <c r="D672">
        <v>2018</v>
      </c>
      <c r="E672" s="2">
        <f t="shared" si="10"/>
        <v>43195</v>
      </c>
    </row>
    <row r="673" spans="1:5" x14ac:dyDescent="0.3">
      <c r="A673" s="9" t="s">
        <v>75</v>
      </c>
      <c r="B673">
        <v>2019</v>
      </c>
      <c r="C673">
        <v>12</v>
      </c>
      <c r="D673">
        <v>1</v>
      </c>
      <c r="E673" s="2">
        <f t="shared" si="10"/>
        <v>43800</v>
      </c>
    </row>
    <row r="674" spans="1:5" x14ac:dyDescent="0.3">
      <c r="A674" s="8" t="s">
        <v>69</v>
      </c>
      <c r="B674" t="s">
        <v>74</v>
      </c>
      <c r="C674">
        <v>5</v>
      </c>
      <c r="D674">
        <v>2018</v>
      </c>
      <c r="E674" s="2">
        <f t="shared" si="10"/>
        <v>43195</v>
      </c>
    </row>
    <row r="675" spans="1:5" x14ac:dyDescent="0.3">
      <c r="A675" s="9" t="s">
        <v>75</v>
      </c>
      <c r="B675">
        <v>2019</v>
      </c>
      <c r="C675">
        <v>12</v>
      </c>
      <c r="D675">
        <v>1</v>
      </c>
      <c r="E675" s="2">
        <f t="shared" si="10"/>
        <v>43800</v>
      </c>
    </row>
    <row r="676" spans="1:5" x14ac:dyDescent="0.3">
      <c r="A676" s="8" t="s">
        <v>55</v>
      </c>
      <c r="B676">
        <v>1</v>
      </c>
      <c r="C676">
        <v>15</v>
      </c>
      <c r="D676">
        <v>2020</v>
      </c>
      <c r="E676" s="2">
        <f t="shared" si="10"/>
        <v>43845</v>
      </c>
    </row>
    <row r="677" spans="1:5" x14ac:dyDescent="0.3">
      <c r="A677" s="9" t="s">
        <v>55</v>
      </c>
      <c r="B677">
        <v>1</v>
      </c>
      <c r="C677">
        <v>15</v>
      </c>
      <c r="D677">
        <v>2020</v>
      </c>
      <c r="E677" s="2">
        <f t="shared" si="10"/>
        <v>43845</v>
      </c>
    </row>
    <row r="678" spans="1:5" x14ac:dyDescent="0.3">
      <c r="A678" s="8" t="s">
        <v>55</v>
      </c>
      <c r="B678">
        <v>1</v>
      </c>
      <c r="C678">
        <v>15</v>
      </c>
      <c r="D678">
        <v>2020</v>
      </c>
      <c r="E678" s="2">
        <f t="shared" si="10"/>
        <v>43845</v>
      </c>
    </row>
    <row r="679" spans="1:5" x14ac:dyDescent="0.3">
      <c r="A679" s="9" t="s">
        <v>70</v>
      </c>
      <c r="B679">
        <v>20</v>
      </c>
      <c r="C679">
        <v>2</v>
      </c>
      <c r="D679">
        <v>2020</v>
      </c>
      <c r="E679" s="2">
        <f t="shared" si="10"/>
        <v>43881</v>
      </c>
    </row>
    <row r="680" spans="1:5" x14ac:dyDescent="0.3">
      <c r="A680" s="8" t="s">
        <v>70</v>
      </c>
      <c r="B680">
        <v>20</v>
      </c>
      <c r="C680">
        <v>2</v>
      </c>
      <c r="D680">
        <v>2020</v>
      </c>
      <c r="E680" s="2">
        <f t="shared" si="10"/>
        <v>43881</v>
      </c>
    </row>
    <row r="681" spans="1:5" x14ac:dyDescent="0.3">
      <c r="A681" s="9" t="s">
        <v>75</v>
      </c>
      <c r="B681">
        <v>2019</v>
      </c>
      <c r="C681">
        <v>12</v>
      </c>
      <c r="D681">
        <v>1</v>
      </c>
      <c r="E681" s="2">
        <f t="shared" si="10"/>
        <v>43800</v>
      </c>
    </row>
    <row r="682" spans="1:5" x14ac:dyDescent="0.3">
      <c r="A682" s="8" t="s">
        <v>69</v>
      </c>
      <c r="B682" t="s">
        <v>74</v>
      </c>
      <c r="C682">
        <v>5</v>
      </c>
      <c r="D682">
        <v>2018</v>
      </c>
      <c r="E682" s="2">
        <f t="shared" si="10"/>
        <v>43195</v>
      </c>
    </row>
    <row r="683" spans="1:5" x14ac:dyDescent="0.3">
      <c r="A683" s="9" t="s">
        <v>69</v>
      </c>
      <c r="B683" t="s">
        <v>74</v>
      </c>
      <c r="C683">
        <v>5</v>
      </c>
      <c r="D683">
        <v>2018</v>
      </c>
      <c r="E683" s="2">
        <f t="shared" si="10"/>
        <v>43195</v>
      </c>
    </row>
    <row r="684" spans="1:5" x14ac:dyDescent="0.3">
      <c r="A684" s="8" t="s">
        <v>55</v>
      </c>
      <c r="B684">
        <v>1</v>
      </c>
      <c r="C684">
        <v>15</v>
      </c>
      <c r="D684">
        <v>2020</v>
      </c>
      <c r="E684" s="2">
        <f t="shared" si="10"/>
        <v>43845</v>
      </c>
    </row>
    <row r="685" spans="1:5" x14ac:dyDescent="0.3">
      <c r="A685" s="9" t="s">
        <v>71</v>
      </c>
      <c r="B685">
        <v>3</v>
      </c>
      <c r="C685">
        <v>25</v>
      </c>
      <c r="D685">
        <v>2019</v>
      </c>
      <c r="E685" s="2">
        <f t="shared" si="10"/>
        <v>43549</v>
      </c>
    </row>
    <row r="686" spans="1:5" x14ac:dyDescent="0.3">
      <c r="A686" s="8" t="s">
        <v>70</v>
      </c>
      <c r="B686">
        <v>20</v>
      </c>
      <c r="C686">
        <v>2</v>
      </c>
      <c r="D686">
        <v>2020</v>
      </c>
      <c r="E686" s="2">
        <f t="shared" si="10"/>
        <v>43881</v>
      </c>
    </row>
    <row r="687" spans="1:5" x14ac:dyDescent="0.3">
      <c r="A687" s="9" t="s">
        <v>70</v>
      </c>
      <c r="B687">
        <v>20</v>
      </c>
      <c r="C687">
        <v>2</v>
      </c>
      <c r="D687">
        <v>2020</v>
      </c>
      <c r="E687" s="2">
        <f t="shared" si="10"/>
        <v>43881</v>
      </c>
    </row>
    <row r="688" spans="1:5" x14ac:dyDescent="0.3">
      <c r="A688" s="8" t="s">
        <v>55</v>
      </c>
      <c r="B688">
        <v>1</v>
      </c>
      <c r="C688">
        <v>15</v>
      </c>
      <c r="D688">
        <v>2020</v>
      </c>
      <c r="E688" s="2">
        <f t="shared" si="10"/>
        <v>43845</v>
      </c>
    </row>
    <row r="689" spans="1:5" x14ac:dyDescent="0.3">
      <c r="A689" s="9" t="s">
        <v>70</v>
      </c>
      <c r="B689">
        <v>20</v>
      </c>
      <c r="C689">
        <v>2</v>
      </c>
      <c r="D689">
        <v>2020</v>
      </c>
      <c r="E689" s="2">
        <f t="shared" si="10"/>
        <v>43881</v>
      </c>
    </row>
    <row r="690" spans="1:5" x14ac:dyDescent="0.3">
      <c r="A690" s="8" t="s">
        <v>55</v>
      </c>
      <c r="B690">
        <v>1</v>
      </c>
      <c r="C690">
        <v>15</v>
      </c>
      <c r="D690">
        <v>2020</v>
      </c>
      <c r="E690" s="2">
        <f t="shared" si="10"/>
        <v>43845</v>
      </c>
    </row>
    <row r="691" spans="1:5" x14ac:dyDescent="0.3">
      <c r="A691" s="9" t="s">
        <v>75</v>
      </c>
      <c r="B691">
        <v>2019</v>
      </c>
      <c r="C691">
        <v>12</v>
      </c>
      <c r="D691">
        <v>1</v>
      </c>
      <c r="E691" s="2">
        <f t="shared" si="10"/>
        <v>43800</v>
      </c>
    </row>
    <row r="692" spans="1:5" x14ac:dyDescent="0.3">
      <c r="A692" s="8" t="s">
        <v>69</v>
      </c>
      <c r="B692" t="s">
        <v>74</v>
      </c>
      <c r="C692">
        <v>5</v>
      </c>
      <c r="D692">
        <v>2018</v>
      </c>
      <c r="E692" s="2">
        <f t="shared" si="10"/>
        <v>43195</v>
      </c>
    </row>
    <row r="693" spans="1:5" x14ac:dyDescent="0.3">
      <c r="A693" s="9" t="s">
        <v>71</v>
      </c>
      <c r="B693">
        <v>3</v>
      </c>
      <c r="C693">
        <v>25</v>
      </c>
      <c r="D693">
        <v>2019</v>
      </c>
      <c r="E693" s="2">
        <f t="shared" si="10"/>
        <v>43549</v>
      </c>
    </row>
    <row r="694" spans="1:5" x14ac:dyDescent="0.3">
      <c r="A694" s="8" t="s">
        <v>69</v>
      </c>
      <c r="B694" t="s">
        <v>74</v>
      </c>
      <c r="C694">
        <v>5</v>
      </c>
      <c r="D694">
        <v>2018</v>
      </c>
      <c r="E694" s="2">
        <f t="shared" si="10"/>
        <v>43195</v>
      </c>
    </row>
    <row r="695" spans="1:5" x14ac:dyDescent="0.3">
      <c r="A695" s="9" t="s">
        <v>69</v>
      </c>
      <c r="B695" t="s">
        <v>74</v>
      </c>
      <c r="C695">
        <v>5</v>
      </c>
      <c r="D695">
        <v>2018</v>
      </c>
      <c r="E695" s="2">
        <f t="shared" si="10"/>
        <v>43195</v>
      </c>
    </row>
    <row r="696" spans="1:5" x14ac:dyDescent="0.3">
      <c r="A696" s="8" t="s">
        <v>75</v>
      </c>
      <c r="B696">
        <v>2019</v>
      </c>
      <c r="C696">
        <v>12</v>
      </c>
      <c r="D696">
        <v>1</v>
      </c>
      <c r="E696" s="2">
        <f t="shared" si="10"/>
        <v>43800</v>
      </c>
    </row>
    <row r="697" spans="1:5" x14ac:dyDescent="0.3">
      <c r="A697" s="9" t="s">
        <v>70</v>
      </c>
      <c r="B697">
        <v>20</v>
      </c>
      <c r="C697">
        <v>2</v>
      </c>
      <c r="D697">
        <v>2020</v>
      </c>
      <c r="E697" s="2">
        <f t="shared" si="10"/>
        <v>43881</v>
      </c>
    </row>
    <row r="698" spans="1:5" x14ac:dyDescent="0.3">
      <c r="A698" s="8" t="s">
        <v>71</v>
      </c>
      <c r="B698">
        <v>3</v>
      </c>
      <c r="C698">
        <v>25</v>
      </c>
      <c r="D698">
        <v>2019</v>
      </c>
      <c r="E698" s="2">
        <f t="shared" si="10"/>
        <v>43549</v>
      </c>
    </row>
    <row r="699" spans="1:5" x14ac:dyDescent="0.3">
      <c r="A699" s="9" t="s">
        <v>70</v>
      </c>
      <c r="B699">
        <v>20</v>
      </c>
      <c r="C699">
        <v>2</v>
      </c>
      <c r="D699">
        <v>2020</v>
      </c>
      <c r="E699" s="2">
        <f t="shared" si="10"/>
        <v>43881</v>
      </c>
    </row>
    <row r="700" spans="1:5" x14ac:dyDescent="0.3">
      <c r="A700" s="8" t="s">
        <v>69</v>
      </c>
      <c r="B700" t="s">
        <v>74</v>
      </c>
      <c r="C700">
        <v>5</v>
      </c>
      <c r="D700">
        <v>2018</v>
      </c>
      <c r="E700" s="2">
        <f t="shared" si="10"/>
        <v>43195</v>
      </c>
    </row>
    <row r="701" spans="1:5" x14ac:dyDescent="0.3">
      <c r="A701" s="9" t="s">
        <v>55</v>
      </c>
      <c r="B701">
        <v>1</v>
      </c>
      <c r="C701">
        <v>15</v>
      </c>
      <c r="D701">
        <v>2020</v>
      </c>
      <c r="E701" s="2">
        <f t="shared" si="10"/>
        <v>43845</v>
      </c>
    </row>
    <row r="702" spans="1:5" x14ac:dyDescent="0.3">
      <c r="A702" s="8" t="s">
        <v>69</v>
      </c>
      <c r="B702" t="s">
        <v>74</v>
      </c>
      <c r="C702">
        <v>5</v>
      </c>
      <c r="D702">
        <v>2018</v>
      </c>
      <c r="E702" s="2">
        <f t="shared" si="10"/>
        <v>43195</v>
      </c>
    </row>
    <row r="703" spans="1:5" x14ac:dyDescent="0.3">
      <c r="A703" s="9" t="s">
        <v>70</v>
      </c>
      <c r="B703">
        <v>20</v>
      </c>
      <c r="C703">
        <v>2</v>
      </c>
      <c r="D703">
        <v>2020</v>
      </c>
      <c r="E703" s="2">
        <f t="shared" si="10"/>
        <v>43881</v>
      </c>
    </row>
    <row r="704" spans="1:5" x14ac:dyDescent="0.3">
      <c r="A704" s="8" t="s">
        <v>69</v>
      </c>
      <c r="B704" t="s">
        <v>74</v>
      </c>
      <c r="C704">
        <v>5</v>
      </c>
      <c r="D704">
        <v>2018</v>
      </c>
      <c r="E704" s="2">
        <f t="shared" si="10"/>
        <v>43195</v>
      </c>
    </row>
    <row r="705" spans="1:5" x14ac:dyDescent="0.3">
      <c r="A705" s="9" t="s">
        <v>55</v>
      </c>
      <c r="B705">
        <v>1</v>
      </c>
      <c r="C705">
        <v>15</v>
      </c>
      <c r="D705">
        <v>2020</v>
      </c>
      <c r="E705" s="2">
        <f t="shared" si="10"/>
        <v>43845</v>
      </c>
    </row>
    <row r="706" spans="1:5" x14ac:dyDescent="0.3">
      <c r="A706" s="8" t="s">
        <v>75</v>
      </c>
      <c r="B706">
        <v>2019</v>
      </c>
      <c r="C706">
        <v>12</v>
      </c>
      <c r="D706">
        <v>1</v>
      </c>
      <c r="E706" s="2">
        <f t="shared" si="10"/>
        <v>43800</v>
      </c>
    </row>
    <row r="707" spans="1:5" x14ac:dyDescent="0.3">
      <c r="A707" s="9" t="s">
        <v>70</v>
      </c>
      <c r="B707">
        <v>20</v>
      </c>
      <c r="C707">
        <v>2</v>
      </c>
      <c r="D707">
        <v>2020</v>
      </c>
      <c r="E707" s="2">
        <f t="shared" ref="E707:E770" si="11">DATE(
 IF(ISNUMBER(--B707),
     IF(LEN(B707)=4, B707, D707),
     D707
 ),
 IF(ISNUMBER(--B707),
     IF(LEN(B707)=4, C707, IF(B707&gt;12, C707, B707)),
     MONTH(DATEVALUE(B707 &amp; " 1"))
 ),
 IF(ISNUMBER(--B707),
     IF(LEN(B707)=4, D707, IF(B707&gt;12, B707, C707)),
     C707
 )
)</f>
        <v>43881</v>
      </c>
    </row>
    <row r="708" spans="1:5" x14ac:dyDescent="0.3">
      <c r="A708" s="8" t="s">
        <v>69</v>
      </c>
      <c r="B708" t="s">
        <v>74</v>
      </c>
      <c r="C708">
        <v>5</v>
      </c>
      <c r="D708">
        <v>2018</v>
      </c>
      <c r="E708" s="2">
        <f t="shared" si="11"/>
        <v>43195</v>
      </c>
    </row>
    <row r="709" spans="1:5" x14ac:dyDescent="0.3">
      <c r="A709" s="9" t="s">
        <v>70</v>
      </c>
      <c r="B709">
        <v>20</v>
      </c>
      <c r="C709">
        <v>2</v>
      </c>
      <c r="D709">
        <v>2020</v>
      </c>
      <c r="E709" s="2">
        <f t="shared" si="11"/>
        <v>43881</v>
      </c>
    </row>
    <row r="710" spans="1:5" x14ac:dyDescent="0.3">
      <c r="A710" s="8" t="s">
        <v>75</v>
      </c>
      <c r="B710">
        <v>2019</v>
      </c>
      <c r="C710">
        <v>12</v>
      </c>
      <c r="D710">
        <v>1</v>
      </c>
      <c r="E710" s="2">
        <f t="shared" si="11"/>
        <v>43800</v>
      </c>
    </row>
    <row r="711" spans="1:5" x14ac:dyDescent="0.3">
      <c r="A711" s="9" t="s">
        <v>69</v>
      </c>
      <c r="B711" t="s">
        <v>74</v>
      </c>
      <c r="C711">
        <v>5</v>
      </c>
      <c r="D711">
        <v>2018</v>
      </c>
      <c r="E711" s="2">
        <f t="shared" si="11"/>
        <v>43195</v>
      </c>
    </row>
    <row r="712" spans="1:5" x14ac:dyDescent="0.3">
      <c r="A712" s="8" t="s">
        <v>69</v>
      </c>
      <c r="B712" t="s">
        <v>74</v>
      </c>
      <c r="C712">
        <v>5</v>
      </c>
      <c r="D712">
        <v>2018</v>
      </c>
      <c r="E712" s="2">
        <f t="shared" si="11"/>
        <v>43195</v>
      </c>
    </row>
    <row r="713" spans="1:5" x14ac:dyDescent="0.3">
      <c r="A713" s="9" t="s">
        <v>70</v>
      </c>
      <c r="B713">
        <v>20</v>
      </c>
      <c r="C713">
        <v>2</v>
      </c>
      <c r="D713">
        <v>2020</v>
      </c>
      <c r="E713" s="2">
        <f t="shared" si="11"/>
        <v>43881</v>
      </c>
    </row>
    <row r="714" spans="1:5" x14ac:dyDescent="0.3">
      <c r="A714" s="8" t="s">
        <v>70</v>
      </c>
      <c r="B714">
        <v>20</v>
      </c>
      <c r="C714">
        <v>2</v>
      </c>
      <c r="D714">
        <v>2020</v>
      </c>
      <c r="E714" s="2">
        <f t="shared" si="11"/>
        <v>43881</v>
      </c>
    </row>
    <row r="715" spans="1:5" x14ac:dyDescent="0.3">
      <c r="A715" s="9" t="s">
        <v>55</v>
      </c>
      <c r="B715">
        <v>1</v>
      </c>
      <c r="C715">
        <v>15</v>
      </c>
      <c r="D715">
        <v>2020</v>
      </c>
      <c r="E715" s="2">
        <f t="shared" si="11"/>
        <v>43845</v>
      </c>
    </row>
    <row r="716" spans="1:5" x14ac:dyDescent="0.3">
      <c r="A716" s="8" t="s">
        <v>75</v>
      </c>
      <c r="B716">
        <v>2019</v>
      </c>
      <c r="C716">
        <v>12</v>
      </c>
      <c r="D716">
        <v>1</v>
      </c>
      <c r="E716" s="2">
        <f t="shared" si="11"/>
        <v>43800</v>
      </c>
    </row>
    <row r="717" spans="1:5" x14ac:dyDescent="0.3">
      <c r="A717" s="9" t="s">
        <v>55</v>
      </c>
      <c r="B717">
        <v>1</v>
      </c>
      <c r="C717">
        <v>15</v>
      </c>
      <c r="D717">
        <v>2020</v>
      </c>
      <c r="E717" s="2">
        <f t="shared" si="11"/>
        <v>43845</v>
      </c>
    </row>
    <row r="718" spans="1:5" x14ac:dyDescent="0.3">
      <c r="A718" s="8" t="s">
        <v>69</v>
      </c>
      <c r="B718" t="s">
        <v>74</v>
      </c>
      <c r="C718">
        <v>5</v>
      </c>
      <c r="D718">
        <v>2018</v>
      </c>
      <c r="E718" s="2">
        <f t="shared" si="11"/>
        <v>43195</v>
      </c>
    </row>
    <row r="719" spans="1:5" x14ac:dyDescent="0.3">
      <c r="A719" s="9" t="s">
        <v>70</v>
      </c>
      <c r="B719">
        <v>20</v>
      </c>
      <c r="C719">
        <v>2</v>
      </c>
      <c r="D719">
        <v>2020</v>
      </c>
      <c r="E719" s="2">
        <f t="shared" si="11"/>
        <v>43881</v>
      </c>
    </row>
    <row r="720" spans="1:5" x14ac:dyDescent="0.3">
      <c r="A720" s="8" t="s">
        <v>69</v>
      </c>
      <c r="B720" t="s">
        <v>74</v>
      </c>
      <c r="C720">
        <v>5</v>
      </c>
      <c r="D720">
        <v>2018</v>
      </c>
      <c r="E720" s="2">
        <f t="shared" si="11"/>
        <v>43195</v>
      </c>
    </row>
    <row r="721" spans="1:5" x14ac:dyDescent="0.3">
      <c r="A721" s="9" t="s">
        <v>69</v>
      </c>
      <c r="B721" t="s">
        <v>74</v>
      </c>
      <c r="C721">
        <v>5</v>
      </c>
      <c r="D721">
        <v>2018</v>
      </c>
      <c r="E721" s="2">
        <f t="shared" si="11"/>
        <v>43195</v>
      </c>
    </row>
    <row r="722" spans="1:5" x14ac:dyDescent="0.3">
      <c r="A722" s="8" t="s">
        <v>71</v>
      </c>
      <c r="B722">
        <v>3</v>
      </c>
      <c r="C722">
        <v>25</v>
      </c>
      <c r="D722">
        <v>2019</v>
      </c>
      <c r="E722" s="2">
        <f t="shared" si="11"/>
        <v>43549</v>
      </c>
    </row>
    <row r="723" spans="1:5" x14ac:dyDescent="0.3">
      <c r="A723" s="9" t="s">
        <v>71</v>
      </c>
      <c r="B723">
        <v>3</v>
      </c>
      <c r="C723">
        <v>25</v>
      </c>
      <c r="D723">
        <v>2019</v>
      </c>
      <c r="E723" s="2">
        <f t="shared" si="11"/>
        <v>43549</v>
      </c>
    </row>
    <row r="724" spans="1:5" x14ac:dyDescent="0.3">
      <c r="A724" s="8" t="s">
        <v>69</v>
      </c>
      <c r="B724" t="s">
        <v>74</v>
      </c>
      <c r="C724">
        <v>5</v>
      </c>
      <c r="D724">
        <v>2018</v>
      </c>
      <c r="E724" s="2">
        <f t="shared" si="11"/>
        <v>43195</v>
      </c>
    </row>
    <row r="725" spans="1:5" x14ac:dyDescent="0.3">
      <c r="A725" s="9" t="s">
        <v>70</v>
      </c>
      <c r="B725">
        <v>20</v>
      </c>
      <c r="C725">
        <v>2</v>
      </c>
      <c r="D725">
        <v>2020</v>
      </c>
      <c r="E725" s="2">
        <f t="shared" si="11"/>
        <v>43881</v>
      </c>
    </row>
    <row r="726" spans="1:5" x14ac:dyDescent="0.3">
      <c r="A726" s="8" t="s">
        <v>69</v>
      </c>
      <c r="B726" t="s">
        <v>74</v>
      </c>
      <c r="C726">
        <v>5</v>
      </c>
      <c r="D726">
        <v>2018</v>
      </c>
      <c r="E726" s="2">
        <f t="shared" si="11"/>
        <v>43195</v>
      </c>
    </row>
    <row r="727" spans="1:5" x14ac:dyDescent="0.3">
      <c r="A727" s="9" t="s">
        <v>71</v>
      </c>
      <c r="B727">
        <v>3</v>
      </c>
      <c r="C727">
        <v>25</v>
      </c>
      <c r="D727">
        <v>2019</v>
      </c>
      <c r="E727" s="2">
        <f t="shared" si="11"/>
        <v>43549</v>
      </c>
    </row>
    <row r="728" spans="1:5" x14ac:dyDescent="0.3">
      <c r="A728" s="8" t="s">
        <v>70</v>
      </c>
      <c r="B728">
        <v>20</v>
      </c>
      <c r="C728">
        <v>2</v>
      </c>
      <c r="D728">
        <v>2020</v>
      </c>
      <c r="E728" s="2">
        <f t="shared" si="11"/>
        <v>43881</v>
      </c>
    </row>
    <row r="729" spans="1:5" x14ac:dyDescent="0.3">
      <c r="A729" s="9" t="s">
        <v>69</v>
      </c>
      <c r="B729" t="s">
        <v>74</v>
      </c>
      <c r="C729">
        <v>5</v>
      </c>
      <c r="D729">
        <v>2018</v>
      </c>
      <c r="E729" s="2">
        <f t="shared" si="11"/>
        <v>43195</v>
      </c>
    </row>
    <row r="730" spans="1:5" x14ac:dyDescent="0.3">
      <c r="A730" s="8" t="s">
        <v>75</v>
      </c>
      <c r="B730">
        <v>2019</v>
      </c>
      <c r="C730">
        <v>12</v>
      </c>
      <c r="D730">
        <v>1</v>
      </c>
      <c r="E730" s="2">
        <f t="shared" si="11"/>
        <v>43800</v>
      </c>
    </row>
    <row r="731" spans="1:5" x14ac:dyDescent="0.3">
      <c r="A731" s="9" t="s">
        <v>75</v>
      </c>
      <c r="B731">
        <v>2019</v>
      </c>
      <c r="C731">
        <v>12</v>
      </c>
      <c r="D731">
        <v>1</v>
      </c>
      <c r="E731" s="2">
        <f t="shared" si="11"/>
        <v>43800</v>
      </c>
    </row>
    <row r="732" spans="1:5" x14ac:dyDescent="0.3">
      <c r="A732" s="8" t="s">
        <v>69</v>
      </c>
      <c r="B732" t="s">
        <v>74</v>
      </c>
      <c r="C732">
        <v>5</v>
      </c>
      <c r="D732">
        <v>2018</v>
      </c>
      <c r="E732" s="2">
        <f t="shared" si="11"/>
        <v>43195</v>
      </c>
    </row>
    <row r="733" spans="1:5" x14ac:dyDescent="0.3">
      <c r="A733" s="9" t="s">
        <v>70</v>
      </c>
      <c r="B733">
        <v>20</v>
      </c>
      <c r="C733">
        <v>2</v>
      </c>
      <c r="D733">
        <v>2020</v>
      </c>
      <c r="E733" s="2">
        <f t="shared" si="11"/>
        <v>43881</v>
      </c>
    </row>
    <row r="734" spans="1:5" x14ac:dyDescent="0.3">
      <c r="A734" s="8" t="s">
        <v>69</v>
      </c>
      <c r="B734" t="s">
        <v>74</v>
      </c>
      <c r="C734">
        <v>5</v>
      </c>
      <c r="D734">
        <v>2018</v>
      </c>
      <c r="E734" s="2">
        <f t="shared" si="11"/>
        <v>43195</v>
      </c>
    </row>
    <row r="735" spans="1:5" x14ac:dyDescent="0.3">
      <c r="A735" s="9" t="s">
        <v>69</v>
      </c>
      <c r="B735" t="s">
        <v>74</v>
      </c>
      <c r="C735">
        <v>5</v>
      </c>
      <c r="D735">
        <v>2018</v>
      </c>
      <c r="E735" s="2">
        <f t="shared" si="11"/>
        <v>43195</v>
      </c>
    </row>
    <row r="736" spans="1:5" x14ac:dyDescent="0.3">
      <c r="A736" s="8" t="s">
        <v>71</v>
      </c>
      <c r="B736">
        <v>3</v>
      </c>
      <c r="C736">
        <v>25</v>
      </c>
      <c r="D736">
        <v>2019</v>
      </c>
      <c r="E736" s="2">
        <f t="shared" si="11"/>
        <v>43549</v>
      </c>
    </row>
    <row r="737" spans="1:5" x14ac:dyDescent="0.3">
      <c r="A737" s="9" t="s">
        <v>75</v>
      </c>
      <c r="B737">
        <v>2019</v>
      </c>
      <c r="C737">
        <v>12</v>
      </c>
      <c r="D737">
        <v>1</v>
      </c>
      <c r="E737" s="2">
        <f t="shared" si="11"/>
        <v>43800</v>
      </c>
    </row>
    <row r="738" spans="1:5" x14ac:dyDescent="0.3">
      <c r="A738" s="8" t="s">
        <v>71</v>
      </c>
      <c r="B738">
        <v>3</v>
      </c>
      <c r="C738">
        <v>25</v>
      </c>
      <c r="D738">
        <v>2019</v>
      </c>
      <c r="E738" s="2">
        <f t="shared" si="11"/>
        <v>43549</v>
      </c>
    </row>
    <row r="739" spans="1:5" x14ac:dyDescent="0.3">
      <c r="A739" s="9" t="s">
        <v>71</v>
      </c>
      <c r="B739">
        <v>3</v>
      </c>
      <c r="C739">
        <v>25</v>
      </c>
      <c r="D739">
        <v>2019</v>
      </c>
      <c r="E739" s="2">
        <f t="shared" si="11"/>
        <v>43549</v>
      </c>
    </row>
    <row r="740" spans="1:5" x14ac:dyDescent="0.3">
      <c r="A740" s="8" t="s">
        <v>69</v>
      </c>
      <c r="B740" t="s">
        <v>74</v>
      </c>
      <c r="C740">
        <v>5</v>
      </c>
      <c r="D740">
        <v>2018</v>
      </c>
      <c r="E740" s="2">
        <f t="shared" si="11"/>
        <v>43195</v>
      </c>
    </row>
    <row r="741" spans="1:5" x14ac:dyDescent="0.3">
      <c r="A741" s="9" t="s">
        <v>71</v>
      </c>
      <c r="B741">
        <v>3</v>
      </c>
      <c r="C741">
        <v>25</v>
      </c>
      <c r="D741">
        <v>2019</v>
      </c>
      <c r="E741" s="2">
        <f t="shared" si="11"/>
        <v>43549</v>
      </c>
    </row>
    <row r="742" spans="1:5" x14ac:dyDescent="0.3">
      <c r="A742" s="8" t="s">
        <v>75</v>
      </c>
      <c r="B742">
        <v>2019</v>
      </c>
      <c r="C742">
        <v>12</v>
      </c>
      <c r="D742">
        <v>1</v>
      </c>
      <c r="E742" s="2">
        <f t="shared" si="11"/>
        <v>43800</v>
      </c>
    </row>
    <row r="743" spans="1:5" x14ac:dyDescent="0.3">
      <c r="A743" s="9" t="s">
        <v>71</v>
      </c>
      <c r="B743">
        <v>3</v>
      </c>
      <c r="C743">
        <v>25</v>
      </c>
      <c r="D743">
        <v>2019</v>
      </c>
      <c r="E743" s="2">
        <f t="shared" si="11"/>
        <v>43549</v>
      </c>
    </row>
    <row r="744" spans="1:5" x14ac:dyDescent="0.3">
      <c r="A744" s="8" t="s">
        <v>75</v>
      </c>
      <c r="B744">
        <v>2019</v>
      </c>
      <c r="C744">
        <v>12</v>
      </c>
      <c r="D744">
        <v>1</v>
      </c>
      <c r="E744" s="2">
        <f t="shared" si="11"/>
        <v>43800</v>
      </c>
    </row>
    <row r="745" spans="1:5" x14ac:dyDescent="0.3">
      <c r="A745" s="9" t="s">
        <v>71</v>
      </c>
      <c r="B745">
        <v>3</v>
      </c>
      <c r="C745">
        <v>25</v>
      </c>
      <c r="D745">
        <v>2019</v>
      </c>
      <c r="E745" s="2">
        <f t="shared" si="11"/>
        <v>43549</v>
      </c>
    </row>
    <row r="746" spans="1:5" x14ac:dyDescent="0.3">
      <c r="A746" s="8" t="s">
        <v>75</v>
      </c>
      <c r="B746">
        <v>2019</v>
      </c>
      <c r="C746">
        <v>12</v>
      </c>
      <c r="D746">
        <v>1</v>
      </c>
      <c r="E746" s="2">
        <f t="shared" si="11"/>
        <v>43800</v>
      </c>
    </row>
    <row r="747" spans="1:5" x14ac:dyDescent="0.3">
      <c r="A747" s="9" t="s">
        <v>71</v>
      </c>
      <c r="B747">
        <v>3</v>
      </c>
      <c r="C747">
        <v>25</v>
      </c>
      <c r="D747">
        <v>2019</v>
      </c>
      <c r="E747" s="2">
        <f t="shared" si="11"/>
        <v>43549</v>
      </c>
    </row>
    <row r="748" spans="1:5" x14ac:dyDescent="0.3">
      <c r="A748" s="8" t="s">
        <v>71</v>
      </c>
      <c r="B748">
        <v>3</v>
      </c>
      <c r="C748">
        <v>25</v>
      </c>
      <c r="D748">
        <v>2019</v>
      </c>
      <c r="E748" s="2">
        <f t="shared" si="11"/>
        <v>43549</v>
      </c>
    </row>
    <row r="749" spans="1:5" x14ac:dyDescent="0.3">
      <c r="A749" s="9" t="s">
        <v>70</v>
      </c>
      <c r="B749">
        <v>20</v>
      </c>
      <c r="C749">
        <v>2</v>
      </c>
      <c r="D749">
        <v>2020</v>
      </c>
      <c r="E749" s="2">
        <f t="shared" si="11"/>
        <v>43881</v>
      </c>
    </row>
    <row r="750" spans="1:5" x14ac:dyDescent="0.3">
      <c r="A750" s="8" t="s">
        <v>75</v>
      </c>
      <c r="B750">
        <v>2019</v>
      </c>
      <c r="C750">
        <v>12</v>
      </c>
      <c r="D750">
        <v>1</v>
      </c>
      <c r="E750" s="2">
        <f t="shared" si="11"/>
        <v>43800</v>
      </c>
    </row>
    <row r="751" spans="1:5" x14ac:dyDescent="0.3">
      <c r="A751" s="9" t="s">
        <v>75</v>
      </c>
      <c r="B751">
        <v>2019</v>
      </c>
      <c r="C751">
        <v>12</v>
      </c>
      <c r="D751">
        <v>1</v>
      </c>
      <c r="E751" s="2">
        <f t="shared" si="11"/>
        <v>43800</v>
      </c>
    </row>
    <row r="752" spans="1:5" x14ac:dyDescent="0.3">
      <c r="A752" s="8" t="s">
        <v>75</v>
      </c>
      <c r="B752">
        <v>2019</v>
      </c>
      <c r="C752">
        <v>12</v>
      </c>
      <c r="D752">
        <v>1</v>
      </c>
      <c r="E752" s="2">
        <f t="shared" si="11"/>
        <v>43800</v>
      </c>
    </row>
    <row r="753" spans="1:5" x14ac:dyDescent="0.3">
      <c r="A753" s="9" t="s">
        <v>55</v>
      </c>
      <c r="B753">
        <v>1</v>
      </c>
      <c r="C753">
        <v>15</v>
      </c>
      <c r="D753">
        <v>2020</v>
      </c>
      <c r="E753" s="2">
        <f t="shared" si="11"/>
        <v>43845</v>
      </c>
    </row>
    <row r="754" spans="1:5" x14ac:dyDescent="0.3">
      <c r="A754" s="8" t="s">
        <v>71</v>
      </c>
      <c r="B754">
        <v>3</v>
      </c>
      <c r="C754">
        <v>25</v>
      </c>
      <c r="D754">
        <v>2019</v>
      </c>
      <c r="E754" s="2">
        <f t="shared" si="11"/>
        <v>43549</v>
      </c>
    </row>
    <row r="755" spans="1:5" x14ac:dyDescent="0.3">
      <c r="A755" s="9" t="s">
        <v>75</v>
      </c>
      <c r="B755">
        <v>2019</v>
      </c>
      <c r="C755">
        <v>12</v>
      </c>
      <c r="D755">
        <v>1</v>
      </c>
      <c r="E755" s="2">
        <f t="shared" si="11"/>
        <v>43800</v>
      </c>
    </row>
    <row r="756" spans="1:5" x14ac:dyDescent="0.3">
      <c r="A756" s="8" t="s">
        <v>55</v>
      </c>
      <c r="B756">
        <v>1</v>
      </c>
      <c r="C756">
        <v>15</v>
      </c>
      <c r="D756">
        <v>2020</v>
      </c>
      <c r="E756" s="2">
        <f t="shared" si="11"/>
        <v>43845</v>
      </c>
    </row>
    <row r="757" spans="1:5" x14ac:dyDescent="0.3">
      <c r="A757" s="9" t="s">
        <v>70</v>
      </c>
      <c r="B757">
        <v>20</v>
      </c>
      <c r="C757">
        <v>2</v>
      </c>
      <c r="D757">
        <v>2020</v>
      </c>
      <c r="E757" s="2">
        <f t="shared" si="11"/>
        <v>43881</v>
      </c>
    </row>
    <row r="758" spans="1:5" x14ac:dyDescent="0.3">
      <c r="A758" s="8" t="s">
        <v>75</v>
      </c>
      <c r="B758">
        <v>2019</v>
      </c>
      <c r="C758">
        <v>12</v>
      </c>
      <c r="D758">
        <v>1</v>
      </c>
      <c r="E758" s="2">
        <f t="shared" si="11"/>
        <v>43800</v>
      </c>
    </row>
    <row r="759" spans="1:5" x14ac:dyDescent="0.3">
      <c r="A759" s="9" t="s">
        <v>75</v>
      </c>
      <c r="B759">
        <v>2019</v>
      </c>
      <c r="C759">
        <v>12</v>
      </c>
      <c r="D759">
        <v>1</v>
      </c>
      <c r="E759" s="2">
        <f t="shared" si="11"/>
        <v>43800</v>
      </c>
    </row>
    <row r="760" spans="1:5" x14ac:dyDescent="0.3">
      <c r="A760" s="8" t="s">
        <v>55</v>
      </c>
      <c r="B760">
        <v>1</v>
      </c>
      <c r="C760">
        <v>15</v>
      </c>
      <c r="D760">
        <v>2020</v>
      </c>
      <c r="E760" s="2">
        <f t="shared" si="11"/>
        <v>43845</v>
      </c>
    </row>
    <row r="761" spans="1:5" x14ac:dyDescent="0.3">
      <c r="A761" s="9" t="s">
        <v>71</v>
      </c>
      <c r="B761">
        <v>3</v>
      </c>
      <c r="C761">
        <v>25</v>
      </c>
      <c r="D761">
        <v>2019</v>
      </c>
      <c r="E761" s="2">
        <f t="shared" si="11"/>
        <v>43549</v>
      </c>
    </row>
    <row r="762" spans="1:5" x14ac:dyDescent="0.3">
      <c r="A762" s="8" t="s">
        <v>70</v>
      </c>
      <c r="B762">
        <v>20</v>
      </c>
      <c r="C762">
        <v>2</v>
      </c>
      <c r="D762">
        <v>2020</v>
      </c>
      <c r="E762" s="2">
        <f t="shared" si="11"/>
        <v>43881</v>
      </c>
    </row>
    <row r="763" spans="1:5" x14ac:dyDescent="0.3">
      <c r="A763" s="9" t="s">
        <v>75</v>
      </c>
      <c r="B763">
        <v>2019</v>
      </c>
      <c r="C763">
        <v>12</v>
      </c>
      <c r="D763">
        <v>1</v>
      </c>
      <c r="E763" s="2">
        <f t="shared" si="11"/>
        <v>43800</v>
      </c>
    </row>
    <row r="764" spans="1:5" x14ac:dyDescent="0.3">
      <c r="A764" s="8" t="s">
        <v>71</v>
      </c>
      <c r="B764">
        <v>3</v>
      </c>
      <c r="C764">
        <v>25</v>
      </c>
      <c r="D764">
        <v>2019</v>
      </c>
      <c r="E764" s="2">
        <f t="shared" si="11"/>
        <v>43549</v>
      </c>
    </row>
    <row r="765" spans="1:5" x14ac:dyDescent="0.3">
      <c r="A765" s="9" t="s">
        <v>70</v>
      </c>
      <c r="B765">
        <v>20</v>
      </c>
      <c r="C765">
        <v>2</v>
      </c>
      <c r="D765">
        <v>2020</v>
      </c>
      <c r="E765" s="2">
        <f t="shared" si="11"/>
        <v>43881</v>
      </c>
    </row>
    <row r="766" spans="1:5" x14ac:dyDescent="0.3">
      <c r="A766" s="8" t="s">
        <v>69</v>
      </c>
      <c r="B766" t="s">
        <v>74</v>
      </c>
      <c r="C766">
        <v>5</v>
      </c>
      <c r="D766">
        <v>2018</v>
      </c>
      <c r="E766" s="2">
        <f t="shared" si="11"/>
        <v>43195</v>
      </c>
    </row>
    <row r="767" spans="1:5" x14ac:dyDescent="0.3">
      <c r="A767" s="9" t="s">
        <v>69</v>
      </c>
      <c r="B767" t="s">
        <v>74</v>
      </c>
      <c r="C767">
        <v>5</v>
      </c>
      <c r="D767">
        <v>2018</v>
      </c>
      <c r="E767" s="2">
        <f t="shared" si="11"/>
        <v>43195</v>
      </c>
    </row>
    <row r="768" spans="1:5" x14ac:dyDescent="0.3">
      <c r="A768" s="8" t="s">
        <v>70</v>
      </c>
      <c r="B768">
        <v>20</v>
      </c>
      <c r="C768">
        <v>2</v>
      </c>
      <c r="D768">
        <v>2020</v>
      </c>
      <c r="E768" s="2">
        <f t="shared" si="11"/>
        <v>43881</v>
      </c>
    </row>
    <row r="769" spans="1:5" x14ac:dyDescent="0.3">
      <c r="A769" s="9" t="s">
        <v>55</v>
      </c>
      <c r="B769">
        <v>1</v>
      </c>
      <c r="C769">
        <v>15</v>
      </c>
      <c r="D769">
        <v>2020</v>
      </c>
      <c r="E769" s="2">
        <f t="shared" si="11"/>
        <v>43845</v>
      </c>
    </row>
    <row r="770" spans="1:5" x14ac:dyDescent="0.3">
      <c r="A770" s="8" t="s">
        <v>70</v>
      </c>
      <c r="B770">
        <v>20</v>
      </c>
      <c r="C770">
        <v>2</v>
      </c>
      <c r="D770">
        <v>2020</v>
      </c>
      <c r="E770" s="2">
        <f t="shared" si="11"/>
        <v>43881</v>
      </c>
    </row>
    <row r="771" spans="1:5" x14ac:dyDescent="0.3">
      <c r="A771" s="9" t="s">
        <v>70</v>
      </c>
      <c r="B771">
        <v>20</v>
      </c>
      <c r="C771">
        <v>2</v>
      </c>
      <c r="D771">
        <v>2020</v>
      </c>
      <c r="E771" s="2">
        <f t="shared" ref="E771:E834" si="12">DATE(
 IF(ISNUMBER(--B771),
     IF(LEN(B771)=4, B771, D771),
     D771
 ),
 IF(ISNUMBER(--B771),
     IF(LEN(B771)=4, C771, IF(B771&gt;12, C771, B771)),
     MONTH(DATEVALUE(B771 &amp; " 1"))
 ),
 IF(ISNUMBER(--B771),
     IF(LEN(B771)=4, D771, IF(B771&gt;12, B771, C771)),
     C771
 )
)</f>
        <v>43881</v>
      </c>
    </row>
    <row r="772" spans="1:5" x14ac:dyDescent="0.3">
      <c r="A772" s="8" t="s">
        <v>55</v>
      </c>
      <c r="B772">
        <v>1</v>
      </c>
      <c r="C772">
        <v>15</v>
      </c>
      <c r="D772">
        <v>2020</v>
      </c>
      <c r="E772" s="2">
        <f t="shared" si="12"/>
        <v>43845</v>
      </c>
    </row>
    <row r="773" spans="1:5" x14ac:dyDescent="0.3">
      <c r="A773" s="9" t="s">
        <v>55</v>
      </c>
      <c r="B773">
        <v>1</v>
      </c>
      <c r="C773">
        <v>15</v>
      </c>
      <c r="D773">
        <v>2020</v>
      </c>
      <c r="E773" s="2">
        <f t="shared" si="12"/>
        <v>43845</v>
      </c>
    </row>
    <row r="774" spans="1:5" x14ac:dyDescent="0.3">
      <c r="A774" s="8" t="s">
        <v>71</v>
      </c>
      <c r="B774">
        <v>3</v>
      </c>
      <c r="C774">
        <v>25</v>
      </c>
      <c r="D774">
        <v>2019</v>
      </c>
      <c r="E774" s="2">
        <f t="shared" si="12"/>
        <v>43549</v>
      </c>
    </row>
    <row r="775" spans="1:5" x14ac:dyDescent="0.3">
      <c r="A775" s="9" t="s">
        <v>71</v>
      </c>
      <c r="B775">
        <v>3</v>
      </c>
      <c r="C775">
        <v>25</v>
      </c>
      <c r="D775">
        <v>2019</v>
      </c>
      <c r="E775" s="2">
        <f t="shared" si="12"/>
        <v>43549</v>
      </c>
    </row>
    <row r="776" spans="1:5" x14ac:dyDescent="0.3">
      <c r="A776" s="8" t="s">
        <v>55</v>
      </c>
      <c r="B776">
        <v>1</v>
      </c>
      <c r="C776">
        <v>15</v>
      </c>
      <c r="D776">
        <v>2020</v>
      </c>
      <c r="E776" s="2">
        <f t="shared" si="12"/>
        <v>43845</v>
      </c>
    </row>
    <row r="777" spans="1:5" x14ac:dyDescent="0.3">
      <c r="A777" s="9" t="s">
        <v>69</v>
      </c>
      <c r="B777" t="s">
        <v>74</v>
      </c>
      <c r="C777">
        <v>5</v>
      </c>
      <c r="D777">
        <v>2018</v>
      </c>
      <c r="E777" s="2">
        <f t="shared" si="12"/>
        <v>43195</v>
      </c>
    </row>
    <row r="778" spans="1:5" x14ac:dyDescent="0.3">
      <c r="A778" s="8" t="s">
        <v>69</v>
      </c>
      <c r="B778" t="s">
        <v>74</v>
      </c>
      <c r="C778">
        <v>5</v>
      </c>
      <c r="D778">
        <v>2018</v>
      </c>
      <c r="E778" s="2">
        <f t="shared" si="12"/>
        <v>43195</v>
      </c>
    </row>
    <row r="779" spans="1:5" x14ac:dyDescent="0.3">
      <c r="A779" s="9" t="s">
        <v>70</v>
      </c>
      <c r="B779">
        <v>20</v>
      </c>
      <c r="C779">
        <v>2</v>
      </c>
      <c r="D779">
        <v>2020</v>
      </c>
      <c r="E779" s="2">
        <f t="shared" si="12"/>
        <v>43881</v>
      </c>
    </row>
    <row r="780" spans="1:5" x14ac:dyDescent="0.3">
      <c r="A780" s="8" t="s">
        <v>75</v>
      </c>
      <c r="B780">
        <v>2019</v>
      </c>
      <c r="C780">
        <v>12</v>
      </c>
      <c r="D780">
        <v>1</v>
      </c>
      <c r="E780" s="2">
        <f t="shared" si="12"/>
        <v>43800</v>
      </c>
    </row>
    <row r="781" spans="1:5" x14ac:dyDescent="0.3">
      <c r="A781" s="9" t="s">
        <v>70</v>
      </c>
      <c r="B781">
        <v>20</v>
      </c>
      <c r="C781">
        <v>2</v>
      </c>
      <c r="D781">
        <v>2020</v>
      </c>
      <c r="E781" s="2">
        <f t="shared" si="12"/>
        <v>43881</v>
      </c>
    </row>
    <row r="782" spans="1:5" x14ac:dyDescent="0.3">
      <c r="A782" s="8" t="s">
        <v>70</v>
      </c>
      <c r="B782">
        <v>20</v>
      </c>
      <c r="C782">
        <v>2</v>
      </c>
      <c r="D782">
        <v>2020</v>
      </c>
      <c r="E782" s="2">
        <f t="shared" si="12"/>
        <v>43881</v>
      </c>
    </row>
    <row r="783" spans="1:5" x14ac:dyDescent="0.3">
      <c r="A783" s="9" t="s">
        <v>75</v>
      </c>
      <c r="B783">
        <v>2019</v>
      </c>
      <c r="C783">
        <v>12</v>
      </c>
      <c r="D783">
        <v>1</v>
      </c>
      <c r="E783" s="2">
        <f t="shared" si="12"/>
        <v>43800</v>
      </c>
    </row>
    <row r="784" spans="1:5" x14ac:dyDescent="0.3">
      <c r="A784" s="8" t="s">
        <v>55</v>
      </c>
      <c r="B784">
        <v>1</v>
      </c>
      <c r="C784">
        <v>15</v>
      </c>
      <c r="D784">
        <v>2020</v>
      </c>
      <c r="E784" s="2">
        <f t="shared" si="12"/>
        <v>43845</v>
      </c>
    </row>
    <row r="785" spans="1:5" x14ac:dyDescent="0.3">
      <c r="A785" s="9" t="s">
        <v>69</v>
      </c>
      <c r="B785" t="s">
        <v>74</v>
      </c>
      <c r="C785">
        <v>5</v>
      </c>
      <c r="D785">
        <v>2018</v>
      </c>
      <c r="E785" s="2">
        <f t="shared" si="12"/>
        <v>43195</v>
      </c>
    </row>
    <row r="786" spans="1:5" x14ac:dyDescent="0.3">
      <c r="A786" s="8" t="s">
        <v>70</v>
      </c>
      <c r="B786">
        <v>20</v>
      </c>
      <c r="C786">
        <v>2</v>
      </c>
      <c r="D786">
        <v>2020</v>
      </c>
      <c r="E786" s="2">
        <f t="shared" si="12"/>
        <v>43881</v>
      </c>
    </row>
    <row r="787" spans="1:5" x14ac:dyDescent="0.3">
      <c r="A787" s="9" t="s">
        <v>75</v>
      </c>
      <c r="B787">
        <v>2019</v>
      </c>
      <c r="C787">
        <v>12</v>
      </c>
      <c r="D787">
        <v>1</v>
      </c>
      <c r="E787" s="2">
        <f t="shared" si="12"/>
        <v>43800</v>
      </c>
    </row>
    <row r="788" spans="1:5" x14ac:dyDescent="0.3">
      <c r="A788" s="8" t="s">
        <v>71</v>
      </c>
      <c r="B788">
        <v>3</v>
      </c>
      <c r="C788">
        <v>25</v>
      </c>
      <c r="D788">
        <v>2019</v>
      </c>
      <c r="E788" s="2">
        <f t="shared" si="12"/>
        <v>43549</v>
      </c>
    </row>
    <row r="789" spans="1:5" x14ac:dyDescent="0.3">
      <c r="A789" s="9" t="s">
        <v>70</v>
      </c>
      <c r="B789">
        <v>20</v>
      </c>
      <c r="C789">
        <v>2</v>
      </c>
      <c r="D789">
        <v>2020</v>
      </c>
      <c r="E789" s="2">
        <f t="shared" si="12"/>
        <v>43881</v>
      </c>
    </row>
    <row r="790" spans="1:5" x14ac:dyDescent="0.3">
      <c r="A790" s="8" t="s">
        <v>69</v>
      </c>
      <c r="B790" t="s">
        <v>74</v>
      </c>
      <c r="C790">
        <v>5</v>
      </c>
      <c r="D790">
        <v>2018</v>
      </c>
      <c r="E790" s="2">
        <f t="shared" si="12"/>
        <v>43195</v>
      </c>
    </row>
    <row r="791" spans="1:5" x14ac:dyDescent="0.3">
      <c r="A791" s="9" t="s">
        <v>55</v>
      </c>
      <c r="B791">
        <v>1</v>
      </c>
      <c r="C791">
        <v>15</v>
      </c>
      <c r="D791">
        <v>2020</v>
      </c>
      <c r="E791" s="2">
        <f t="shared" si="12"/>
        <v>43845</v>
      </c>
    </row>
    <row r="792" spans="1:5" x14ac:dyDescent="0.3">
      <c r="A792" s="8" t="s">
        <v>70</v>
      </c>
      <c r="B792">
        <v>20</v>
      </c>
      <c r="C792">
        <v>2</v>
      </c>
      <c r="D792">
        <v>2020</v>
      </c>
      <c r="E792" s="2">
        <f t="shared" si="12"/>
        <v>43881</v>
      </c>
    </row>
    <row r="793" spans="1:5" x14ac:dyDescent="0.3">
      <c r="A793" s="9" t="s">
        <v>70</v>
      </c>
      <c r="B793">
        <v>20</v>
      </c>
      <c r="C793">
        <v>2</v>
      </c>
      <c r="D793">
        <v>2020</v>
      </c>
      <c r="E793" s="2">
        <f t="shared" si="12"/>
        <v>43881</v>
      </c>
    </row>
    <row r="794" spans="1:5" x14ac:dyDescent="0.3">
      <c r="A794" s="8" t="s">
        <v>75</v>
      </c>
      <c r="B794">
        <v>2019</v>
      </c>
      <c r="C794">
        <v>12</v>
      </c>
      <c r="D794">
        <v>1</v>
      </c>
      <c r="E794" s="2">
        <f t="shared" si="12"/>
        <v>43800</v>
      </c>
    </row>
    <row r="795" spans="1:5" x14ac:dyDescent="0.3">
      <c r="A795" s="9" t="s">
        <v>71</v>
      </c>
      <c r="B795">
        <v>3</v>
      </c>
      <c r="C795">
        <v>25</v>
      </c>
      <c r="D795">
        <v>2019</v>
      </c>
      <c r="E795" s="2">
        <f t="shared" si="12"/>
        <v>43549</v>
      </c>
    </row>
    <row r="796" spans="1:5" x14ac:dyDescent="0.3">
      <c r="A796" s="8" t="s">
        <v>71</v>
      </c>
      <c r="B796">
        <v>3</v>
      </c>
      <c r="C796">
        <v>25</v>
      </c>
      <c r="D796">
        <v>2019</v>
      </c>
      <c r="E796" s="2">
        <f t="shared" si="12"/>
        <v>43549</v>
      </c>
    </row>
    <row r="797" spans="1:5" x14ac:dyDescent="0.3">
      <c r="A797" s="9" t="s">
        <v>55</v>
      </c>
      <c r="B797">
        <v>1</v>
      </c>
      <c r="C797">
        <v>15</v>
      </c>
      <c r="D797">
        <v>2020</v>
      </c>
      <c r="E797" s="2">
        <f t="shared" si="12"/>
        <v>43845</v>
      </c>
    </row>
    <row r="798" spans="1:5" x14ac:dyDescent="0.3">
      <c r="A798" s="8" t="s">
        <v>69</v>
      </c>
      <c r="B798" t="s">
        <v>74</v>
      </c>
      <c r="C798">
        <v>5</v>
      </c>
      <c r="D798">
        <v>2018</v>
      </c>
      <c r="E798" s="2">
        <f t="shared" si="12"/>
        <v>43195</v>
      </c>
    </row>
    <row r="799" spans="1:5" x14ac:dyDescent="0.3">
      <c r="A799" s="9" t="s">
        <v>55</v>
      </c>
      <c r="B799">
        <v>1</v>
      </c>
      <c r="C799">
        <v>15</v>
      </c>
      <c r="D799">
        <v>2020</v>
      </c>
      <c r="E799" s="2">
        <f t="shared" si="12"/>
        <v>43845</v>
      </c>
    </row>
    <row r="800" spans="1:5" x14ac:dyDescent="0.3">
      <c r="A800" s="8" t="s">
        <v>70</v>
      </c>
      <c r="B800">
        <v>20</v>
      </c>
      <c r="C800">
        <v>2</v>
      </c>
      <c r="D800">
        <v>2020</v>
      </c>
      <c r="E800" s="2">
        <f t="shared" si="12"/>
        <v>43881</v>
      </c>
    </row>
    <row r="801" spans="1:5" x14ac:dyDescent="0.3">
      <c r="A801" s="9" t="s">
        <v>70</v>
      </c>
      <c r="B801">
        <v>20</v>
      </c>
      <c r="C801">
        <v>2</v>
      </c>
      <c r="D801">
        <v>2020</v>
      </c>
      <c r="E801" s="2">
        <f t="shared" si="12"/>
        <v>43881</v>
      </c>
    </row>
    <row r="802" spans="1:5" x14ac:dyDescent="0.3">
      <c r="A802" s="8" t="s">
        <v>71</v>
      </c>
      <c r="B802">
        <v>3</v>
      </c>
      <c r="C802">
        <v>25</v>
      </c>
      <c r="D802">
        <v>2019</v>
      </c>
      <c r="E802" s="2">
        <f t="shared" si="12"/>
        <v>43549</v>
      </c>
    </row>
    <row r="803" spans="1:5" x14ac:dyDescent="0.3">
      <c r="A803" s="9" t="s">
        <v>69</v>
      </c>
      <c r="B803" t="s">
        <v>74</v>
      </c>
      <c r="C803">
        <v>5</v>
      </c>
      <c r="D803">
        <v>2018</v>
      </c>
      <c r="E803" s="2">
        <f t="shared" si="12"/>
        <v>43195</v>
      </c>
    </row>
    <row r="804" spans="1:5" x14ac:dyDescent="0.3">
      <c r="A804" s="8" t="s">
        <v>75</v>
      </c>
      <c r="B804">
        <v>2019</v>
      </c>
      <c r="C804">
        <v>12</v>
      </c>
      <c r="D804">
        <v>1</v>
      </c>
      <c r="E804" s="2">
        <f t="shared" si="12"/>
        <v>43800</v>
      </c>
    </row>
    <row r="805" spans="1:5" x14ac:dyDescent="0.3">
      <c r="A805" s="9" t="s">
        <v>69</v>
      </c>
      <c r="B805" t="s">
        <v>74</v>
      </c>
      <c r="C805">
        <v>5</v>
      </c>
      <c r="D805">
        <v>2018</v>
      </c>
      <c r="E805" s="2">
        <f t="shared" si="12"/>
        <v>43195</v>
      </c>
    </row>
    <row r="806" spans="1:5" x14ac:dyDescent="0.3">
      <c r="A806" s="8" t="s">
        <v>70</v>
      </c>
      <c r="B806">
        <v>20</v>
      </c>
      <c r="C806">
        <v>2</v>
      </c>
      <c r="D806">
        <v>2020</v>
      </c>
      <c r="E806" s="2">
        <f t="shared" si="12"/>
        <v>43881</v>
      </c>
    </row>
    <row r="807" spans="1:5" x14ac:dyDescent="0.3">
      <c r="A807" s="9" t="s">
        <v>75</v>
      </c>
      <c r="B807">
        <v>2019</v>
      </c>
      <c r="C807">
        <v>12</v>
      </c>
      <c r="D807">
        <v>1</v>
      </c>
      <c r="E807" s="2">
        <f t="shared" si="12"/>
        <v>43800</v>
      </c>
    </row>
    <row r="808" spans="1:5" x14ac:dyDescent="0.3">
      <c r="A808" s="8" t="s">
        <v>69</v>
      </c>
      <c r="B808" t="s">
        <v>74</v>
      </c>
      <c r="C808">
        <v>5</v>
      </c>
      <c r="D808">
        <v>2018</v>
      </c>
      <c r="E808" s="2">
        <f t="shared" si="12"/>
        <v>43195</v>
      </c>
    </row>
    <row r="809" spans="1:5" x14ac:dyDescent="0.3">
      <c r="A809" s="9" t="s">
        <v>69</v>
      </c>
      <c r="B809" t="s">
        <v>74</v>
      </c>
      <c r="C809">
        <v>5</v>
      </c>
      <c r="D809">
        <v>2018</v>
      </c>
      <c r="E809" s="2">
        <f t="shared" si="12"/>
        <v>43195</v>
      </c>
    </row>
    <row r="810" spans="1:5" x14ac:dyDescent="0.3">
      <c r="A810" s="8" t="s">
        <v>75</v>
      </c>
      <c r="B810">
        <v>2019</v>
      </c>
      <c r="C810">
        <v>12</v>
      </c>
      <c r="D810">
        <v>1</v>
      </c>
      <c r="E810" s="2">
        <f t="shared" si="12"/>
        <v>43800</v>
      </c>
    </row>
    <row r="811" spans="1:5" x14ac:dyDescent="0.3">
      <c r="A811" s="9" t="s">
        <v>70</v>
      </c>
      <c r="B811">
        <v>20</v>
      </c>
      <c r="C811">
        <v>2</v>
      </c>
      <c r="D811">
        <v>2020</v>
      </c>
      <c r="E811" s="2">
        <f t="shared" si="12"/>
        <v>43881</v>
      </c>
    </row>
    <row r="812" spans="1:5" x14ac:dyDescent="0.3">
      <c r="A812" s="8" t="s">
        <v>69</v>
      </c>
      <c r="B812" t="s">
        <v>74</v>
      </c>
      <c r="C812">
        <v>5</v>
      </c>
      <c r="D812">
        <v>2018</v>
      </c>
      <c r="E812" s="2">
        <f t="shared" si="12"/>
        <v>43195</v>
      </c>
    </row>
    <row r="813" spans="1:5" x14ac:dyDescent="0.3">
      <c r="A813" s="9" t="s">
        <v>75</v>
      </c>
      <c r="B813">
        <v>2019</v>
      </c>
      <c r="C813">
        <v>12</v>
      </c>
      <c r="D813">
        <v>1</v>
      </c>
      <c r="E813" s="2">
        <f t="shared" si="12"/>
        <v>43800</v>
      </c>
    </row>
    <row r="814" spans="1:5" x14ac:dyDescent="0.3">
      <c r="A814" s="8" t="s">
        <v>70</v>
      </c>
      <c r="B814">
        <v>20</v>
      </c>
      <c r="C814">
        <v>2</v>
      </c>
      <c r="D814">
        <v>2020</v>
      </c>
      <c r="E814" s="2">
        <f t="shared" si="12"/>
        <v>43881</v>
      </c>
    </row>
    <row r="815" spans="1:5" x14ac:dyDescent="0.3">
      <c r="A815" s="9" t="s">
        <v>75</v>
      </c>
      <c r="B815">
        <v>2019</v>
      </c>
      <c r="C815">
        <v>12</v>
      </c>
      <c r="D815">
        <v>1</v>
      </c>
      <c r="E815" s="2">
        <f t="shared" si="12"/>
        <v>43800</v>
      </c>
    </row>
    <row r="816" spans="1:5" x14ac:dyDescent="0.3">
      <c r="A816" s="8" t="s">
        <v>75</v>
      </c>
      <c r="B816">
        <v>2019</v>
      </c>
      <c r="C816">
        <v>12</v>
      </c>
      <c r="D816">
        <v>1</v>
      </c>
      <c r="E816" s="2">
        <f t="shared" si="12"/>
        <v>43800</v>
      </c>
    </row>
    <row r="817" spans="1:5" x14ac:dyDescent="0.3">
      <c r="A817" s="9" t="s">
        <v>69</v>
      </c>
      <c r="B817" t="s">
        <v>74</v>
      </c>
      <c r="C817">
        <v>5</v>
      </c>
      <c r="D817">
        <v>2018</v>
      </c>
      <c r="E817" s="2">
        <f t="shared" si="12"/>
        <v>43195</v>
      </c>
    </row>
    <row r="818" spans="1:5" x14ac:dyDescent="0.3">
      <c r="A818" s="8" t="s">
        <v>70</v>
      </c>
      <c r="B818">
        <v>20</v>
      </c>
      <c r="C818">
        <v>2</v>
      </c>
      <c r="D818">
        <v>2020</v>
      </c>
      <c r="E818" s="2">
        <f t="shared" si="12"/>
        <v>43881</v>
      </c>
    </row>
    <row r="819" spans="1:5" x14ac:dyDescent="0.3">
      <c r="A819" s="9" t="s">
        <v>69</v>
      </c>
      <c r="B819" t="s">
        <v>74</v>
      </c>
      <c r="C819">
        <v>5</v>
      </c>
      <c r="D819">
        <v>2018</v>
      </c>
      <c r="E819" s="2">
        <f t="shared" si="12"/>
        <v>43195</v>
      </c>
    </row>
    <row r="820" spans="1:5" x14ac:dyDescent="0.3">
      <c r="A820" s="8" t="s">
        <v>55</v>
      </c>
      <c r="B820">
        <v>1</v>
      </c>
      <c r="C820">
        <v>15</v>
      </c>
      <c r="D820">
        <v>2020</v>
      </c>
      <c r="E820" s="2">
        <f t="shared" si="12"/>
        <v>43845</v>
      </c>
    </row>
    <row r="821" spans="1:5" x14ac:dyDescent="0.3">
      <c r="A821" s="9" t="s">
        <v>55</v>
      </c>
      <c r="B821">
        <v>1</v>
      </c>
      <c r="C821">
        <v>15</v>
      </c>
      <c r="D821">
        <v>2020</v>
      </c>
      <c r="E821" s="2">
        <f t="shared" si="12"/>
        <v>43845</v>
      </c>
    </row>
    <row r="822" spans="1:5" x14ac:dyDescent="0.3">
      <c r="A822" s="8" t="s">
        <v>70</v>
      </c>
      <c r="B822">
        <v>20</v>
      </c>
      <c r="C822">
        <v>2</v>
      </c>
      <c r="D822">
        <v>2020</v>
      </c>
      <c r="E822" s="2">
        <f t="shared" si="12"/>
        <v>43881</v>
      </c>
    </row>
    <row r="823" spans="1:5" x14ac:dyDescent="0.3">
      <c r="A823" s="9" t="s">
        <v>75</v>
      </c>
      <c r="B823">
        <v>2019</v>
      </c>
      <c r="C823">
        <v>12</v>
      </c>
      <c r="D823">
        <v>1</v>
      </c>
      <c r="E823" s="2">
        <f t="shared" si="12"/>
        <v>43800</v>
      </c>
    </row>
    <row r="824" spans="1:5" x14ac:dyDescent="0.3">
      <c r="A824" s="8" t="s">
        <v>69</v>
      </c>
      <c r="B824" t="s">
        <v>74</v>
      </c>
      <c r="C824">
        <v>5</v>
      </c>
      <c r="D824">
        <v>2018</v>
      </c>
      <c r="E824" s="2">
        <f t="shared" si="12"/>
        <v>43195</v>
      </c>
    </row>
    <row r="825" spans="1:5" x14ac:dyDescent="0.3">
      <c r="A825" s="9" t="s">
        <v>69</v>
      </c>
      <c r="B825" t="s">
        <v>74</v>
      </c>
      <c r="C825">
        <v>5</v>
      </c>
      <c r="D825">
        <v>2018</v>
      </c>
      <c r="E825" s="2">
        <f t="shared" si="12"/>
        <v>43195</v>
      </c>
    </row>
    <row r="826" spans="1:5" x14ac:dyDescent="0.3">
      <c r="A826" s="8" t="s">
        <v>70</v>
      </c>
      <c r="B826">
        <v>20</v>
      </c>
      <c r="C826">
        <v>2</v>
      </c>
      <c r="D826">
        <v>2020</v>
      </c>
      <c r="E826" s="2">
        <f t="shared" si="12"/>
        <v>43881</v>
      </c>
    </row>
    <row r="827" spans="1:5" x14ac:dyDescent="0.3">
      <c r="A827" s="9" t="s">
        <v>70</v>
      </c>
      <c r="B827">
        <v>20</v>
      </c>
      <c r="C827">
        <v>2</v>
      </c>
      <c r="D827">
        <v>2020</v>
      </c>
      <c r="E827" s="2">
        <f t="shared" si="12"/>
        <v>43881</v>
      </c>
    </row>
    <row r="828" spans="1:5" x14ac:dyDescent="0.3">
      <c r="A828" s="8" t="s">
        <v>55</v>
      </c>
      <c r="B828">
        <v>1</v>
      </c>
      <c r="C828">
        <v>15</v>
      </c>
      <c r="D828">
        <v>2020</v>
      </c>
      <c r="E828" s="2">
        <f t="shared" si="12"/>
        <v>43845</v>
      </c>
    </row>
    <row r="829" spans="1:5" x14ac:dyDescent="0.3">
      <c r="A829" s="9" t="s">
        <v>71</v>
      </c>
      <c r="B829">
        <v>3</v>
      </c>
      <c r="C829">
        <v>25</v>
      </c>
      <c r="D829">
        <v>2019</v>
      </c>
      <c r="E829" s="2">
        <f t="shared" si="12"/>
        <v>43549</v>
      </c>
    </row>
    <row r="830" spans="1:5" x14ac:dyDescent="0.3">
      <c r="A830" s="8" t="s">
        <v>70</v>
      </c>
      <c r="B830">
        <v>20</v>
      </c>
      <c r="C830">
        <v>2</v>
      </c>
      <c r="D830">
        <v>2020</v>
      </c>
      <c r="E830" s="2">
        <f t="shared" si="12"/>
        <v>43881</v>
      </c>
    </row>
    <row r="831" spans="1:5" x14ac:dyDescent="0.3">
      <c r="A831" s="9" t="s">
        <v>71</v>
      </c>
      <c r="B831">
        <v>3</v>
      </c>
      <c r="C831">
        <v>25</v>
      </c>
      <c r="D831">
        <v>2019</v>
      </c>
      <c r="E831" s="2">
        <f t="shared" si="12"/>
        <v>43549</v>
      </c>
    </row>
    <row r="832" spans="1:5" x14ac:dyDescent="0.3">
      <c r="A832" s="8" t="s">
        <v>70</v>
      </c>
      <c r="B832">
        <v>20</v>
      </c>
      <c r="C832">
        <v>2</v>
      </c>
      <c r="D832">
        <v>2020</v>
      </c>
      <c r="E832" s="2">
        <f t="shared" si="12"/>
        <v>43881</v>
      </c>
    </row>
    <row r="833" spans="1:5" x14ac:dyDescent="0.3">
      <c r="A833" s="9" t="s">
        <v>75</v>
      </c>
      <c r="B833">
        <v>2019</v>
      </c>
      <c r="C833">
        <v>12</v>
      </c>
      <c r="D833">
        <v>1</v>
      </c>
      <c r="E833" s="2">
        <f t="shared" si="12"/>
        <v>43800</v>
      </c>
    </row>
    <row r="834" spans="1:5" x14ac:dyDescent="0.3">
      <c r="A834" s="8" t="s">
        <v>75</v>
      </c>
      <c r="B834">
        <v>2019</v>
      </c>
      <c r="C834">
        <v>12</v>
      </c>
      <c r="D834">
        <v>1</v>
      </c>
      <c r="E834" s="2">
        <f t="shared" si="12"/>
        <v>43800</v>
      </c>
    </row>
    <row r="835" spans="1:5" x14ac:dyDescent="0.3">
      <c r="A835" s="9" t="s">
        <v>55</v>
      </c>
      <c r="B835">
        <v>1</v>
      </c>
      <c r="C835">
        <v>15</v>
      </c>
      <c r="D835">
        <v>2020</v>
      </c>
      <c r="E835" s="2">
        <f t="shared" ref="E835:E898" si="13">DATE(
 IF(ISNUMBER(--B835),
     IF(LEN(B835)=4, B835, D835),
     D835
 ),
 IF(ISNUMBER(--B835),
     IF(LEN(B835)=4, C835, IF(B835&gt;12, C835, B835)),
     MONTH(DATEVALUE(B835 &amp; " 1"))
 ),
 IF(ISNUMBER(--B835),
     IF(LEN(B835)=4, D835, IF(B835&gt;12, B835, C835)),
     C835
 )
)</f>
        <v>43845</v>
      </c>
    </row>
    <row r="836" spans="1:5" x14ac:dyDescent="0.3">
      <c r="A836" s="8" t="s">
        <v>55</v>
      </c>
      <c r="B836">
        <v>1</v>
      </c>
      <c r="C836">
        <v>15</v>
      </c>
      <c r="D836">
        <v>2020</v>
      </c>
      <c r="E836" s="2">
        <f t="shared" si="13"/>
        <v>43845</v>
      </c>
    </row>
    <row r="837" spans="1:5" x14ac:dyDescent="0.3">
      <c r="A837" s="9" t="s">
        <v>71</v>
      </c>
      <c r="B837">
        <v>3</v>
      </c>
      <c r="C837">
        <v>25</v>
      </c>
      <c r="D837">
        <v>2019</v>
      </c>
      <c r="E837" s="2">
        <f t="shared" si="13"/>
        <v>43549</v>
      </c>
    </row>
    <row r="838" spans="1:5" x14ac:dyDescent="0.3">
      <c r="A838" s="8" t="s">
        <v>70</v>
      </c>
      <c r="B838">
        <v>20</v>
      </c>
      <c r="C838">
        <v>2</v>
      </c>
      <c r="D838">
        <v>2020</v>
      </c>
      <c r="E838" s="2">
        <f t="shared" si="13"/>
        <v>43881</v>
      </c>
    </row>
    <row r="839" spans="1:5" x14ac:dyDescent="0.3">
      <c r="A839" s="9" t="s">
        <v>69</v>
      </c>
      <c r="B839" t="s">
        <v>74</v>
      </c>
      <c r="C839">
        <v>5</v>
      </c>
      <c r="D839">
        <v>2018</v>
      </c>
      <c r="E839" s="2">
        <f t="shared" si="13"/>
        <v>43195</v>
      </c>
    </row>
    <row r="840" spans="1:5" x14ac:dyDescent="0.3">
      <c r="A840" s="8" t="s">
        <v>55</v>
      </c>
      <c r="B840">
        <v>1</v>
      </c>
      <c r="C840">
        <v>15</v>
      </c>
      <c r="D840">
        <v>2020</v>
      </c>
      <c r="E840" s="2">
        <f t="shared" si="13"/>
        <v>43845</v>
      </c>
    </row>
    <row r="841" spans="1:5" x14ac:dyDescent="0.3">
      <c r="A841" s="9" t="s">
        <v>69</v>
      </c>
      <c r="B841" t="s">
        <v>74</v>
      </c>
      <c r="C841">
        <v>5</v>
      </c>
      <c r="D841">
        <v>2018</v>
      </c>
      <c r="E841" s="2">
        <f t="shared" si="13"/>
        <v>43195</v>
      </c>
    </row>
    <row r="842" spans="1:5" x14ac:dyDescent="0.3">
      <c r="A842" s="8" t="s">
        <v>69</v>
      </c>
      <c r="B842" t="s">
        <v>74</v>
      </c>
      <c r="C842">
        <v>5</v>
      </c>
      <c r="D842">
        <v>2018</v>
      </c>
      <c r="E842" s="2">
        <f t="shared" si="13"/>
        <v>43195</v>
      </c>
    </row>
    <row r="843" spans="1:5" x14ac:dyDescent="0.3">
      <c r="A843" s="9" t="s">
        <v>70</v>
      </c>
      <c r="B843">
        <v>20</v>
      </c>
      <c r="C843">
        <v>2</v>
      </c>
      <c r="D843">
        <v>2020</v>
      </c>
      <c r="E843" s="2">
        <f t="shared" si="13"/>
        <v>43881</v>
      </c>
    </row>
    <row r="844" spans="1:5" x14ac:dyDescent="0.3">
      <c r="A844" s="8" t="s">
        <v>71</v>
      </c>
      <c r="B844">
        <v>3</v>
      </c>
      <c r="C844">
        <v>25</v>
      </c>
      <c r="D844">
        <v>2019</v>
      </c>
      <c r="E844" s="2">
        <f t="shared" si="13"/>
        <v>43549</v>
      </c>
    </row>
    <row r="845" spans="1:5" x14ac:dyDescent="0.3">
      <c r="A845" s="9" t="s">
        <v>70</v>
      </c>
      <c r="B845">
        <v>20</v>
      </c>
      <c r="C845">
        <v>2</v>
      </c>
      <c r="D845">
        <v>2020</v>
      </c>
      <c r="E845" s="2">
        <f t="shared" si="13"/>
        <v>43881</v>
      </c>
    </row>
    <row r="846" spans="1:5" x14ac:dyDescent="0.3">
      <c r="A846" s="8" t="s">
        <v>55</v>
      </c>
      <c r="B846">
        <v>1</v>
      </c>
      <c r="C846">
        <v>15</v>
      </c>
      <c r="D846">
        <v>2020</v>
      </c>
      <c r="E846" s="2">
        <f t="shared" si="13"/>
        <v>43845</v>
      </c>
    </row>
    <row r="847" spans="1:5" x14ac:dyDescent="0.3">
      <c r="A847" s="9" t="s">
        <v>69</v>
      </c>
      <c r="B847" t="s">
        <v>74</v>
      </c>
      <c r="C847">
        <v>5</v>
      </c>
      <c r="D847">
        <v>2018</v>
      </c>
      <c r="E847" s="2">
        <f t="shared" si="13"/>
        <v>43195</v>
      </c>
    </row>
    <row r="848" spans="1:5" x14ac:dyDescent="0.3">
      <c r="A848" s="8" t="s">
        <v>70</v>
      </c>
      <c r="B848">
        <v>20</v>
      </c>
      <c r="C848">
        <v>2</v>
      </c>
      <c r="D848">
        <v>2020</v>
      </c>
      <c r="E848" s="2">
        <f t="shared" si="13"/>
        <v>43881</v>
      </c>
    </row>
    <row r="849" spans="1:5" x14ac:dyDescent="0.3">
      <c r="A849" s="9" t="s">
        <v>70</v>
      </c>
      <c r="B849">
        <v>20</v>
      </c>
      <c r="C849">
        <v>2</v>
      </c>
      <c r="D849">
        <v>2020</v>
      </c>
      <c r="E849" s="2">
        <f t="shared" si="13"/>
        <v>43881</v>
      </c>
    </row>
    <row r="850" spans="1:5" x14ac:dyDescent="0.3">
      <c r="A850" s="8" t="s">
        <v>70</v>
      </c>
      <c r="B850">
        <v>20</v>
      </c>
      <c r="C850">
        <v>2</v>
      </c>
      <c r="D850">
        <v>2020</v>
      </c>
      <c r="E850" s="2">
        <f t="shared" si="13"/>
        <v>43881</v>
      </c>
    </row>
    <row r="851" spans="1:5" x14ac:dyDescent="0.3">
      <c r="A851" s="9" t="s">
        <v>55</v>
      </c>
      <c r="B851">
        <v>1</v>
      </c>
      <c r="C851">
        <v>15</v>
      </c>
      <c r="D851">
        <v>2020</v>
      </c>
      <c r="E851" s="2">
        <f t="shared" si="13"/>
        <v>43845</v>
      </c>
    </row>
    <row r="852" spans="1:5" x14ac:dyDescent="0.3">
      <c r="A852" s="8" t="s">
        <v>71</v>
      </c>
      <c r="B852">
        <v>3</v>
      </c>
      <c r="C852">
        <v>25</v>
      </c>
      <c r="D852">
        <v>2019</v>
      </c>
      <c r="E852" s="2">
        <f t="shared" si="13"/>
        <v>43549</v>
      </c>
    </row>
    <row r="853" spans="1:5" x14ac:dyDescent="0.3">
      <c r="A853" s="9" t="s">
        <v>70</v>
      </c>
      <c r="B853">
        <v>20</v>
      </c>
      <c r="C853">
        <v>2</v>
      </c>
      <c r="D853">
        <v>2020</v>
      </c>
      <c r="E853" s="2">
        <f t="shared" si="13"/>
        <v>43881</v>
      </c>
    </row>
    <row r="854" spans="1:5" x14ac:dyDescent="0.3">
      <c r="A854" s="8" t="s">
        <v>55</v>
      </c>
      <c r="B854">
        <v>1</v>
      </c>
      <c r="C854">
        <v>15</v>
      </c>
      <c r="D854">
        <v>2020</v>
      </c>
      <c r="E854" s="2">
        <f t="shared" si="13"/>
        <v>43845</v>
      </c>
    </row>
    <row r="855" spans="1:5" x14ac:dyDescent="0.3">
      <c r="A855" s="9" t="s">
        <v>69</v>
      </c>
      <c r="B855" t="s">
        <v>74</v>
      </c>
      <c r="C855">
        <v>5</v>
      </c>
      <c r="D855">
        <v>2018</v>
      </c>
      <c r="E855" s="2">
        <f t="shared" si="13"/>
        <v>43195</v>
      </c>
    </row>
    <row r="856" spans="1:5" x14ac:dyDescent="0.3">
      <c r="A856" s="8" t="s">
        <v>75</v>
      </c>
      <c r="B856">
        <v>2019</v>
      </c>
      <c r="C856">
        <v>12</v>
      </c>
      <c r="D856">
        <v>1</v>
      </c>
      <c r="E856" s="2">
        <f t="shared" si="13"/>
        <v>43800</v>
      </c>
    </row>
    <row r="857" spans="1:5" x14ac:dyDescent="0.3">
      <c r="A857" s="9" t="s">
        <v>55</v>
      </c>
      <c r="B857">
        <v>1</v>
      </c>
      <c r="C857">
        <v>15</v>
      </c>
      <c r="D857">
        <v>2020</v>
      </c>
      <c r="E857" s="2">
        <f t="shared" si="13"/>
        <v>43845</v>
      </c>
    </row>
    <row r="858" spans="1:5" x14ac:dyDescent="0.3">
      <c r="A858" s="8" t="s">
        <v>75</v>
      </c>
      <c r="B858">
        <v>2019</v>
      </c>
      <c r="C858">
        <v>12</v>
      </c>
      <c r="D858">
        <v>1</v>
      </c>
      <c r="E858" s="2">
        <f t="shared" si="13"/>
        <v>43800</v>
      </c>
    </row>
    <row r="859" spans="1:5" x14ac:dyDescent="0.3">
      <c r="A859" s="9" t="s">
        <v>70</v>
      </c>
      <c r="B859">
        <v>20</v>
      </c>
      <c r="C859">
        <v>2</v>
      </c>
      <c r="D859">
        <v>2020</v>
      </c>
      <c r="E859" s="2">
        <f t="shared" si="13"/>
        <v>43881</v>
      </c>
    </row>
    <row r="860" spans="1:5" x14ac:dyDescent="0.3">
      <c r="A860" s="8" t="s">
        <v>70</v>
      </c>
      <c r="B860">
        <v>20</v>
      </c>
      <c r="C860">
        <v>2</v>
      </c>
      <c r="D860">
        <v>2020</v>
      </c>
      <c r="E860" s="2">
        <f t="shared" si="13"/>
        <v>43881</v>
      </c>
    </row>
    <row r="861" spans="1:5" x14ac:dyDescent="0.3">
      <c r="A861" s="9" t="s">
        <v>55</v>
      </c>
      <c r="B861">
        <v>1</v>
      </c>
      <c r="C861">
        <v>15</v>
      </c>
      <c r="D861">
        <v>2020</v>
      </c>
      <c r="E861" s="2">
        <f t="shared" si="13"/>
        <v>43845</v>
      </c>
    </row>
    <row r="862" spans="1:5" x14ac:dyDescent="0.3">
      <c r="A862" s="8" t="s">
        <v>75</v>
      </c>
      <c r="B862">
        <v>2019</v>
      </c>
      <c r="C862">
        <v>12</v>
      </c>
      <c r="D862">
        <v>1</v>
      </c>
      <c r="E862" s="2">
        <f t="shared" si="13"/>
        <v>43800</v>
      </c>
    </row>
    <row r="863" spans="1:5" x14ac:dyDescent="0.3">
      <c r="A863" s="9" t="s">
        <v>70</v>
      </c>
      <c r="B863">
        <v>20</v>
      </c>
      <c r="C863">
        <v>2</v>
      </c>
      <c r="D863">
        <v>2020</v>
      </c>
      <c r="E863" s="2">
        <f t="shared" si="13"/>
        <v>43881</v>
      </c>
    </row>
    <row r="864" spans="1:5" x14ac:dyDescent="0.3">
      <c r="A864" s="8" t="s">
        <v>69</v>
      </c>
      <c r="B864" t="s">
        <v>74</v>
      </c>
      <c r="C864">
        <v>5</v>
      </c>
      <c r="D864">
        <v>2018</v>
      </c>
      <c r="E864" s="2">
        <f t="shared" si="13"/>
        <v>43195</v>
      </c>
    </row>
    <row r="865" spans="1:5" x14ac:dyDescent="0.3">
      <c r="A865" s="9" t="s">
        <v>71</v>
      </c>
      <c r="B865">
        <v>3</v>
      </c>
      <c r="C865">
        <v>25</v>
      </c>
      <c r="D865">
        <v>2019</v>
      </c>
      <c r="E865" s="2">
        <f t="shared" si="13"/>
        <v>43549</v>
      </c>
    </row>
    <row r="866" spans="1:5" x14ac:dyDescent="0.3">
      <c r="A866" s="8" t="s">
        <v>71</v>
      </c>
      <c r="B866">
        <v>3</v>
      </c>
      <c r="C866">
        <v>25</v>
      </c>
      <c r="D866">
        <v>2019</v>
      </c>
      <c r="E866" s="2">
        <f t="shared" si="13"/>
        <v>43549</v>
      </c>
    </row>
    <row r="867" spans="1:5" x14ac:dyDescent="0.3">
      <c r="A867" s="9" t="s">
        <v>70</v>
      </c>
      <c r="B867">
        <v>20</v>
      </c>
      <c r="C867">
        <v>2</v>
      </c>
      <c r="D867">
        <v>2020</v>
      </c>
      <c r="E867" s="2">
        <f t="shared" si="13"/>
        <v>43881</v>
      </c>
    </row>
    <row r="868" spans="1:5" x14ac:dyDescent="0.3">
      <c r="A868" s="8" t="s">
        <v>75</v>
      </c>
      <c r="B868">
        <v>2019</v>
      </c>
      <c r="C868">
        <v>12</v>
      </c>
      <c r="D868">
        <v>1</v>
      </c>
      <c r="E868" s="2">
        <f t="shared" si="13"/>
        <v>43800</v>
      </c>
    </row>
    <row r="869" spans="1:5" x14ac:dyDescent="0.3">
      <c r="A869" s="9" t="s">
        <v>70</v>
      </c>
      <c r="B869">
        <v>20</v>
      </c>
      <c r="C869">
        <v>2</v>
      </c>
      <c r="D869">
        <v>2020</v>
      </c>
      <c r="E869" s="2">
        <f t="shared" si="13"/>
        <v>43881</v>
      </c>
    </row>
    <row r="870" spans="1:5" x14ac:dyDescent="0.3">
      <c r="A870" s="8" t="s">
        <v>75</v>
      </c>
      <c r="B870">
        <v>2019</v>
      </c>
      <c r="C870">
        <v>12</v>
      </c>
      <c r="D870">
        <v>1</v>
      </c>
      <c r="E870" s="2">
        <f t="shared" si="13"/>
        <v>43800</v>
      </c>
    </row>
    <row r="871" spans="1:5" x14ac:dyDescent="0.3">
      <c r="A871" s="9" t="s">
        <v>69</v>
      </c>
      <c r="B871" t="s">
        <v>74</v>
      </c>
      <c r="C871">
        <v>5</v>
      </c>
      <c r="D871">
        <v>2018</v>
      </c>
      <c r="E871" s="2">
        <f t="shared" si="13"/>
        <v>43195</v>
      </c>
    </row>
    <row r="872" spans="1:5" x14ac:dyDescent="0.3">
      <c r="A872" s="8" t="s">
        <v>75</v>
      </c>
      <c r="B872">
        <v>2019</v>
      </c>
      <c r="C872">
        <v>12</v>
      </c>
      <c r="D872">
        <v>1</v>
      </c>
      <c r="E872" s="2">
        <f t="shared" si="13"/>
        <v>43800</v>
      </c>
    </row>
    <row r="873" spans="1:5" x14ac:dyDescent="0.3">
      <c r="A873" s="9" t="s">
        <v>70</v>
      </c>
      <c r="B873">
        <v>20</v>
      </c>
      <c r="C873">
        <v>2</v>
      </c>
      <c r="D873">
        <v>2020</v>
      </c>
      <c r="E873" s="2">
        <f t="shared" si="13"/>
        <v>43881</v>
      </c>
    </row>
    <row r="874" spans="1:5" x14ac:dyDescent="0.3">
      <c r="A874" s="8" t="s">
        <v>69</v>
      </c>
      <c r="B874" t="s">
        <v>74</v>
      </c>
      <c r="C874">
        <v>5</v>
      </c>
      <c r="D874">
        <v>2018</v>
      </c>
      <c r="E874" s="2">
        <f t="shared" si="13"/>
        <v>43195</v>
      </c>
    </row>
    <row r="875" spans="1:5" x14ac:dyDescent="0.3">
      <c r="A875" s="9" t="s">
        <v>55</v>
      </c>
      <c r="B875">
        <v>1</v>
      </c>
      <c r="C875">
        <v>15</v>
      </c>
      <c r="D875">
        <v>2020</v>
      </c>
      <c r="E875" s="2">
        <f t="shared" si="13"/>
        <v>43845</v>
      </c>
    </row>
    <row r="876" spans="1:5" x14ac:dyDescent="0.3">
      <c r="A876" s="8" t="s">
        <v>71</v>
      </c>
      <c r="B876">
        <v>3</v>
      </c>
      <c r="C876">
        <v>25</v>
      </c>
      <c r="D876">
        <v>2019</v>
      </c>
      <c r="E876" s="2">
        <f t="shared" si="13"/>
        <v>43549</v>
      </c>
    </row>
    <row r="877" spans="1:5" x14ac:dyDescent="0.3">
      <c r="A877" s="9" t="s">
        <v>70</v>
      </c>
      <c r="B877">
        <v>20</v>
      </c>
      <c r="C877">
        <v>2</v>
      </c>
      <c r="D877">
        <v>2020</v>
      </c>
      <c r="E877" s="2">
        <f t="shared" si="13"/>
        <v>43881</v>
      </c>
    </row>
    <row r="878" spans="1:5" x14ac:dyDescent="0.3">
      <c r="A878" s="8" t="s">
        <v>70</v>
      </c>
      <c r="B878">
        <v>20</v>
      </c>
      <c r="C878">
        <v>2</v>
      </c>
      <c r="D878">
        <v>2020</v>
      </c>
      <c r="E878" s="2">
        <f t="shared" si="13"/>
        <v>43881</v>
      </c>
    </row>
    <row r="879" spans="1:5" x14ac:dyDescent="0.3">
      <c r="A879" s="9" t="s">
        <v>70</v>
      </c>
      <c r="B879">
        <v>20</v>
      </c>
      <c r="C879">
        <v>2</v>
      </c>
      <c r="D879">
        <v>2020</v>
      </c>
      <c r="E879" s="2">
        <f t="shared" si="13"/>
        <v>43881</v>
      </c>
    </row>
    <row r="880" spans="1:5" x14ac:dyDescent="0.3">
      <c r="A880" s="8" t="s">
        <v>69</v>
      </c>
      <c r="B880" t="s">
        <v>74</v>
      </c>
      <c r="C880">
        <v>5</v>
      </c>
      <c r="D880">
        <v>2018</v>
      </c>
      <c r="E880" s="2">
        <f t="shared" si="13"/>
        <v>43195</v>
      </c>
    </row>
    <row r="881" spans="1:5" x14ac:dyDescent="0.3">
      <c r="A881" s="9" t="s">
        <v>55</v>
      </c>
      <c r="B881">
        <v>1</v>
      </c>
      <c r="C881">
        <v>15</v>
      </c>
      <c r="D881">
        <v>2020</v>
      </c>
      <c r="E881" s="2">
        <f t="shared" si="13"/>
        <v>43845</v>
      </c>
    </row>
    <row r="882" spans="1:5" x14ac:dyDescent="0.3">
      <c r="A882" s="8" t="s">
        <v>75</v>
      </c>
      <c r="B882">
        <v>2019</v>
      </c>
      <c r="C882">
        <v>12</v>
      </c>
      <c r="D882">
        <v>1</v>
      </c>
      <c r="E882" s="2">
        <f t="shared" si="13"/>
        <v>43800</v>
      </c>
    </row>
    <row r="883" spans="1:5" x14ac:dyDescent="0.3">
      <c r="A883" s="9" t="s">
        <v>55</v>
      </c>
      <c r="B883">
        <v>1</v>
      </c>
      <c r="C883">
        <v>15</v>
      </c>
      <c r="D883">
        <v>2020</v>
      </c>
      <c r="E883" s="2">
        <f t="shared" si="13"/>
        <v>43845</v>
      </c>
    </row>
    <row r="884" spans="1:5" x14ac:dyDescent="0.3">
      <c r="A884" s="8" t="s">
        <v>69</v>
      </c>
      <c r="B884" t="s">
        <v>74</v>
      </c>
      <c r="C884">
        <v>5</v>
      </c>
      <c r="D884">
        <v>2018</v>
      </c>
      <c r="E884" s="2">
        <f t="shared" si="13"/>
        <v>43195</v>
      </c>
    </row>
    <row r="885" spans="1:5" x14ac:dyDescent="0.3">
      <c r="A885" s="9" t="s">
        <v>70</v>
      </c>
      <c r="B885">
        <v>20</v>
      </c>
      <c r="C885">
        <v>2</v>
      </c>
      <c r="D885">
        <v>2020</v>
      </c>
      <c r="E885" s="2">
        <f t="shared" si="13"/>
        <v>43881</v>
      </c>
    </row>
    <row r="886" spans="1:5" x14ac:dyDescent="0.3">
      <c r="A886" s="8" t="s">
        <v>71</v>
      </c>
      <c r="B886">
        <v>3</v>
      </c>
      <c r="C886">
        <v>25</v>
      </c>
      <c r="D886">
        <v>2019</v>
      </c>
      <c r="E886" s="2">
        <f t="shared" si="13"/>
        <v>43549</v>
      </c>
    </row>
    <row r="887" spans="1:5" x14ac:dyDescent="0.3">
      <c r="A887" s="9" t="s">
        <v>70</v>
      </c>
      <c r="B887">
        <v>20</v>
      </c>
      <c r="C887">
        <v>2</v>
      </c>
      <c r="D887">
        <v>2020</v>
      </c>
      <c r="E887" s="2">
        <f t="shared" si="13"/>
        <v>43881</v>
      </c>
    </row>
    <row r="888" spans="1:5" x14ac:dyDescent="0.3">
      <c r="A888" s="8" t="s">
        <v>75</v>
      </c>
      <c r="B888">
        <v>2019</v>
      </c>
      <c r="C888">
        <v>12</v>
      </c>
      <c r="D888">
        <v>1</v>
      </c>
      <c r="E888" s="2">
        <f t="shared" si="13"/>
        <v>43800</v>
      </c>
    </row>
    <row r="889" spans="1:5" x14ac:dyDescent="0.3">
      <c r="A889" s="9" t="s">
        <v>71</v>
      </c>
      <c r="B889">
        <v>3</v>
      </c>
      <c r="C889">
        <v>25</v>
      </c>
      <c r="D889">
        <v>2019</v>
      </c>
      <c r="E889" s="2">
        <f t="shared" si="13"/>
        <v>43549</v>
      </c>
    </row>
    <row r="890" spans="1:5" x14ac:dyDescent="0.3">
      <c r="A890" s="8" t="s">
        <v>70</v>
      </c>
      <c r="B890">
        <v>20</v>
      </c>
      <c r="C890">
        <v>2</v>
      </c>
      <c r="D890">
        <v>2020</v>
      </c>
      <c r="E890" s="2">
        <f t="shared" si="13"/>
        <v>43881</v>
      </c>
    </row>
    <row r="891" spans="1:5" x14ac:dyDescent="0.3">
      <c r="A891" s="9" t="s">
        <v>71</v>
      </c>
      <c r="B891">
        <v>3</v>
      </c>
      <c r="C891">
        <v>25</v>
      </c>
      <c r="D891">
        <v>2019</v>
      </c>
      <c r="E891" s="2">
        <f t="shared" si="13"/>
        <v>43549</v>
      </c>
    </row>
    <row r="892" spans="1:5" x14ac:dyDescent="0.3">
      <c r="A892" s="8" t="s">
        <v>55</v>
      </c>
      <c r="B892">
        <v>1</v>
      </c>
      <c r="C892">
        <v>15</v>
      </c>
      <c r="D892">
        <v>2020</v>
      </c>
      <c r="E892" s="2">
        <f t="shared" si="13"/>
        <v>43845</v>
      </c>
    </row>
    <row r="893" spans="1:5" x14ac:dyDescent="0.3">
      <c r="A893" s="9" t="s">
        <v>69</v>
      </c>
      <c r="B893" t="s">
        <v>74</v>
      </c>
      <c r="C893">
        <v>5</v>
      </c>
      <c r="D893">
        <v>2018</v>
      </c>
      <c r="E893" s="2">
        <f t="shared" si="13"/>
        <v>43195</v>
      </c>
    </row>
    <row r="894" spans="1:5" x14ac:dyDescent="0.3">
      <c r="A894" s="8" t="s">
        <v>70</v>
      </c>
      <c r="B894">
        <v>20</v>
      </c>
      <c r="C894">
        <v>2</v>
      </c>
      <c r="D894">
        <v>2020</v>
      </c>
      <c r="E894" s="2">
        <f t="shared" si="13"/>
        <v>43881</v>
      </c>
    </row>
    <row r="895" spans="1:5" x14ac:dyDescent="0.3">
      <c r="A895" s="9" t="s">
        <v>75</v>
      </c>
      <c r="B895">
        <v>2019</v>
      </c>
      <c r="C895">
        <v>12</v>
      </c>
      <c r="D895">
        <v>1</v>
      </c>
      <c r="E895" s="2">
        <f t="shared" si="13"/>
        <v>43800</v>
      </c>
    </row>
    <row r="896" spans="1:5" x14ac:dyDescent="0.3">
      <c r="A896" s="8" t="s">
        <v>55</v>
      </c>
      <c r="B896">
        <v>1</v>
      </c>
      <c r="C896">
        <v>15</v>
      </c>
      <c r="D896">
        <v>2020</v>
      </c>
      <c r="E896" s="2">
        <f t="shared" si="13"/>
        <v>43845</v>
      </c>
    </row>
    <row r="897" spans="1:5" x14ac:dyDescent="0.3">
      <c r="A897" s="9" t="s">
        <v>70</v>
      </c>
      <c r="B897">
        <v>20</v>
      </c>
      <c r="C897">
        <v>2</v>
      </c>
      <c r="D897">
        <v>2020</v>
      </c>
      <c r="E897" s="2">
        <f t="shared" si="13"/>
        <v>43881</v>
      </c>
    </row>
    <row r="898" spans="1:5" x14ac:dyDescent="0.3">
      <c r="A898" s="8" t="s">
        <v>55</v>
      </c>
      <c r="B898">
        <v>1</v>
      </c>
      <c r="C898">
        <v>15</v>
      </c>
      <c r="D898">
        <v>2020</v>
      </c>
      <c r="E898" s="2">
        <f t="shared" si="13"/>
        <v>43845</v>
      </c>
    </row>
    <row r="899" spans="1:5" x14ac:dyDescent="0.3">
      <c r="A899" s="9" t="s">
        <v>75</v>
      </c>
      <c r="B899">
        <v>2019</v>
      </c>
      <c r="C899">
        <v>12</v>
      </c>
      <c r="D899">
        <v>1</v>
      </c>
      <c r="E899" s="2">
        <f t="shared" ref="E899:E962" si="14">DATE(
 IF(ISNUMBER(--B899),
     IF(LEN(B899)=4, B899, D899),
     D899
 ),
 IF(ISNUMBER(--B899),
     IF(LEN(B899)=4, C899, IF(B899&gt;12, C899, B899)),
     MONTH(DATEVALUE(B899 &amp; " 1"))
 ),
 IF(ISNUMBER(--B899),
     IF(LEN(B899)=4, D899, IF(B899&gt;12, B899, C899)),
     C899
 )
)</f>
        <v>43800</v>
      </c>
    </row>
    <row r="900" spans="1:5" x14ac:dyDescent="0.3">
      <c r="A900" s="8" t="s">
        <v>70</v>
      </c>
      <c r="B900">
        <v>20</v>
      </c>
      <c r="C900">
        <v>2</v>
      </c>
      <c r="D900">
        <v>2020</v>
      </c>
      <c r="E900" s="2">
        <f t="shared" si="14"/>
        <v>43881</v>
      </c>
    </row>
    <row r="901" spans="1:5" x14ac:dyDescent="0.3">
      <c r="A901" s="9" t="s">
        <v>75</v>
      </c>
      <c r="B901">
        <v>2019</v>
      </c>
      <c r="C901">
        <v>12</v>
      </c>
      <c r="D901">
        <v>1</v>
      </c>
      <c r="E901" s="2">
        <f t="shared" si="14"/>
        <v>43800</v>
      </c>
    </row>
    <row r="902" spans="1:5" x14ac:dyDescent="0.3">
      <c r="A902" s="8" t="s">
        <v>71</v>
      </c>
      <c r="B902">
        <v>3</v>
      </c>
      <c r="C902">
        <v>25</v>
      </c>
      <c r="D902">
        <v>2019</v>
      </c>
      <c r="E902" s="2">
        <f t="shared" si="14"/>
        <v>43549</v>
      </c>
    </row>
    <row r="903" spans="1:5" x14ac:dyDescent="0.3">
      <c r="A903" s="9" t="s">
        <v>75</v>
      </c>
      <c r="B903">
        <v>2019</v>
      </c>
      <c r="C903">
        <v>12</v>
      </c>
      <c r="D903">
        <v>1</v>
      </c>
      <c r="E903" s="2">
        <f t="shared" si="14"/>
        <v>43800</v>
      </c>
    </row>
    <row r="904" spans="1:5" x14ac:dyDescent="0.3">
      <c r="A904" s="8" t="s">
        <v>71</v>
      </c>
      <c r="B904">
        <v>3</v>
      </c>
      <c r="C904">
        <v>25</v>
      </c>
      <c r="D904">
        <v>2019</v>
      </c>
      <c r="E904" s="2">
        <f t="shared" si="14"/>
        <v>43549</v>
      </c>
    </row>
    <row r="905" spans="1:5" x14ac:dyDescent="0.3">
      <c r="A905" s="9" t="s">
        <v>70</v>
      </c>
      <c r="B905">
        <v>20</v>
      </c>
      <c r="C905">
        <v>2</v>
      </c>
      <c r="D905">
        <v>2020</v>
      </c>
      <c r="E905" s="2">
        <f t="shared" si="14"/>
        <v>43881</v>
      </c>
    </row>
    <row r="906" spans="1:5" x14ac:dyDescent="0.3">
      <c r="A906" s="8" t="s">
        <v>71</v>
      </c>
      <c r="B906">
        <v>3</v>
      </c>
      <c r="C906">
        <v>25</v>
      </c>
      <c r="D906">
        <v>2019</v>
      </c>
      <c r="E906" s="2">
        <f t="shared" si="14"/>
        <v>43549</v>
      </c>
    </row>
    <row r="907" spans="1:5" x14ac:dyDescent="0.3">
      <c r="A907" s="9" t="s">
        <v>70</v>
      </c>
      <c r="B907">
        <v>20</v>
      </c>
      <c r="C907">
        <v>2</v>
      </c>
      <c r="D907">
        <v>2020</v>
      </c>
      <c r="E907" s="2">
        <f t="shared" si="14"/>
        <v>43881</v>
      </c>
    </row>
    <row r="908" spans="1:5" x14ac:dyDescent="0.3">
      <c r="A908" s="8" t="s">
        <v>70</v>
      </c>
      <c r="B908">
        <v>20</v>
      </c>
      <c r="C908">
        <v>2</v>
      </c>
      <c r="D908">
        <v>2020</v>
      </c>
      <c r="E908" s="2">
        <f t="shared" si="14"/>
        <v>43881</v>
      </c>
    </row>
    <row r="909" spans="1:5" x14ac:dyDescent="0.3">
      <c r="A909" s="9" t="s">
        <v>69</v>
      </c>
      <c r="B909" t="s">
        <v>74</v>
      </c>
      <c r="C909">
        <v>5</v>
      </c>
      <c r="D909">
        <v>2018</v>
      </c>
      <c r="E909" s="2">
        <f t="shared" si="14"/>
        <v>43195</v>
      </c>
    </row>
    <row r="910" spans="1:5" x14ac:dyDescent="0.3">
      <c r="A910" s="8" t="s">
        <v>70</v>
      </c>
      <c r="B910">
        <v>20</v>
      </c>
      <c r="C910">
        <v>2</v>
      </c>
      <c r="D910">
        <v>2020</v>
      </c>
      <c r="E910" s="2">
        <f t="shared" si="14"/>
        <v>43881</v>
      </c>
    </row>
    <row r="911" spans="1:5" x14ac:dyDescent="0.3">
      <c r="A911" s="9" t="s">
        <v>71</v>
      </c>
      <c r="B911">
        <v>3</v>
      </c>
      <c r="C911">
        <v>25</v>
      </c>
      <c r="D911">
        <v>2019</v>
      </c>
      <c r="E911" s="2">
        <f t="shared" si="14"/>
        <v>43549</v>
      </c>
    </row>
    <row r="912" spans="1:5" x14ac:dyDescent="0.3">
      <c r="A912" s="8" t="s">
        <v>69</v>
      </c>
      <c r="B912" t="s">
        <v>74</v>
      </c>
      <c r="C912">
        <v>5</v>
      </c>
      <c r="D912">
        <v>2018</v>
      </c>
      <c r="E912" s="2">
        <f t="shared" si="14"/>
        <v>43195</v>
      </c>
    </row>
    <row r="913" spans="1:5" x14ac:dyDescent="0.3">
      <c r="A913" s="9" t="s">
        <v>69</v>
      </c>
      <c r="B913" t="s">
        <v>74</v>
      </c>
      <c r="C913">
        <v>5</v>
      </c>
      <c r="D913">
        <v>2018</v>
      </c>
      <c r="E913" s="2">
        <f t="shared" si="14"/>
        <v>43195</v>
      </c>
    </row>
    <row r="914" spans="1:5" x14ac:dyDescent="0.3">
      <c r="A914" s="8" t="s">
        <v>70</v>
      </c>
      <c r="B914">
        <v>20</v>
      </c>
      <c r="C914">
        <v>2</v>
      </c>
      <c r="D914">
        <v>2020</v>
      </c>
      <c r="E914" s="2">
        <f t="shared" si="14"/>
        <v>43881</v>
      </c>
    </row>
    <row r="915" spans="1:5" x14ac:dyDescent="0.3">
      <c r="A915" s="9" t="s">
        <v>75</v>
      </c>
      <c r="B915">
        <v>2019</v>
      </c>
      <c r="C915">
        <v>12</v>
      </c>
      <c r="D915">
        <v>1</v>
      </c>
      <c r="E915" s="2">
        <f t="shared" si="14"/>
        <v>43800</v>
      </c>
    </row>
    <row r="916" spans="1:5" x14ac:dyDescent="0.3">
      <c r="A916" s="8" t="s">
        <v>75</v>
      </c>
      <c r="B916">
        <v>2019</v>
      </c>
      <c r="C916">
        <v>12</v>
      </c>
      <c r="D916">
        <v>1</v>
      </c>
      <c r="E916" s="2">
        <f t="shared" si="14"/>
        <v>43800</v>
      </c>
    </row>
    <row r="917" spans="1:5" x14ac:dyDescent="0.3">
      <c r="A917" s="9" t="s">
        <v>69</v>
      </c>
      <c r="B917" t="s">
        <v>74</v>
      </c>
      <c r="C917">
        <v>5</v>
      </c>
      <c r="D917">
        <v>2018</v>
      </c>
      <c r="E917" s="2">
        <f t="shared" si="14"/>
        <v>43195</v>
      </c>
    </row>
    <row r="918" spans="1:5" x14ac:dyDescent="0.3">
      <c r="A918" s="8" t="s">
        <v>70</v>
      </c>
      <c r="B918">
        <v>20</v>
      </c>
      <c r="C918">
        <v>2</v>
      </c>
      <c r="D918">
        <v>2020</v>
      </c>
      <c r="E918" s="2">
        <f t="shared" si="14"/>
        <v>43881</v>
      </c>
    </row>
    <row r="919" spans="1:5" x14ac:dyDescent="0.3">
      <c r="A919" s="9" t="s">
        <v>75</v>
      </c>
      <c r="B919">
        <v>2019</v>
      </c>
      <c r="C919">
        <v>12</v>
      </c>
      <c r="D919">
        <v>1</v>
      </c>
      <c r="E919" s="2">
        <f t="shared" si="14"/>
        <v>43800</v>
      </c>
    </row>
    <row r="920" spans="1:5" x14ac:dyDescent="0.3">
      <c r="A920" s="8" t="s">
        <v>70</v>
      </c>
      <c r="B920">
        <v>20</v>
      </c>
      <c r="C920">
        <v>2</v>
      </c>
      <c r="D920">
        <v>2020</v>
      </c>
      <c r="E920" s="2">
        <f t="shared" si="14"/>
        <v>43881</v>
      </c>
    </row>
    <row r="921" spans="1:5" x14ac:dyDescent="0.3">
      <c r="A921" s="9" t="s">
        <v>70</v>
      </c>
      <c r="B921">
        <v>20</v>
      </c>
      <c r="C921">
        <v>2</v>
      </c>
      <c r="D921">
        <v>2020</v>
      </c>
      <c r="E921" s="2">
        <f t="shared" si="14"/>
        <v>43881</v>
      </c>
    </row>
    <row r="922" spans="1:5" x14ac:dyDescent="0.3">
      <c r="A922" s="8" t="s">
        <v>69</v>
      </c>
      <c r="B922" t="s">
        <v>74</v>
      </c>
      <c r="C922">
        <v>5</v>
      </c>
      <c r="D922">
        <v>2018</v>
      </c>
      <c r="E922" s="2">
        <f t="shared" si="14"/>
        <v>43195</v>
      </c>
    </row>
    <row r="923" spans="1:5" x14ac:dyDescent="0.3">
      <c r="A923" s="9" t="s">
        <v>69</v>
      </c>
      <c r="B923" t="s">
        <v>74</v>
      </c>
      <c r="C923">
        <v>5</v>
      </c>
      <c r="D923">
        <v>2018</v>
      </c>
      <c r="E923" s="2">
        <f t="shared" si="14"/>
        <v>43195</v>
      </c>
    </row>
    <row r="924" spans="1:5" x14ac:dyDescent="0.3">
      <c r="A924" s="8" t="s">
        <v>55</v>
      </c>
      <c r="B924">
        <v>1</v>
      </c>
      <c r="C924">
        <v>15</v>
      </c>
      <c r="D924">
        <v>2020</v>
      </c>
      <c r="E924" s="2">
        <f t="shared" si="14"/>
        <v>43845</v>
      </c>
    </row>
    <row r="925" spans="1:5" x14ac:dyDescent="0.3">
      <c r="A925" s="9" t="s">
        <v>75</v>
      </c>
      <c r="B925">
        <v>2019</v>
      </c>
      <c r="C925">
        <v>12</v>
      </c>
      <c r="D925">
        <v>1</v>
      </c>
      <c r="E925" s="2">
        <f t="shared" si="14"/>
        <v>43800</v>
      </c>
    </row>
    <row r="926" spans="1:5" x14ac:dyDescent="0.3">
      <c r="A926" s="8" t="s">
        <v>75</v>
      </c>
      <c r="B926">
        <v>2019</v>
      </c>
      <c r="C926">
        <v>12</v>
      </c>
      <c r="D926">
        <v>1</v>
      </c>
      <c r="E926" s="2">
        <f t="shared" si="14"/>
        <v>43800</v>
      </c>
    </row>
    <row r="927" spans="1:5" x14ac:dyDescent="0.3">
      <c r="A927" s="9" t="s">
        <v>75</v>
      </c>
      <c r="B927">
        <v>2019</v>
      </c>
      <c r="C927">
        <v>12</v>
      </c>
      <c r="D927">
        <v>1</v>
      </c>
      <c r="E927" s="2">
        <f t="shared" si="14"/>
        <v>43800</v>
      </c>
    </row>
    <row r="928" spans="1:5" x14ac:dyDescent="0.3">
      <c r="A928" s="8" t="s">
        <v>71</v>
      </c>
      <c r="B928">
        <v>3</v>
      </c>
      <c r="C928">
        <v>25</v>
      </c>
      <c r="D928">
        <v>2019</v>
      </c>
      <c r="E928" s="2">
        <f t="shared" si="14"/>
        <v>43549</v>
      </c>
    </row>
    <row r="929" spans="1:5" x14ac:dyDescent="0.3">
      <c r="A929" s="9" t="s">
        <v>70</v>
      </c>
      <c r="B929">
        <v>20</v>
      </c>
      <c r="C929">
        <v>2</v>
      </c>
      <c r="D929">
        <v>2020</v>
      </c>
      <c r="E929" s="2">
        <f t="shared" si="14"/>
        <v>43881</v>
      </c>
    </row>
    <row r="930" spans="1:5" x14ac:dyDescent="0.3">
      <c r="A930" s="8" t="s">
        <v>69</v>
      </c>
      <c r="B930" t="s">
        <v>74</v>
      </c>
      <c r="C930">
        <v>5</v>
      </c>
      <c r="D930">
        <v>2018</v>
      </c>
      <c r="E930" s="2">
        <f t="shared" si="14"/>
        <v>43195</v>
      </c>
    </row>
    <row r="931" spans="1:5" x14ac:dyDescent="0.3">
      <c r="A931" s="9" t="s">
        <v>75</v>
      </c>
      <c r="B931">
        <v>2019</v>
      </c>
      <c r="C931">
        <v>12</v>
      </c>
      <c r="D931">
        <v>1</v>
      </c>
      <c r="E931" s="2">
        <f t="shared" si="14"/>
        <v>43800</v>
      </c>
    </row>
    <row r="932" spans="1:5" x14ac:dyDescent="0.3">
      <c r="A932" s="8" t="s">
        <v>55</v>
      </c>
      <c r="B932">
        <v>1</v>
      </c>
      <c r="C932">
        <v>15</v>
      </c>
      <c r="D932">
        <v>2020</v>
      </c>
      <c r="E932" s="2">
        <f t="shared" si="14"/>
        <v>43845</v>
      </c>
    </row>
    <row r="933" spans="1:5" x14ac:dyDescent="0.3">
      <c r="A933" s="9" t="s">
        <v>75</v>
      </c>
      <c r="B933">
        <v>2019</v>
      </c>
      <c r="C933">
        <v>12</v>
      </c>
      <c r="D933">
        <v>1</v>
      </c>
      <c r="E933" s="2">
        <f t="shared" si="14"/>
        <v>43800</v>
      </c>
    </row>
    <row r="934" spans="1:5" x14ac:dyDescent="0.3">
      <c r="A934" s="8" t="s">
        <v>70</v>
      </c>
      <c r="B934">
        <v>20</v>
      </c>
      <c r="C934">
        <v>2</v>
      </c>
      <c r="D934">
        <v>2020</v>
      </c>
      <c r="E934" s="2">
        <f t="shared" si="14"/>
        <v>43881</v>
      </c>
    </row>
    <row r="935" spans="1:5" x14ac:dyDescent="0.3">
      <c r="A935" s="9" t="s">
        <v>70</v>
      </c>
      <c r="B935">
        <v>20</v>
      </c>
      <c r="C935">
        <v>2</v>
      </c>
      <c r="D935">
        <v>2020</v>
      </c>
      <c r="E935" s="2">
        <f t="shared" si="14"/>
        <v>43881</v>
      </c>
    </row>
    <row r="936" spans="1:5" x14ac:dyDescent="0.3">
      <c r="A936" s="8" t="s">
        <v>69</v>
      </c>
      <c r="B936" t="s">
        <v>74</v>
      </c>
      <c r="C936">
        <v>5</v>
      </c>
      <c r="D936">
        <v>2018</v>
      </c>
      <c r="E936" s="2">
        <f t="shared" si="14"/>
        <v>43195</v>
      </c>
    </row>
    <row r="937" spans="1:5" x14ac:dyDescent="0.3">
      <c r="A937" s="9" t="s">
        <v>71</v>
      </c>
      <c r="B937">
        <v>3</v>
      </c>
      <c r="C937">
        <v>25</v>
      </c>
      <c r="D937">
        <v>2019</v>
      </c>
      <c r="E937" s="2">
        <f t="shared" si="14"/>
        <v>43549</v>
      </c>
    </row>
    <row r="938" spans="1:5" x14ac:dyDescent="0.3">
      <c r="A938" s="8" t="s">
        <v>69</v>
      </c>
      <c r="B938" t="s">
        <v>74</v>
      </c>
      <c r="C938">
        <v>5</v>
      </c>
      <c r="D938">
        <v>2018</v>
      </c>
      <c r="E938" s="2">
        <f t="shared" si="14"/>
        <v>43195</v>
      </c>
    </row>
    <row r="939" spans="1:5" x14ac:dyDescent="0.3">
      <c r="A939" s="9" t="s">
        <v>75</v>
      </c>
      <c r="B939">
        <v>2019</v>
      </c>
      <c r="C939">
        <v>12</v>
      </c>
      <c r="D939">
        <v>1</v>
      </c>
      <c r="E939" s="2">
        <f t="shared" si="14"/>
        <v>43800</v>
      </c>
    </row>
    <row r="940" spans="1:5" x14ac:dyDescent="0.3">
      <c r="A940" s="8" t="s">
        <v>55</v>
      </c>
      <c r="B940">
        <v>1</v>
      </c>
      <c r="C940">
        <v>15</v>
      </c>
      <c r="D940">
        <v>2020</v>
      </c>
      <c r="E940" s="2">
        <f t="shared" si="14"/>
        <v>43845</v>
      </c>
    </row>
    <row r="941" spans="1:5" x14ac:dyDescent="0.3">
      <c r="A941" s="9" t="s">
        <v>69</v>
      </c>
      <c r="B941" t="s">
        <v>74</v>
      </c>
      <c r="C941">
        <v>5</v>
      </c>
      <c r="D941">
        <v>2018</v>
      </c>
      <c r="E941" s="2">
        <f t="shared" si="14"/>
        <v>43195</v>
      </c>
    </row>
    <row r="942" spans="1:5" x14ac:dyDescent="0.3">
      <c r="A942" s="8" t="s">
        <v>71</v>
      </c>
      <c r="B942">
        <v>3</v>
      </c>
      <c r="C942">
        <v>25</v>
      </c>
      <c r="D942">
        <v>2019</v>
      </c>
      <c r="E942" s="2">
        <f t="shared" si="14"/>
        <v>43549</v>
      </c>
    </row>
    <row r="943" spans="1:5" x14ac:dyDescent="0.3">
      <c r="A943" s="9" t="s">
        <v>69</v>
      </c>
      <c r="B943" t="s">
        <v>74</v>
      </c>
      <c r="C943">
        <v>5</v>
      </c>
      <c r="D943">
        <v>2018</v>
      </c>
      <c r="E943" s="2">
        <f t="shared" si="14"/>
        <v>43195</v>
      </c>
    </row>
    <row r="944" spans="1:5" x14ac:dyDescent="0.3">
      <c r="A944" s="8" t="s">
        <v>70</v>
      </c>
      <c r="B944">
        <v>20</v>
      </c>
      <c r="C944">
        <v>2</v>
      </c>
      <c r="D944">
        <v>2020</v>
      </c>
      <c r="E944" s="2">
        <f t="shared" si="14"/>
        <v>43881</v>
      </c>
    </row>
    <row r="945" spans="1:5" x14ac:dyDescent="0.3">
      <c r="A945" s="9" t="s">
        <v>75</v>
      </c>
      <c r="B945">
        <v>2019</v>
      </c>
      <c r="C945">
        <v>12</v>
      </c>
      <c r="D945">
        <v>1</v>
      </c>
      <c r="E945" s="2">
        <f t="shared" si="14"/>
        <v>43800</v>
      </c>
    </row>
    <row r="946" spans="1:5" x14ac:dyDescent="0.3">
      <c r="A946" s="8" t="s">
        <v>75</v>
      </c>
      <c r="B946">
        <v>2019</v>
      </c>
      <c r="C946">
        <v>12</v>
      </c>
      <c r="D946">
        <v>1</v>
      </c>
      <c r="E946" s="2">
        <f t="shared" si="14"/>
        <v>43800</v>
      </c>
    </row>
    <row r="947" spans="1:5" x14ac:dyDescent="0.3">
      <c r="A947" s="9" t="s">
        <v>75</v>
      </c>
      <c r="B947">
        <v>2019</v>
      </c>
      <c r="C947">
        <v>12</v>
      </c>
      <c r="D947">
        <v>1</v>
      </c>
      <c r="E947" s="2">
        <f t="shared" si="14"/>
        <v>43800</v>
      </c>
    </row>
    <row r="948" spans="1:5" x14ac:dyDescent="0.3">
      <c r="A948" s="8" t="s">
        <v>75</v>
      </c>
      <c r="B948">
        <v>2019</v>
      </c>
      <c r="C948">
        <v>12</v>
      </c>
      <c r="D948">
        <v>1</v>
      </c>
      <c r="E948" s="2">
        <f t="shared" si="14"/>
        <v>43800</v>
      </c>
    </row>
    <row r="949" spans="1:5" x14ac:dyDescent="0.3">
      <c r="A949" s="9" t="s">
        <v>75</v>
      </c>
      <c r="B949">
        <v>2019</v>
      </c>
      <c r="C949">
        <v>12</v>
      </c>
      <c r="D949">
        <v>1</v>
      </c>
      <c r="E949" s="2">
        <f t="shared" si="14"/>
        <v>43800</v>
      </c>
    </row>
    <row r="950" spans="1:5" x14ac:dyDescent="0.3">
      <c r="A950" s="8" t="s">
        <v>75</v>
      </c>
      <c r="B950">
        <v>2019</v>
      </c>
      <c r="C950">
        <v>12</v>
      </c>
      <c r="D950">
        <v>1</v>
      </c>
      <c r="E950" s="2">
        <f t="shared" si="14"/>
        <v>43800</v>
      </c>
    </row>
    <row r="951" spans="1:5" x14ac:dyDescent="0.3">
      <c r="A951" s="9" t="s">
        <v>55</v>
      </c>
      <c r="B951">
        <v>1</v>
      </c>
      <c r="C951">
        <v>15</v>
      </c>
      <c r="D951">
        <v>2020</v>
      </c>
      <c r="E951" s="2">
        <f t="shared" si="14"/>
        <v>43845</v>
      </c>
    </row>
    <row r="952" spans="1:5" x14ac:dyDescent="0.3">
      <c r="A952" s="8" t="s">
        <v>71</v>
      </c>
      <c r="B952">
        <v>3</v>
      </c>
      <c r="C952">
        <v>25</v>
      </c>
      <c r="D952">
        <v>2019</v>
      </c>
      <c r="E952" s="2">
        <f t="shared" si="14"/>
        <v>43549</v>
      </c>
    </row>
    <row r="953" spans="1:5" x14ac:dyDescent="0.3">
      <c r="A953" s="9" t="s">
        <v>75</v>
      </c>
      <c r="B953">
        <v>2019</v>
      </c>
      <c r="C953">
        <v>12</v>
      </c>
      <c r="D953">
        <v>1</v>
      </c>
      <c r="E953" s="2">
        <f t="shared" si="14"/>
        <v>43800</v>
      </c>
    </row>
    <row r="954" spans="1:5" x14ac:dyDescent="0.3">
      <c r="A954" s="8" t="s">
        <v>71</v>
      </c>
      <c r="B954">
        <v>3</v>
      </c>
      <c r="C954">
        <v>25</v>
      </c>
      <c r="D954">
        <v>2019</v>
      </c>
      <c r="E954" s="2">
        <f t="shared" si="14"/>
        <v>43549</v>
      </c>
    </row>
    <row r="955" spans="1:5" x14ac:dyDescent="0.3">
      <c r="A955" s="9" t="s">
        <v>75</v>
      </c>
      <c r="B955">
        <v>2019</v>
      </c>
      <c r="C955">
        <v>12</v>
      </c>
      <c r="D955">
        <v>1</v>
      </c>
      <c r="E955" s="2">
        <f t="shared" si="14"/>
        <v>43800</v>
      </c>
    </row>
    <row r="956" spans="1:5" x14ac:dyDescent="0.3">
      <c r="A956" s="8" t="s">
        <v>69</v>
      </c>
      <c r="B956" t="s">
        <v>74</v>
      </c>
      <c r="C956">
        <v>5</v>
      </c>
      <c r="D956">
        <v>2018</v>
      </c>
      <c r="E956" s="2">
        <f t="shared" si="14"/>
        <v>43195</v>
      </c>
    </row>
    <row r="957" spans="1:5" x14ac:dyDescent="0.3">
      <c r="A957" s="9" t="s">
        <v>75</v>
      </c>
      <c r="B957">
        <v>2019</v>
      </c>
      <c r="C957">
        <v>12</v>
      </c>
      <c r="D957">
        <v>1</v>
      </c>
      <c r="E957" s="2">
        <f t="shared" si="14"/>
        <v>43800</v>
      </c>
    </row>
    <row r="958" spans="1:5" x14ac:dyDescent="0.3">
      <c r="A958" s="8" t="s">
        <v>70</v>
      </c>
      <c r="B958">
        <v>20</v>
      </c>
      <c r="C958">
        <v>2</v>
      </c>
      <c r="D958">
        <v>2020</v>
      </c>
      <c r="E958" s="2">
        <f t="shared" si="14"/>
        <v>43881</v>
      </c>
    </row>
    <row r="959" spans="1:5" x14ac:dyDescent="0.3">
      <c r="A959" s="9" t="s">
        <v>55</v>
      </c>
      <c r="B959">
        <v>1</v>
      </c>
      <c r="C959">
        <v>15</v>
      </c>
      <c r="D959">
        <v>2020</v>
      </c>
      <c r="E959" s="2">
        <f t="shared" si="14"/>
        <v>43845</v>
      </c>
    </row>
    <row r="960" spans="1:5" x14ac:dyDescent="0.3">
      <c r="A960" s="8" t="s">
        <v>69</v>
      </c>
      <c r="B960" t="s">
        <v>74</v>
      </c>
      <c r="C960">
        <v>5</v>
      </c>
      <c r="D960">
        <v>2018</v>
      </c>
      <c r="E960" s="2">
        <f t="shared" si="14"/>
        <v>43195</v>
      </c>
    </row>
    <row r="961" spans="1:5" x14ac:dyDescent="0.3">
      <c r="A961" s="9" t="s">
        <v>69</v>
      </c>
      <c r="B961" t="s">
        <v>74</v>
      </c>
      <c r="C961">
        <v>5</v>
      </c>
      <c r="D961">
        <v>2018</v>
      </c>
      <c r="E961" s="2">
        <f t="shared" si="14"/>
        <v>43195</v>
      </c>
    </row>
    <row r="962" spans="1:5" x14ac:dyDescent="0.3">
      <c r="A962" s="8" t="s">
        <v>70</v>
      </c>
      <c r="B962">
        <v>20</v>
      </c>
      <c r="C962">
        <v>2</v>
      </c>
      <c r="D962">
        <v>2020</v>
      </c>
      <c r="E962" s="2">
        <f t="shared" si="14"/>
        <v>43881</v>
      </c>
    </row>
    <row r="963" spans="1:5" x14ac:dyDescent="0.3">
      <c r="A963" s="9" t="s">
        <v>75</v>
      </c>
      <c r="B963">
        <v>2019</v>
      </c>
      <c r="C963">
        <v>12</v>
      </c>
      <c r="D963">
        <v>1</v>
      </c>
      <c r="E963" s="2">
        <f t="shared" ref="E963:E1001" si="15">DATE(
 IF(ISNUMBER(--B963),
     IF(LEN(B963)=4, B963, D963),
     D963
 ),
 IF(ISNUMBER(--B963),
     IF(LEN(B963)=4, C963, IF(B963&gt;12, C963, B963)),
     MONTH(DATEVALUE(B963 &amp; " 1"))
 ),
 IF(ISNUMBER(--B963),
     IF(LEN(B963)=4, D963, IF(B963&gt;12, B963, C963)),
     C963
 )
)</f>
        <v>43800</v>
      </c>
    </row>
    <row r="964" spans="1:5" x14ac:dyDescent="0.3">
      <c r="A964" s="8" t="s">
        <v>55</v>
      </c>
      <c r="B964">
        <v>1</v>
      </c>
      <c r="C964">
        <v>15</v>
      </c>
      <c r="D964">
        <v>2020</v>
      </c>
      <c r="E964" s="2">
        <f t="shared" si="15"/>
        <v>43845</v>
      </c>
    </row>
    <row r="965" spans="1:5" x14ac:dyDescent="0.3">
      <c r="A965" s="9" t="s">
        <v>69</v>
      </c>
      <c r="B965" t="s">
        <v>74</v>
      </c>
      <c r="C965">
        <v>5</v>
      </c>
      <c r="D965">
        <v>2018</v>
      </c>
      <c r="E965" s="2">
        <f t="shared" si="15"/>
        <v>43195</v>
      </c>
    </row>
    <row r="966" spans="1:5" x14ac:dyDescent="0.3">
      <c r="A966" s="8" t="s">
        <v>55</v>
      </c>
      <c r="B966">
        <v>1</v>
      </c>
      <c r="C966">
        <v>15</v>
      </c>
      <c r="D966">
        <v>2020</v>
      </c>
      <c r="E966" s="2">
        <f t="shared" si="15"/>
        <v>43845</v>
      </c>
    </row>
    <row r="967" spans="1:5" x14ac:dyDescent="0.3">
      <c r="A967" s="9" t="s">
        <v>69</v>
      </c>
      <c r="B967" t="s">
        <v>74</v>
      </c>
      <c r="C967">
        <v>5</v>
      </c>
      <c r="D967">
        <v>2018</v>
      </c>
      <c r="E967" s="2">
        <f t="shared" si="15"/>
        <v>43195</v>
      </c>
    </row>
    <row r="968" spans="1:5" x14ac:dyDescent="0.3">
      <c r="A968" s="8" t="s">
        <v>75</v>
      </c>
      <c r="B968">
        <v>2019</v>
      </c>
      <c r="C968">
        <v>12</v>
      </c>
      <c r="D968">
        <v>1</v>
      </c>
      <c r="E968" s="2">
        <f t="shared" si="15"/>
        <v>43800</v>
      </c>
    </row>
    <row r="969" spans="1:5" x14ac:dyDescent="0.3">
      <c r="A969" s="9" t="s">
        <v>69</v>
      </c>
      <c r="B969" t="s">
        <v>74</v>
      </c>
      <c r="C969">
        <v>5</v>
      </c>
      <c r="D969">
        <v>2018</v>
      </c>
      <c r="E969" s="2">
        <f t="shared" si="15"/>
        <v>43195</v>
      </c>
    </row>
    <row r="970" spans="1:5" x14ac:dyDescent="0.3">
      <c r="A970" s="8" t="s">
        <v>69</v>
      </c>
      <c r="B970" t="s">
        <v>74</v>
      </c>
      <c r="C970">
        <v>5</v>
      </c>
      <c r="D970">
        <v>2018</v>
      </c>
      <c r="E970" s="2">
        <f t="shared" si="15"/>
        <v>43195</v>
      </c>
    </row>
    <row r="971" spans="1:5" x14ac:dyDescent="0.3">
      <c r="A971" s="9" t="s">
        <v>71</v>
      </c>
      <c r="B971">
        <v>3</v>
      </c>
      <c r="C971">
        <v>25</v>
      </c>
      <c r="D971">
        <v>2019</v>
      </c>
      <c r="E971" s="2">
        <f t="shared" si="15"/>
        <v>43549</v>
      </c>
    </row>
    <row r="972" spans="1:5" x14ac:dyDescent="0.3">
      <c r="A972" s="8" t="s">
        <v>75</v>
      </c>
      <c r="B972">
        <v>2019</v>
      </c>
      <c r="C972">
        <v>12</v>
      </c>
      <c r="D972">
        <v>1</v>
      </c>
      <c r="E972" s="2">
        <f t="shared" si="15"/>
        <v>43800</v>
      </c>
    </row>
    <row r="973" spans="1:5" x14ac:dyDescent="0.3">
      <c r="A973" s="9" t="s">
        <v>70</v>
      </c>
      <c r="B973">
        <v>20</v>
      </c>
      <c r="C973">
        <v>2</v>
      </c>
      <c r="D973">
        <v>2020</v>
      </c>
      <c r="E973" s="2">
        <f t="shared" si="15"/>
        <v>43881</v>
      </c>
    </row>
    <row r="974" spans="1:5" x14ac:dyDescent="0.3">
      <c r="A974" s="8" t="s">
        <v>70</v>
      </c>
      <c r="B974">
        <v>20</v>
      </c>
      <c r="C974">
        <v>2</v>
      </c>
      <c r="D974">
        <v>2020</v>
      </c>
      <c r="E974" s="2">
        <f t="shared" si="15"/>
        <v>43881</v>
      </c>
    </row>
    <row r="975" spans="1:5" x14ac:dyDescent="0.3">
      <c r="A975" s="9" t="s">
        <v>75</v>
      </c>
      <c r="B975">
        <v>2019</v>
      </c>
      <c r="C975">
        <v>12</v>
      </c>
      <c r="D975">
        <v>1</v>
      </c>
      <c r="E975" s="2">
        <f t="shared" si="15"/>
        <v>43800</v>
      </c>
    </row>
    <row r="976" spans="1:5" x14ac:dyDescent="0.3">
      <c r="A976" s="8" t="s">
        <v>70</v>
      </c>
      <c r="B976">
        <v>20</v>
      </c>
      <c r="C976">
        <v>2</v>
      </c>
      <c r="D976">
        <v>2020</v>
      </c>
      <c r="E976" s="2">
        <f t="shared" si="15"/>
        <v>43881</v>
      </c>
    </row>
    <row r="977" spans="1:5" x14ac:dyDescent="0.3">
      <c r="A977" s="9" t="s">
        <v>75</v>
      </c>
      <c r="B977">
        <v>2019</v>
      </c>
      <c r="C977">
        <v>12</v>
      </c>
      <c r="D977">
        <v>1</v>
      </c>
      <c r="E977" s="2">
        <f t="shared" si="15"/>
        <v>43800</v>
      </c>
    </row>
    <row r="978" spans="1:5" x14ac:dyDescent="0.3">
      <c r="A978" s="8" t="s">
        <v>70</v>
      </c>
      <c r="B978">
        <v>20</v>
      </c>
      <c r="C978">
        <v>2</v>
      </c>
      <c r="D978">
        <v>2020</v>
      </c>
      <c r="E978" s="2">
        <f t="shared" si="15"/>
        <v>43881</v>
      </c>
    </row>
    <row r="979" spans="1:5" x14ac:dyDescent="0.3">
      <c r="A979" s="9" t="s">
        <v>71</v>
      </c>
      <c r="B979">
        <v>3</v>
      </c>
      <c r="C979">
        <v>25</v>
      </c>
      <c r="D979">
        <v>2019</v>
      </c>
      <c r="E979" s="2">
        <f t="shared" si="15"/>
        <v>43549</v>
      </c>
    </row>
    <row r="980" spans="1:5" x14ac:dyDescent="0.3">
      <c r="A980" s="8" t="s">
        <v>70</v>
      </c>
      <c r="B980">
        <v>20</v>
      </c>
      <c r="C980">
        <v>2</v>
      </c>
      <c r="D980">
        <v>2020</v>
      </c>
      <c r="E980" s="2">
        <f t="shared" si="15"/>
        <v>43881</v>
      </c>
    </row>
    <row r="981" spans="1:5" x14ac:dyDescent="0.3">
      <c r="A981" s="9" t="s">
        <v>69</v>
      </c>
      <c r="B981" t="s">
        <v>74</v>
      </c>
      <c r="C981">
        <v>5</v>
      </c>
      <c r="D981">
        <v>2018</v>
      </c>
      <c r="E981" s="2">
        <f t="shared" si="15"/>
        <v>43195</v>
      </c>
    </row>
    <row r="982" spans="1:5" x14ac:dyDescent="0.3">
      <c r="A982" s="8" t="s">
        <v>75</v>
      </c>
      <c r="B982">
        <v>2019</v>
      </c>
      <c r="C982">
        <v>12</v>
      </c>
      <c r="D982">
        <v>1</v>
      </c>
      <c r="E982" s="2">
        <f t="shared" si="15"/>
        <v>43800</v>
      </c>
    </row>
    <row r="983" spans="1:5" x14ac:dyDescent="0.3">
      <c r="A983" s="9" t="s">
        <v>55</v>
      </c>
      <c r="B983">
        <v>1</v>
      </c>
      <c r="C983">
        <v>15</v>
      </c>
      <c r="D983">
        <v>2020</v>
      </c>
      <c r="E983" s="2">
        <f t="shared" si="15"/>
        <v>43845</v>
      </c>
    </row>
    <row r="984" spans="1:5" x14ac:dyDescent="0.3">
      <c r="A984" s="8" t="s">
        <v>55</v>
      </c>
      <c r="B984">
        <v>1</v>
      </c>
      <c r="C984">
        <v>15</v>
      </c>
      <c r="D984">
        <v>2020</v>
      </c>
      <c r="E984" s="2">
        <f t="shared" si="15"/>
        <v>43845</v>
      </c>
    </row>
    <row r="985" spans="1:5" x14ac:dyDescent="0.3">
      <c r="A985" s="9" t="s">
        <v>75</v>
      </c>
      <c r="B985">
        <v>2019</v>
      </c>
      <c r="C985">
        <v>12</v>
      </c>
      <c r="D985">
        <v>1</v>
      </c>
      <c r="E985" s="2">
        <f t="shared" si="15"/>
        <v>43800</v>
      </c>
    </row>
    <row r="986" spans="1:5" x14ac:dyDescent="0.3">
      <c r="A986" s="8" t="s">
        <v>71</v>
      </c>
      <c r="B986">
        <v>3</v>
      </c>
      <c r="C986">
        <v>25</v>
      </c>
      <c r="D986">
        <v>2019</v>
      </c>
      <c r="E986" s="2">
        <f t="shared" si="15"/>
        <v>43549</v>
      </c>
    </row>
    <row r="987" spans="1:5" x14ac:dyDescent="0.3">
      <c r="A987" s="9" t="s">
        <v>70</v>
      </c>
      <c r="B987">
        <v>20</v>
      </c>
      <c r="C987">
        <v>2</v>
      </c>
      <c r="D987">
        <v>2020</v>
      </c>
      <c r="E987" s="2">
        <f t="shared" si="15"/>
        <v>43881</v>
      </c>
    </row>
    <row r="988" spans="1:5" x14ac:dyDescent="0.3">
      <c r="A988" s="8" t="s">
        <v>71</v>
      </c>
      <c r="B988">
        <v>3</v>
      </c>
      <c r="C988">
        <v>25</v>
      </c>
      <c r="D988">
        <v>2019</v>
      </c>
      <c r="E988" s="2">
        <f t="shared" si="15"/>
        <v>43549</v>
      </c>
    </row>
    <row r="989" spans="1:5" x14ac:dyDescent="0.3">
      <c r="A989" s="9" t="s">
        <v>55</v>
      </c>
      <c r="B989">
        <v>1</v>
      </c>
      <c r="C989">
        <v>15</v>
      </c>
      <c r="D989">
        <v>2020</v>
      </c>
      <c r="E989" s="2">
        <f t="shared" si="15"/>
        <v>43845</v>
      </c>
    </row>
    <row r="990" spans="1:5" x14ac:dyDescent="0.3">
      <c r="A990" s="8" t="s">
        <v>75</v>
      </c>
      <c r="B990">
        <v>2019</v>
      </c>
      <c r="C990">
        <v>12</v>
      </c>
      <c r="D990">
        <v>1</v>
      </c>
      <c r="E990" s="2">
        <f t="shared" si="15"/>
        <v>43800</v>
      </c>
    </row>
    <row r="991" spans="1:5" x14ac:dyDescent="0.3">
      <c r="A991" s="9" t="s">
        <v>75</v>
      </c>
      <c r="B991">
        <v>2019</v>
      </c>
      <c r="C991">
        <v>12</v>
      </c>
      <c r="D991">
        <v>1</v>
      </c>
      <c r="E991" s="2">
        <f t="shared" si="15"/>
        <v>43800</v>
      </c>
    </row>
    <row r="992" spans="1:5" x14ac:dyDescent="0.3">
      <c r="A992" s="8" t="s">
        <v>71</v>
      </c>
      <c r="B992">
        <v>3</v>
      </c>
      <c r="C992">
        <v>25</v>
      </c>
      <c r="D992">
        <v>2019</v>
      </c>
      <c r="E992" s="2">
        <f t="shared" si="15"/>
        <v>43549</v>
      </c>
    </row>
    <row r="993" spans="1:5" x14ac:dyDescent="0.3">
      <c r="A993" s="9" t="s">
        <v>71</v>
      </c>
      <c r="B993">
        <v>3</v>
      </c>
      <c r="C993">
        <v>25</v>
      </c>
      <c r="D993">
        <v>2019</v>
      </c>
      <c r="E993" s="2">
        <f t="shared" si="15"/>
        <v>43549</v>
      </c>
    </row>
    <row r="994" spans="1:5" x14ac:dyDescent="0.3">
      <c r="A994" s="8" t="s">
        <v>70</v>
      </c>
      <c r="B994">
        <v>20</v>
      </c>
      <c r="C994">
        <v>2</v>
      </c>
      <c r="D994">
        <v>2020</v>
      </c>
      <c r="E994" s="2">
        <f t="shared" si="15"/>
        <v>43881</v>
      </c>
    </row>
    <row r="995" spans="1:5" x14ac:dyDescent="0.3">
      <c r="A995" s="9" t="s">
        <v>69</v>
      </c>
      <c r="B995" t="s">
        <v>74</v>
      </c>
      <c r="C995">
        <v>5</v>
      </c>
      <c r="D995">
        <v>2018</v>
      </c>
      <c r="E995" s="2">
        <f t="shared" si="15"/>
        <v>43195</v>
      </c>
    </row>
    <row r="996" spans="1:5" x14ac:dyDescent="0.3">
      <c r="A996" s="8" t="s">
        <v>69</v>
      </c>
      <c r="B996" t="s">
        <v>74</v>
      </c>
      <c r="C996">
        <v>5</v>
      </c>
      <c r="D996">
        <v>2018</v>
      </c>
      <c r="E996" s="2">
        <f t="shared" si="15"/>
        <v>43195</v>
      </c>
    </row>
    <row r="997" spans="1:5" x14ac:dyDescent="0.3">
      <c r="A997" s="9" t="s">
        <v>70</v>
      </c>
      <c r="B997">
        <v>20</v>
      </c>
      <c r="C997">
        <v>2</v>
      </c>
      <c r="D997">
        <v>2020</v>
      </c>
      <c r="E997" s="2">
        <f t="shared" si="15"/>
        <v>43881</v>
      </c>
    </row>
    <row r="998" spans="1:5" x14ac:dyDescent="0.3">
      <c r="A998" s="8" t="s">
        <v>69</v>
      </c>
      <c r="B998" t="s">
        <v>74</v>
      </c>
      <c r="C998">
        <v>5</v>
      </c>
      <c r="D998">
        <v>2018</v>
      </c>
      <c r="E998" s="2">
        <f t="shared" si="15"/>
        <v>43195</v>
      </c>
    </row>
    <row r="999" spans="1:5" x14ac:dyDescent="0.3">
      <c r="A999" s="9" t="s">
        <v>55</v>
      </c>
      <c r="B999">
        <v>1</v>
      </c>
      <c r="C999">
        <v>15</v>
      </c>
      <c r="D999">
        <v>2020</v>
      </c>
      <c r="E999" s="2">
        <f t="shared" si="15"/>
        <v>43845</v>
      </c>
    </row>
    <row r="1000" spans="1:5" x14ac:dyDescent="0.3">
      <c r="A1000" s="8" t="s">
        <v>69</v>
      </c>
      <c r="B1000" t="s">
        <v>74</v>
      </c>
      <c r="C1000">
        <v>5</v>
      </c>
      <c r="D1000">
        <v>2018</v>
      </c>
      <c r="E1000" s="2">
        <f t="shared" si="15"/>
        <v>43195</v>
      </c>
    </row>
    <row r="1001" spans="1:5" x14ac:dyDescent="0.3">
      <c r="A1001" s="9" t="s">
        <v>70</v>
      </c>
      <c r="B1001">
        <v>20</v>
      </c>
      <c r="C1001">
        <v>2</v>
      </c>
      <c r="D1001">
        <v>2020</v>
      </c>
      <c r="E1001" s="2">
        <f t="shared" si="15"/>
        <v>43881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D669-9099-441A-996F-6EF0453C3498}">
  <dimension ref="A1:L1001"/>
  <sheetViews>
    <sheetView workbookViewId="0">
      <selection activeCell="I1" sqref="I1:I1001"/>
    </sheetView>
  </sheetViews>
  <sheetFormatPr defaultRowHeight="14.4" x14ac:dyDescent="0.3"/>
  <cols>
    <col min="1" max="1" width="8.21875" bestFit="1" customWidth="1"/>
    <col min="2" max="2" width="6.21875" bestFit="1" customWidth="1"/>
    <col min="3" max="3" width="10.44140625" bestFit="1" customWidth="1"/>
    <col min="4" max="4" width="9.33203125" bestFit="1" customWidth="1"/>
    <col min="5" max="5" width="13.21875" bestFit="1" customWidth="1"/>
    <col min="6" max="6" width="10" bestFit="1" customWidth="1"/>
    <col min="7" max="7" width="13.109375" style="10" bestFit="1" customWidth="1"/>
    <col min="8" max="8" width="19.109375" bestFit="1" customWidth="1"/>
    <col min="9" max="9" width="18.21875" bestFit="1" customWidth="1"/>
    <col min="10" max="10" width="15.5546875" bestFit="1" customWidth="1"/>
    <col min="11" max="11" width="23.6640625" bestFit="1" customWidth="1"/>
    <col min="12" max="12" width="19.109375" bestFit="1" customWidth="1"/>
  </cols>
  <sheetData>
    <row r="1" spans="1:12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2" t="s">
        <v>6</v>
      </c>
      <c r="H1" t="s">
        <v>7</v>
      </c>
      <c r="I1" t="s">
        <v>8</v>
      </c>
      <c r="J1" t="s">
        <v>9</v>
      </c>
      <c r="K1" s="12" t="s">
        <v>10</v>
      </c>
      <c r="L1" t="s">
        <v>47</v>
      </c>
    </row>
    <row r="2" spans="1:12" x14ac:dyDescent="0.3">
      <c r="A2" t="s">
        <v>11</v>
      </c>
      <c r="B2">
        <v>25</v>
      </c>
      <c r="C2" s="1">
        <v>50000</v>
      </c>
      <c r="D2" t="s">
        <v>12</v>
      </c>
      <c r="E2" t="s">
        <v>13</v>
      </c>
      <c r="F2" t="s">
        <v>14</v>
      </c>
      <c r="G2" s="11">
        <v>43195</v>
      </c>
      <c r="H2" t="s">
        <v>15</v>
      </c>
      <c r="I2" t="s">
        <v>16</v>
      </c>
      <c r="J2" t="s">
        <v>17</v>
      </c>
      <c r="K2" s="11" t="str">
        <f ca="1">DATEDIF(G2,TODAY(),"Y") &amp; " Years"</f>
        <v>7 Years</v>
      </c>
      <c r="L2" s="3" cm="1">
        <f t="array" ref="L2">_xlfn.SWITCH(Table13_24[[#This Row],[Performance Score]],"A",6,"B",5,"C",4,"D",3,"E",2,"F",1)</f>
        <v>3</v>
      </c>
    </row>
    <row r="3" spans="1:12" x14ac:dyDescent="0.3">
      <c r="A3" t="s">
        <v>18</v>
      </c>
      <c r="B3">
        <v>36</v>
      </c>
      <c r="C3" s="1">
        <v>65000</v>
      </c>
      <c r="D3" t="s">
        <v>19</v>
      </c>
      <c r="E3" t="s">
        <v>20</v>
      </c>
      <c r="F3" t="s">
        <v>21</v>
      </c>
      <c r="G3" s="11">
        <v>43881</v>
      </c>
      <c r="H3" t="s">
        <v>22</v>
      </c>
      <c r="I3" t="s">
        <v>23</v>
      </c>
      <c r="J3" t="s">
        <v>24</v>
      </c>
      <c r="K3" s="11" t="str">
        <f t="shared" ref="K3:K66" ca="1" si="0">DATEDIF(G3,TODAY(),"Y") &amp; " Years"</f>
        <v>5 Years</v>
      </c>
      <c r="L3" s="3" cm="1">
        <f t="array" ref="L3">_xlfn.SWITCH(Table13_24[[#This Row],[Performance Score]],"A",6,"B",5,"C",4,"D",3,"E",2,"F",1)</f>
        <v>1</v>
      </c>
    </row>
    <row r="4" spans="1:12" x14ac:dyDescent="0.3">
      <c r="A4" t="s">
        <v>25</v>
      </c>
      <c r="B4">
        <v>35</v>
      </c>
      <c r="C4" s="1">
        <v>60000</v>
      </c>
      <c r="D4" t="s">
        <v>19</v>
      </c>
      <c r="E4" t="s">
        <v>26</v>
      </c>
      <c r="F4" t="s">
        <v>21</v>
      </c>
      <c r="G4" s="11">
        <v>43845</v>
      </c>
      <c r="H4" t="s">
        <v>27</v>
      </c>
      <c r="I4" t="s">
        <v>16</v>
      </c>
      <c r="J4" t="s">
        <v>28</v>
      </c>
      <c r="K4" s="11" t="str">
        <f t="shared" ca="1" si="0"/>
        <v>5 Years</v>
      </c>
      <c r="L4" s="3" cm="1">
        <f t="array" ref="L4">_xlfn.SWITCH(Table13_24[[#This Row],[Performance Score]],"A",6,"B",5,"C",4,"D",3,"E",2,"F",1)</f>
        <v>4</v>
      </c>
    </row>
    <row r="5" spans="1:12" x14ac:dyDescent="0.3">
      <c r="A5" t="s">
        <v>29</v>
      </c>
      <c r="B5">
        <v>36</v>
      </c>
      <c r="C5" s="1">
        <v>50000</v>
      </c>
      <c r="D5" t="s">
        <v>19</v>
      </c>
      <c r="E5" t="s">
        <v>30</v>
      </c>
      <c r="F5" t="s">
        <v>14</v>
      </c>
      <c r="G5" s="11">
        <v>43195</v>
      </c>
      <c r="H5" t="s">
        <v>31</v>
      </c>
      <c r="I5" t="s">
        <v>32</v>
      </c>
      <c r="J5" t="s">
        <v>17</v>
      </c>
      <c r="K5" s="11" t="str">
        <f t="shared" ca="1" si="0"/>
        <v>7 Years</v>
      </c>
      <c r="L5" s="3" cm="1">
        <f t="array" ref="L5">_xlfn.SWITCH(Table13_24[[#This Row],[Performance Score]],"A",6,"B",5,"C",4,"D",3,"E",2,"F",1)</f>
        <v>6</v>
      </c>
    </row>
    <row r="6" spans="1:12" x14ac:dyDescent="0.3">
      <c r="A6" t="s">
        <v>11</v>
      </c>
      <c r="B6">
        <v>36</v>
      </c>
      <c r="C6" s="1">
        <v>48417.431192660551</v>
      </c>
      <c r="D6" t="s">
        <v>19</v>
      </c>
      <c r="E6" t="s">
        <v>20</v>
      </c>
      <c r="F6" t="s">
        <v>14</v>
      </c>
      <c r="G6" s="11">
        <v>43845</v>
      </c>
      <c r="H6" t="s">
        <v>22</v>
      </c>
      <c r="I6" t="s">
        <v>32</v>
      </c>
      <c r="J6" t="s">
        <v>28</v>
      </c>
      <c r="K6" s="11" t="str">
        <f t="shared" ca="1" si="0"/>
        <v>5 Years</v>
      </c>
      <c r="L6" s="3" cm="1">
        <f t="array" ref="L6">_xlfn.SWITCH(Table13_24[[#This Row],[Performance Score]],"A",6,"B",5,"C",4,"D",3,"E",2,"F",1)</f>
        <v>1</v>
      </c>
    </row>
    <row r="7" spans="1:12" x14ac:dyDescent="0.3">
      <c r="A7" t="s">
        <v>33</v>
      </c>
      <c r="B7">
        <v>36</v>
      </c>
      <c r="C7" s="1">
        <v>65000</v>
      </c>
      <c r="D7" t="s">
        <v>34</v>
      </c>
      <c r="E7" t="s">
        <v>35</v>
      </c>
      <c r="F7" t="s">
        <v>21</v>
      </c>
      <c r="G7" s="11">
        <v>43549</v>
      </c>
      <c r="H7" t="s">
        <v>22</v>
      </c>
      <c r="I7" t="s">
        <v>23</v>
      </c>
      <c r="J7" t="s">
        <v>17</v>
      </c>
      <c r="K7" s="11" t="str">
        <f t="shared" ca="1" si="0"/>
        <v>6 Years</v>
      </c>
      <c r="L7" s="3" cm="1">
        <f t="array" ref="L7">_xlfn.SWITCH(Table13_24[[#This Row],[Performance Score]],"A",6,"B",5,"C",4,"D",3,"E",2,"F",1)</f>
        <v>1</v>
      </c>
    </row>
    <row r="8" spans="1:12" x14ac:dyDescent="0.3">
      <c r="A8" t="s">
        <v>36</v>
      </c>
      <c r="B8">
        <v>36</v>
      </c>
      <c r="C8" s="1">
        <v>50000</v>
      </c>
      <c r="D8" t="s">
        <v>12</v>
      </c>
      <c r="E8" t="s">
        <v>35</v>
      </c>
      <c r="F8" t="s">
        <v>37</v>
      </c>
      <c r="G8" s="11">
        <v>43477</v>
      </c>
      <c r="H8" t="s">
        <v>38</v>
      </c>
      <c r="I8" t="s">
        <v>39</v>
      </c>
      <c r="J8" t="s">
        <v>24</v>
      </c>
      <c r="K8" s="11" t="str">
        <f t="shared" ca="1" si="0"/>
        <v>6 Years</v>
      </c>
      <c r="L8" s="3" cm="1">
        <f t="array" ref="L8">_xlfn.SWITCH(Table13_24[[#This Row],[Performance Score]],"A",6,"B",5,"C",4,"D",3,"E",2,"F",1)</f>
        <v>5</v>
      </c>
    </row>
    <row r="9" spans="1:12" x14ac:dyDescent="0.3">
      <c r="A9" t="s">
        <v>11</v>
      </c>
      <c r="B9">
        <v>40</v>
      </c>
      <c r="C9" s="1">
        <v>50000</v>
      </c>
      <c r="D9" t="s">
        <v>34</v>
      </c>
      <c r="E9" t="s">
        <v>13</v>
      </c>
      <c r="F9" t="s">
        <v>21</v>
      </c>
      <c r="G9" s="11">
        <v>43549</v>
      </c>
      <c r="H9" t="s">
        <v>27</v>
      </c>
      <c r="I9" t="s">
        <v>39</v>
      </c>
      <c r="J9" t="s">
        <v>17</v>
      </c>
      <c r="K9" s="11" t="str">
        <f t="shared" ca="1" si="0"/>
        <v>6 Years</v>
      </c>
      <c r="L9" s="3" cm="1">
        <f t="array" ref="L9">_xlfn.SWITCH(Table13_24[[#This Row],[Performance Score]],"A",6,"B",5,"C",4,"D",3,"E",2,"F",1)</f>
        <v>4</v>
      </c>
    </row>
    <row r="10" spans="1:12" x14ac:dyDescent="0.3">
      <c r="A10" t="s">
        <v>25</v>
      </c>
      <c r="B10">
        <v>40</v>
      </c>
      <c r="C10" s="1">
        <v>60000</v>
      </c>
      <c r="D10" t="s">
        <v>19</v>
      </c>
      <c r="E10" t="s">
        <v>35</v>
      </c>
      <c r="F10" t="s">
        <v>14</v>
      </c>
      <c r="G10" s="11">
        <v>43845</v>
      </c>
      <c r="H10" t="s">
        <v>27</v>
      </c>
      <c r="I10" t="s">
        <v>23</v>
      </c>
      <c r="J10" t="s">
        <v>24</v>
      </c>
      <c r="K10" s="11" t="str">
        <f t="shared" ca="1" si="0"/>
        <v>5 Years</v>
      </c>
      <c r="L10" s="3" cm="1">
        <f t="array" ref="L10">_xlfn.SWITCH(Table13_24[[#This Row],[Performance Score]],"A",6,"B",5,"C",4,"D",3,"E",2,"F",1)</f>
        <v>4</v>
      </c>
    </row>
    <row r="11" spans="1:12" x14ac:dyDescent="0.3">
      <c r="A11" t="s">
        <v>29</v>
      </c>
      <c r="B11">
        <v>30</v>
      </c>
      <c r="C11" s="1">
        <v>48417.431192660551</v>
      </c>
      <c r="D11" t="s">
        <v>34</v>
      </c>
      <c r="E11" t="s">
        <v>20</v>
      </c>
      <c r="F11" t="s">
        <v>40</v>
      </c>
      <c r="G11" s="11">
        <v>43881</v>
      </c>
      <c r="H11" t="s">
        <v>31</v>
      </c>
      <c r="I11" t="s">
        <v>39</v>
      </c>
      <c r="J11" t="s">
        <v>17</v>
      </c>
      <c r="K11" s="11" t="str">
        <f t="shared" ca="1" si="0"/>
        <v>5 Years</v>
      </c>
      <c r="L11" s="3" cm="1">
        <f t="array" ref="L11">_xlfn.SWITCH(Table13_24[[#This Row],[Performance Score]],"A",6,"B",5,"C",4,"D",3,"E",2,"F",1)</f>
        <v>6</v>
      </c>
    </row>
    <row r="12" spans="1:12" x14ac:dyDescent="0.3">
      <c r="A12" t="s">
        <v>18</v>
      </c>
      <c r="B12">
        <v>25</v>
      </c>
      <c r="C12" s="1">
        <v>70000</v>
      </c>
      <c r="D12" t="s">
        <v>12</v>
      </c>
      <c r="E12" t="s">
        <v>35</v>
      </c>
      <c r="F12" t="s">
        <v>41</v>
      </c>
      <c r="G12" s="11">
        <v>43477</v>
      </c>
      <c r="H12" t="s">
        <v>38</v>
      </c>
      <c r="I12" t="s">
        <v>39</v>
      </c>
      <c r="J12" t="s">
        <v>24</v>
      </c>
      <c r="K12" s="11" t="str">
        <f t="shared" ca="1" si="0"/>
        <v>6 Years</v>
      </c>
      <c r="L12" s="3" cm="1">
        <f t="array" ref="L12">_xlfn.SWITCH(Table13_24[[#This Row],[Performance Score]],"A",6,"B",5,"C",4,"D",3,"E",2,"F",1)</f>
        <v>5</v>
      </c>
    </row>
    <row r="13" spans="1:12" x14ac:dyDescent="0.3">
      <c r="A13" t="s">
        <v>25</v>
      </c>
      <c r="B13">
        <v>36</v>
      </c>
      <c r="C13" s="1">
        <v>70000</v>
      </c>
      <c r="D13" t="s">
        <v>34</v>
      </c>
      <c r="E13" t="s">
        <v>20</v>
      </c>
      <c r="F13" t="s">
        <v>40</v>
      </c>
      <c r="G13" s="11">
        <v>43549</v>
      </c>
      <c r="H13" t="s">
        <v>31</v>
      </c>
      <c r="I13" t="s">
        <v>39</v>
      </c>
      <c r="J13" t="s">
        <v>17</v>
      </c>
      <c r="K13" s="11" t="str">
        <f t="shared" ca="1" si="0"/>
        <v>6 Years</v>
      </c>
      <c r="L13" s="3" cm="1">
        <f t="array" ref="L13">_xlfn.SWITCH(Table13_24[[#This Row],[Performance Score]],"A",6,"B",5,"C",4,"D",3,"E",2,"F",1)</f>
        <v>6</v>
      </c>
    </row>
    <row r="14" spans="1:12" x14ac:dyDescent="0.3">
      <c r="A14" t="s">
        <v>25</v>
      </c>
      <c r="B14">
        <v>30</v>
      </c>
      <c r="C14" s="1">
        <v>50000</v>
      </c>
      <c r="D14" t="s">
        <v>12</v>
      </c>
      <c r="E14" t="s">
        <v>30</v>
      </c>
      <c r="F14" t="s">
        <v>40</v>
      </c>
      <c r="G14" s="11">
        <v>43195</v>
      </c>
      <c r="H14" t="s">
        <v>15</v>
      </c>
      <c r="I14" t="s">
        <v>39</v>
      </c>
      <c r="J14" t="s">
        <v>17</v>
      </c>
      <c r="K14" s="11" t="str">
        <f t="shared" ca="1" si="0"/>
        <v>7 Years</v>
      </c>
      <c r="L14" s="3" cm="1">
        <f t="array" ref="L14">_xlfn.SWITCH(Table13_24[[#This Row],[Performance Score]],"A",6,"B",5,"C",4,"D",3,"E",2,"F",1)</f>
        <v>3</v>
      </c>
    </row>
    <row r="15" spans="1:12" x14ac:dyDescent="0.3">
      <c r="A15" t="s">
        <v>36</v>
      </c>
      <c r="B15">
        <v>25</v>
      </c>
      <c r="C15" s="1">
        <v>55000</v>
      </c>
      <c r="D15" t="s">
        <v>34</v>
      </c>
      <c r="E15" t="s">
        <v>13</v>
      </c>
      <c r="F15" t="s">
        <v>14</v>
      </c>
      <c r="G15" s="11">
        <v>43881</v>
      </c>
      <c r="H15" t="s">
        <v>22</v>
      </c>
      <c r="I15" t="s">
        <v>39</v>
      </c>
      <c r="J15" t="s">
        <v>42</v>
      </c>
      <c r="K15" s="11" t="str">
        <f t="shared" ca="1" si="0"/>
        <v>5 Years</v>
      </c>
      <c r="L15" s="3" cm="1">
        <f t="array" ref="L15">_xlfn.SWITCH(Table13_24[[#This Row],[Performance Score]],"A",6,"B",5,"C",4,"D",3,"E",2,"F",1)</f>
        <v>1</v>
      </c>
    </row>
    <row r="16" spans="1:12" x14ac:dyDescent="0.3">
      <c r="A16" t="s">
        <v>43</v>
      </c>
      <c r="B16">
        <v>50</v>
      </c>
      <c r="C16" s="1">
        <v>49144.385026737968</v>
      </c>
      <c r="D16" t="s">
        <v>12</v>
      </c>
      <c r="E16" t="s">
        <v>35</v>
      </c>
      <c r="F16" t="s">
        <v>21</v>
      </c>
      <c r="G16" s="11">
        <v>43549</v>
      </c>
      <c r="H16" t="s">
        <v>31</v>
      </c>
      <c r="I16" t="s">
        <v>39</v>
      </c>
      <c r="J16" t="s">
        <v>24</v>
      </c>
      <c r="K16" s="11" t="str">
        <f t="shared" ca="1" si="0"/>
        <v>6 Years</v>
      </c>
      <c r="L16" s="3" cm="1">
        <f t="array" ref="L16">_xlfn.SWITCH(Table13_24[[#This Row],[Performance Score]],"A",6,"B",5,"C",4,"D",3,"E",2,"F",1)</f>
        <v>6</v>
      </c>
    </row>
    <row r="17" spans="1:12" x14ac:dyDescent="0.3">
      <c r="A17" t="s">
        <v>29</v>
      </c>
      <c r="B17">
        <v>35</v>
      </c>
      <c r="C17" s="1">
        <v>65000</v>
      </c>
      <c r="D17" t="s">
        <v>12</v>
      </c>
      <c r="E17" t="s">
        <v>20</v>
      </c>
      <c r="F17" t="s">
        <v>37</v>
      </c>
      <c r="G17" s="11">
        <v>43195</v>
      </c>
      <c r="H17" t="s">
        <v>22</v>
      </c>
      <c r="I17" t="s">
        <v>39</v>
      </c>
      <c r="J17" t="s">
        <v>24</v>
      </c>
      <c r="K17" s="11" t="str">
        <f t="shared" ca="1" si="0"/>
        <v>7 Years</v>
      </c>
      <c r="L17" s="3" cm="1">
        <f t="array" ref="L17">_xlfn.SWITCH(Table13_24[[#This Row],[Performance Score]],"A",6,"B",5,"C",4,"D",3,"E",2,"F",1)</f>
        <v>1</v>
      </c>
    </row>
    <row r="18" spans="1:12" x14ac:dyDescent="0.3">
      <c r="A18" t="s">
        <v>44</v>
      </c>
      <c r="B18">
        <v>40</v>
      </c>
      <c r="C18" s="1">
        <v>55000</v>
      </c>
      <c r="D18" t="s">
        <v>19</v>
      </c>
      <c r="E18" t="s">
        <v>26</v>
      </c>
      <c r="F18" t="s">
        <v>40</v>
      </c>
      <c r="G18" s="11">
        <v>43845</v>
      </c>
      <c r="H18" t="s">
        <v>38</v>
      </c>
      <c r="I18" t="s">
        <v>39</v>
      </c>
      <c r="J18" t="s">
        <v>28</v>
      </c>
      <c r="K18" s="11" t="str">
        <f t="shared" ca="1" si="0"/>
        <v>5 Years</v>
      </c>
      <c r="L18" s="3" cm="1">
        <f t="array" ref="L18">_xlfn.SWITCH(Table13_24[[#This Row],[Performance Score]],"A",6,"B",5,"C",4,"D",3,"E",2,"F",1)</f>
        <v>5</v>
      </c>
    </row>
    <row r="19" spans="1:12" x14ac:dyDescent="0.3">
      <c r="A19" t="s">
        <v>25</v>
      </c>
      <c r="B19">
        <v>50</v>
      </c>
      <c r="C19" s="1">
        <v>55000</v>
      </c>
      <c r="D19" t="s">
        <v>12</v>
      </c>
      <c r="E19" t="s">
        <v>13</v>
      </c>
      <c r="F19" t="s">
        <v>21</v>
      </c>
      <c r="G19" s="11">
        <v>43195</v>
      </c>
      <c r="H19" t="s">
        <v>15</v>
      </c>
      <c r="I19" t="s">
        <v>23</v>
      </c>
      <c r="J19" t="s">
        <v>17</v>
      </c>
      <c r="K19" s="11" t="str">
        <f t="shared" ca="1" si="0"/>
        <v>7 Years</v>
      </c>
      <c r="L19" s="3" cm="1">
        <f t="array" ref="L19">_xlfn.SWITCH(Table13_24[[#This Row],[Performance Score]],"A",6,"B",5,"C",4,"D",3,"E",2,"F",1)</f>
        <v>3</v>
      </c>
    </row>
    <row r="20" spans="1:12" x14ac:dyDescent="0.3">
      <c r="A20" t="s">
        <v>43</v>
      </c>
      <c r="B20">
        <v>25</v>
      </c>
      <c r="C20" s="1">
        <v>50777.202072538857</v>
      </c>
      <c r="D20" t="s">
        <v>19</v>
      </c>
      <c r="E20" t="s">
        <v>30</v>
      </c>
      <c r="F20" t="s">
        <v>37</v>
      </c>
      <c r="G20" s="11">
        <v>43549</v>
      </c>
      <c r="H20" t="s">
        <v>38</v>
      </c>
      <c r="I20" t="s">
        <v>16</v>
      </c>
      <c r="J20" t="s">
        <v>42</v>
      </c>
      <c r="K20" s="11" t="str">
        <f t="shared" ca="1" si="0"/>
        <v>6 Years</v>
      </c>
      <c r="L20" s="3" cm="1">
        <f t="array" ref="L20">_xlfn.SWITCH(Table13_24[[#This Row],[Performance Score]],"A",6,"B",5,"C",4,"D",3,"E",2,"F",1)</f>
        <v>5</v>
      </c>
    </row>
    <row r="21" spans="1:12" x14ac:dyDescent="0.3">
      <c r="A21" t="s">
        <v>44</v>
      </c>
      <c r="B21">
        <v>50</v>
      </c>
      <c r="C21" s="1">
        <v>50000</v>
      </c>
      <c r="D21" t="s">
        <v>19</v>
      </c>
      <c r="E21" t="s">
        <v>20</v>
      </c>
      <c r="F21" t="s">
        <v>40</v>
      </c>
      <c r="G21" s="11">
        <v>43549</v>
      </c>
      <c r="H21" t="s">
        <v>15</v>
      </c>
      <c r="I21" t="s">
        <v>23</v>
      </c>
      <c r="J21" t="s">
        <v>17</v>
      </c>
      <c r="K21" s="11" t="str">
        <f t="shared" ca="1" si="0"/>
        <v>6 Years</v>
      </c>
      <c r="L21" s="3" cm="1">
        <f t="array" ref="L21">_xlfn.SWITCH(Table13_24[[#This Row],[Performance Score]],"A",6,"B",5,"C",4,"D",3,"E",2,"F",1)</f>
        <v>3</v>
      </c>
    </row>
    <row r="22" spans="1:12" x14ac:dyDescent="0.3">
      <c r="A22" t="s">
        <v>29</v>
      </c>
      <c r="B22">
        <v>35</v>
      </c>
      <c r="C22" s="1">
        <v>50000</v>
      </c>
      <c r="D22" t="s">
        <v>19</v>
      </c>
      <c r="E22" t="s">
        <v>30</v>
      </c>
      <c r="F22" t="s">
        <v>37</v>
      </c>
      <c r="G22" s="11">
        <v>43845</v>
      </c>
      <c r="H22" t="s">
        <v>15</v>
      </c>
      <c r="I22" t="s">
        <v>16</v>
      </c>
      <c r="J22" t="s">
        <v>28</v>
      </c>
      <c r="K22" s="11" t="str">
        <f t="shared" ca="1" si="0"/>
        <v>5 Years</v>
      </c>
      <c r="L22" s="3" cm="1">
        <f t="array" ref="L22">_xlfn.SWITCH(Table13_24[[#This Row],[Performance Score]],"A",6,"B",5,"C",4,"D",3,"E",2,"F",1)</f>
        <v>3</v>
      </c>
    </row>
    <row r="23" spans="1:12" x14ac:dyDescent="0.3">
      <c r="A23" t="s">
        <v>45</v>
      </c>
      <c r="B23">
        <v>25</v>
      </c>
      <c r="C23" s="1">
        <v>50000</v>
      </c>
      <c r="D23" t="s">
        <v>34</v>
      </c>
      <c r="E23" t="s">
        <v>30</v>
      </c>
      <c r="F23" t="s">
        <v>21</v>
      </c>
      <c r="G23" s="11">
        <v>43195</v>
      </c>
      <c r="H23" t="s">
        <v>22</v>
      </c>
      <c r="I23" t="s">
        <v>23</v>
      </c>
      <c r="J23" t="s">
        <v>42</v>
      </c>
      <c r="K23" s="11" t="str">
        <f t="shared" ca="1" si="0"/>
        <v>7 Years</v>
      </c>
      <c r="L23" s="3" cm="1">
        <f t="array" ref="L23">_xlfn.SWITCH(Table13_24[[#This Row],[Performance Score]],"A",6,"B",5,"C",4,"D",3,"E",2,"F",1)</f>
        <v>1</v>
      </c>
    </row>
    <row r="24" spans="1:12" x14ac:dyDescent="0.3">
      <c r="A24" t="s">
        <v>33</v>
      </c>
      <c r="B24">
        <v>50</v>
      </c>
      <c r="C24" s="1">
        <v>50000</v>
      </c>
      <c r="D24" t="s">
        <v>34</v>
      </c>
      <c r="E24" t="s">
        <v>35</v>
      </c>
      <c r="F24" t="s">
        <v>41</v>
      </c>
      <c r="G24" s="11">
        <v>43195</v>
      </c>
      <c r="H24" t="s">
        <v>38</v>
      </c>
      <c r="I24" t="s">
        <v>16</v>
      </c>
      <c r="J24" t="s">
        <v>17</v>
      </c>
      <c r="K24" s="11" t="str">
        <f t="shared" ca="1" si="0"/>
        <v>7 Years</v>
      </c>
      <c r="L24" s="3" cm="1">
        <f t="array" ref="L24">_xlfn.SWITCH(Table13_24[[#This Row],[Performance Score]],"A",6,"B",5,"C",4,"D",3,"E",2,"F",1)</f>
        <v>5</v>
      </c>
    </row>
    <row r="25" spans="1:12" x14ac:dyDescent="0.3">
      <c r="A25" t="s">
        <v>43</v>
      </c>
      <c r="B25">
        <v>40</v>
      </c>
      <c r="C25" s="1">
        <v>70000</v>
      </c>
      <c r="D25" t="s">
        <v>34</v>
      </c>
      <c r="E25" t="s">
        <v>35</v>
      </c>
      <c r="F25" t="s">
        <v>21</v>
      </c>
      <c r="G25" s="11">
        <v>43845</v>
      </c>
      <c r="H25" t="s">
        <v>38</v>
      </c>
      <c r="I25" t="s">
        <v>16</v>
      </c>
      <c r="J25" t="s">
        <v>42</v>
      </c>
      <c r="K25" s="11" t="str">
        <f t="shared" ca="1" si="0"/>
        <v>5 Years</v>
      </c>
      <c r="L25" s="3" cm="1">
        <f t="array" ref="L25">_xlfn.SWITCH(Table13_24[[#This Row],[Performance Score]],"A",6,"B",5,"C",4,"D",3,"E",2,"F",1)</f>
        <v>5</v>
      </c>
    </row>
    <row r="26" spans="1:12" x14ac:dyDescent="0.3">
      <c r="A26" t="s">
        <v>46</v>
      </c>
      <c r="B26">
        <v>40</v>
      </c>
      <c r="C26" s="1">
        <v>50000</v>
      </c>
      <c r="D26" t="s">
        <v>34</v>
      </c>
      <c r="E26" t="s">
        <v>20</v>
      </c>
      <c r="F26" t="s">
        <v>14</v>
      </c>
      <c r="G26" s="11">
        <v>43195</v>
      </c>
      <c r="H26" t="s">
        <v>31</v>
      </c>
      <c r="I26" t="s">
        <v>32</v>
      </c>
      <c r="J26" t="s">
        <v>24</v>
      </c>
      <c r="K26" s="11" t="str">
        <f t="shared" ca="1" si="0"/>
        <v>7 Years</v>
      </c>
      <c r="L26" s="3" cm="1">
        <f t="array" ref="L26">_xlfn.SWITCH(Table13_24[[#This Row],[Performance Score]],"A",6,"B",5,"C",4,"D",3,"E",2,"F",1)</f>
        <v>6</v>
      </c>
    </row>
    <row r="27" spans="1:12" x14ac:dyDescent="0.3">
      <c r="A27" t="s">
        <v>45</v>
      </c>
      <c r="B27">
        <v>30</v>
      </c>
      <c r="C27" s="1">
        <v>70000</v>
      </c>
      <c r="D27" t="s">
        <v>12</v>
      </c>
      <c r="E27" t="s">
        <v>26</v>
      </c>
      <c r="F27" t="s">
        <v>37</v>
      </c>
      <c r="G27" s="11">
        <v>43845</v>
      </c>
      <c r="H27" t="s">
        <v>38</v>
      </c>
      <c r="I27" t="s">
        <v>16</v>
      </c>
      <c r="J27" t="s">
        <v>24</v>
      </c>
      <c r="K27" s="11" t="str">
        <f t="shared" ca="1" si="0"/>
        <v>5 Years</v>
      </c>
      <c r="L27" s="3" cm="1">
        <f t="array" ref="L27">_xlfn.SWITCH(Table13_24[[#This Row],[Performance Score]],"A",6,"B",5,"C",4,"D",3,"E",2,"F",1)</f>
        <v>5</v>
      </c>
    </row>
    <row r="28" spans="1:12" x14ac:dyDescent="0.3">
      <c r="A28" t="s">
        <v>33</v>
      </c>
      <c r="B28">
        <v>50</v>
      </c>
      <c r="C28" s="1">
        <v>70000</v>
      </c>
      <c r="D28" t="s">
        <v>12</v>
      </c>
      <c r="E28" t="s">
        <v>20</v>
      </c>
      <c r="F28" t="s">
        <v>41</v>
      </c>
      <c r="G28" s="11">
        <v>43881</v>
      </c>
      <c r="H28" t="s">
        <v>31</v>
      </c>
      <c r="I28" t="s">
        <v>16</v>
      </c>
      <c r="J28" t="s">
        <v>28</v>
      </c>
      <c r="K28" s="11" t="str">
        <f t="shared" ca="1" si="0"/>
        <v>5 Years</v>
      </c>
      <c r="L28" s="3" cm="1">
        <f t="array" ref="L28">_xlfn.SWITCH(Table13_24[[#This Row],[Performance Score]],"A",6,"B",5,"C",4,"D",3,"E",2,"F",1)</f>
        <v>6</v>
      </c>
    </row>
    <row r="29" spans="1:12" x14ac:dyDescent="0.3">
      <c r="A29" t="s">
        <v>36</v>
      </c>
      <c r="B29">
        <v>36</v>
      </c>
      <c r="C29" s="1">
        <v>50000</v>
      </c>
      <c r="D29" t="s">
        <v>34</v>
      </c>
      <c r="E29" t="s">
        <v>26</v>
      </c>
      <c r="F29" t="s">
        <v>37</v>
      </c>
      <c r="G29" s="11">
        <v>43549</v>
      </c>
      <c r="H29" t="s">
        <v>27</v>
      </c>
      <c r="I29" t="s">
        <v>32</v>
      </c>
      <c r="J29" t="s">
        <v>17</v>
      </c>
      <c r="K29" s="11" t="str">
        <f t="shared" ca="1" si="0"/>
        <v>6 Years</v>
      </c>
      <c r="L29" s="3" cm="1">
        <f t="array" ref="L29">_xlfn.SWITCH(Table13_24[[#This Row],[Performance Score]],"A",6,"B",5,"C",4,"D",3,"E",2,"F",1)</f>
        <v>4</v>
      </c>
    </row>
    <row r="30" spans="1:12" x14ac:dyDescent="0.3">
      <c r="A30" t="s">
        <v>11</v>
      </c>
      <c r="B30">
        <v>50</v>
      </c>
      <c r="C30" s="1">
        <v>60000</v>
      </c>
      <c r="D30" t="s">
        <v>12</v>
      </c>
      <c r="E30" t="s">
        <v>30</v>
      </c>
      <c r="F30" t="s">
        <v>37</v>
      </c>
      <c r="G30" s="11">
        <v>43881</v>
      </c>
      <c r="H30" t="s">
        <v>27</v>
      </c>
      <c r="I30" t="s">
        <v>39</v>
      </c>
      <c r="J30" t="s">
        <v>17</v>
      </c>
      <c r="K30" s="11" t="str">
        <f t="shared" ca="1" si="0"/>
        <v>5 Years</v>
      </c>
      <c r="L30" s="3" cm="1">
        <f t="array" ref="L30">_xlfn.SWITCH(Table13_24[[#This Row],[Performance Score]],"A",6,"B",5,"C",4,"D",3,"E",2,"F",1)</f>
        <v>4</v>
      </c>
    </row>
    <row r="31" spans="1:12" x14ac:dyDescent="0.3">
      <c r="A31" t="s">
        <v>18</v>
      </c>
      <c r="B31">
        <v>25</v>
      </c>
      <c r="C31" s="1">
        <v>65000</v>
      </c>
      <c r="D31" t="s">
        <v>12</v>
      </c>
      <c r="E31" t="s">
        <v>13</v>
      </c>
      <c r="F31" t="s">
        <v>40</v>
      </c>
      <c r="G31" s="11">
        <v>43477</v>
      </c>
      <c r="H31" t="s">
        <v>27</v>
      </c>
      <c r="I31" t="s">
        <v>39</v>
      </c>
      <c r="J31" t="s">
        <v>42</v>
      </c>
      <c r="K31" s="11" t="str">
        <f t="shared" ca="1" si="0"/>
        <v>6 Years</v>
      </c>
      <c r="L31" s="3" cm="1">
        <f t="array" ref="L31">_xlfn.SWITCH(Table13_24[[#This Row],[Performance Score]],"A",6,"B",5,"C",4,"D",3,"E",2,"F",1)</f>
        <v>4</v>
      </c>
    </row>
    <row r="32" spans="1:12" x14ac:dyDescent="0.3">
      <c r="A32" t="s">
        <v>46</v>
      </c>
      <c r="B32">
        <v>25</v>
      </c>
      <c r="C32" s="1">
        <v>55000</v>
      </c>
      <c r="D32" t="s">
        <v>19</v>
      </c>
      <c r="E32" t="s">
        <v>20</v>
      </c>
      <c r="F32" t="s">
        <v>14</v>
      </c>
      <c r="G32" s="11">
        <v>43477</v>
      </c>
      <c r="H32" t="s">
        <v>38</v>
      </c>
      <c r="I32" t="s">
        <v>32</v>
      </c>
      <c r="J32" t="s">
        <v>28</v>
      </c>
      <c r="K32" s="11" t="str">
        <f t="shared" ca="1" si="0"/>
        <v>6 Years</v>
      </c>
      <c r="L32" s="3" cm="1">
        <f t="array" ref="L32">_xlfn.SWITCH(Table13_24[[#This Row],[Performance Score]],"A",6,"B",5,"C",4,"D",3,"E",2,"F",1)</f>
        <v>5</v>
      </c>
    </row>
    <row r="33" spans="1:12" x14ac:dyDescent="0.3">
      <c r="A33" t="s">
        <v>36</v>
      </c>
      <c r="B33">
        <v>50</v>
      </c>
      <c r="C33" s="1">
        <v>70000</v>
      </c>
      <c r="D33" t="s">
        <v>19</v>
      </c>
      <c r="E33" t="s">
        <v>20</v>
      </c>
      <c r="F33" t="s">
        <v>37</v>
      </c>
      <c r="G33" s="11">
        <v>43477</v>
      </c>
      <c r="H33" t="s">
        <v>38</v>
      </c>
      <c r="I33" t="s">
        <v>39</v>
      </c>
      <c r="J33" t="s">
        <v>17</v>
      </c>
      <c r="K33" s="11" t="str">
        <f t="shared" ca="1" si="0"/>
        <v>6 Years</v>
      </c>
      <c r="L33" s="3" cm="1">
        <f t="array" ref="L33">_xlfn.SWITCH(Table13_24[[#This Row],[Performance Score]],"A",6,"B",5,"C",4,"D",3,"E",2,"F",1)</f>
        <v>5</v>
      </c>
    </row>
    <row r="34" spans="1:12" x14ac:dyDescent="0.3">
      <c r="A34" t="s">
        <v>29</v>
      </c>
      <c r="B34">
        <v>35</v>
      </c>
      <c r="C34" s="1">
        <v>50742.574257425746</v>
      </c>
      <c r="D34" t="s">
        <v>19</v>
      </c>
      <c r="E34" t="s">
        <v>26</v>
      </c>
      <c r="F34" t="s">
        <v>21</v>
      </c>
      <c r="G34" s="11">
        <v>43845</v>
      </c>
      <c r="H34" t="s">
        <v>31</v>
      </c>
      <c r="I34" t="s">
        <v>16</v>
      </c>
      <c r="J34" t="s">
        <v>24</v>
      </c>
      <c r="K34" s="11" t="str">
        <f t="shared" ca="1" si="0"/>
        <v>5 Years</v>
      </c>
      <c r="L34" s="3" cm="1">
        <f t="array" ref="L34">_xlfn.SWITCH(Table13_24[[#This Row],[Performance Score]],"A",6,"B",5,"C",4,"D",3,"E",2,"F",1)</f>
        <v>6</v>
      </c>
    </row>
    <row r="35" spans="1:12" x14ac:dyDescent="0.3">
      <c r="A35" t="s">
        <v>36</v>
      </c>
      <c r="B35">
        <v>40</v>
      </c>
      <c r="C35" s="1">
        <v>50777.202072538857</v>
      </c>
      <c r="D35" t="s">
        <v>19</v>
      </c>
      <c r="E35" t="s">
        <v>30</v>
      </c>
      <c r="F35" t="s">
        <v>21</v>
      </c>
      <c r="G35" s="11">
        <v>43195</v>
      </c>
      <c r="H35" t="s">
        <v>15</v>
      </c>
      <c r="I35" t="s">
        <v>16</v>
      </c>
      <c r="J35" t="s">
        <v>42</v>
      </c>
      <c r="K35" s="11" t="str">
        <f t="shared" ca="1" si="0"/>
        <v>7 Years</v>
      </c>
      <c r="L35" s="3" cm="1">
        <f t="array" ref="L35">_xlfn.SWITCH(Table13_24[[#This Row],[Performance Score]],"A",6,"B",5,"C",4,"D",3,"E",2,"F",1)</f>
        <v>3</v>
      </c>
    </row>
    <row r="36" spans="1:12" x14ac:dyDescent="0.3">
      <c r="A36" t="s">
        <v>11</v>
      </c>
      <c r="B36">
        <v>25</v>
      </c>
      <c r="C36" s="1">
        <v>65000</v>
      </c>
      <c r="D36" t="s">
        <v>12</v>
      </c>
      <c r="E36" t="s">
        <v>30</v>
      </c>
      <c r="F36" t="s">
        <v>40</v>
      </c>
      <c r="G36" s="11">
        <v>43881</v>
      </c>
      <c r="H36" t="s">
        <v>31</v>
      </c>
      <c r="I36" t="s">
        <v>32</v>
      </c>
      <c r="J36" t="s">
        <v>17</v>
      </c>
      <c r="K36" s="11" t="str">
        <f t="shared" ca="1" si="0"/>
        <v>5 Years</v>
      </c>
      <c r="L36" s="3" cm="1">
        <f t="array" ref="L36">_xlfn.SWITCH(Table13_24[[#This Row],[Performance Score]],"A",6,"B",5,"C",4,"D",3,"E",2,"F",1)</f>
        <v>6</v>
      </c>
    </row>
    <row r="37" spans="1:12" x14ac:dyDescent="0.3">
      <c r="A37" t="s">
        <v>29</v>
      </c>
      <c r="B37">
        <v>40</v>
      </c>
      <c r="C37" s="1">
        <v>50742.574257425746</v>
      </c>
      <c r="D37" t="s">
        <v>34</v>
      </c>
      <c r="E37" t="s">
        <v>26</v>
      </c>
      <c r="F37" t="s">
        <v>14</v>
      </c>
      <c r="G37" s="11">
        <v>43881</v>
      </c>
      <c r="H37" t="s">
        <v>27</v>
      </c>
      <c r="I37" t="s">
        <v>32</v>
      </c>
      <c r="J37" t="s">
        <v>24</v>
      </c>
      <c r="K37" s="11" t="str">
        <f t="shared" ca="1" si="0"/>
        <v>5 Years</v>
      </c>
      <c r="L37" s="3" cm="1">
        <f t="array" ref="L37">_xlfn.SWITCH(Table13_24[[#This Row],[Performance Score]],"A",6,"B",5,"C",4,"D",3,"E",2,"F",1)</f>
        <v>4</v>
      </c>
    </row>
    <row r="38" spans="1:12" x14ac:dyDescent="0.3">
      <c r="A38" t="s">
        <v>46</v>
      </c>
      <c r="B38">
        <v>25</v>
      </c>
      <c r="C38" s="1">
        <v>60000</v>
      </c>
      <c r="D38" t="s">
        <v>12</v>
      </c>
      <c r="E38" t="s">
        <v>30</v>
      </c>
      <c r="F38" t="s">
        <v>14</v>
      </c>
      <c r="G38" s="11">
        <v>43881</v>
      </c>
      <c r="H38" t="s">
        <v>31</v>
      </c>
      <c r="I38" t="s">
        <v>39</v>
      </c>
      <c r="J38" t="s">
        <v>28</v>
      </c>
      <c r="K38" s="11" t="str">
        <f t="shared" ca="1" si="0"/>
        <v>5 Years</v>
      </c>
      <c r="L38" s="3" cm="1">
        <f t="array" ref="L38">_xlfn.SWITCH(Table13_24[[#This Row],[Performance Score]],"A",6,"B",5,"C",4,"D",3,"E",2,"F",1)</f>
        <v>6</v>
      </c>
    </row>
    <row r="39" spans="1:12" x14ac:dyDescent="0.3">
      <c r="A39" t="s">
        <v>11</v>
      </c>
      <c r="B39">
        <v>30</v>
      </c>
      <c r="C39" s="1">
        <v>49144.385026737968</v>
      </c>
      <c r="D39" t="s">
        <v>12</v>
      </c>
      <c r="E39" t="s">
        <v>35</v>
      </c>
      <c r="F39" t="s">
        <v>21</v>
      </c>
      <c r="G39" s="11">
        <v>43881</v>
      </c>
      <c r="H39" t="s">
        <v>15</v>
      </c>
      <c r="I39" t="s">
        <v>39</v>
      </c>
      <c r="J39" t="s">
        <v>17</v>
      </c>
      <c r="K39" s="11" t="str">
        <f t="shared" ca="1" si="0"/>
        <v>5 Years</v>
      </c>
      <c r="L39" s="3" cm="1">
        <f t="array" ref="L39">_xlfn.SWITCH(Table13_24[[#This Row],[Performance Score]],"A",6,"B",5,"C",4,"D",3,"E",2,"F",1)</f>
        <v>3</v>
      </c>
    </row>
    <row r="40" spans="1:12" x14ac:dyDescent="0.3">
      <c r="A40" t="s">
        <v>44</v>
      </c>
      <c r="B40">
        <v>36</v>
      </c>
      <c r="C40" s="1">
        <v>55000</v>
      </c>
      <c r="D40" t="s">
        <v>12</v>
      </c>
      <c r="E40" t="s">
        <v>13</v>
      </c>
      <c r="F40" t="s">
        <v>41</v>
      </c>
      <c r="G40" s="11">
        <v>43477</v>
      </c>
      <c r="H40" t="s">
        <v>38</v>
      </c>
      <c r="I40" t="s">
        <v>23</v>
      </c>
      <c r="J40" t="s">
        <v>24</v>
      </c>
      <c r="K40" s="11" t="str">
        <f t="shared" ca="1" si="0"/>
        <v>6 Years</v>
      </c>
      <c r="L40" s="3" cm="1">
        <f t="array" ref="L40">_xlfn.SWITCH(Table13_24[[#This Row],[Performance Score]],"A",6,"B",5,"C",4,"D",3,"E",2,"F",1)</f>
        <v>5</v>
      </c>
    </row>
    <row r="41" spans="1:12" x14ac:dyDescent="0.3">
      <c r="A41" t="s">
        <v>18</v>
      </c>
      <c r="B41">
        <v>25</v>
      </c>
      <c r="C41" s="1">
        <v>55000</v>
      </c>
      <c r="D41" t="s">
        <v>19</v>
      </c>
      <c r="E41" t="s">
        <v>20</v>
      </c>
      <c r="F41" t="s">
        <v>40</v>
      </c>
      <c r="G41" s="11">
        <v>43881</v>
      </c>
      <c r="H41" t="s">
        <v>31</v>
      </c>
      <c r="I41" t="s">
        <v>39</v>
      </c>
      <c r="J41" t="s">
        <v>17</v>
      </c>
      <c r="K41" s="11" t="str">
        <f t="shared" ca="1" si="0"/>
        <v>5 Years</v>
      </c>
      <c r="L41" s="3" cm="1">
        <f t="array" ref="L41">_xlfn.SWITCH(Table13_24[[#This Row],[Performance Score]],"A",6,"B",5,"C",4,"D",3,"E",2,"F",1)</f>
        <v>6</v>
      </c>
    </row>
    <row r="42" spans="1:12" x14ac:dyDescent="0.3">
      <c r="A42" t="s">
        <v>46</v>
      </c>
      <c r="B42">
        <v>40</v>
      </c>
      <c r="C42" s="1">
        <v>70000</v>
      </c>
      <c r="D42" t="s">
        <v>19</v>
      </c>
      <c r="E42" t="s">
        <v>13</v>
      </c>
      <c r="F42" t="s">
        <v>40</v>
      </c>
      <c r="G42" s="11">
        <v>43195</v>
      </c>
      <c r="H42" t="s">
        <v>27</v>
      </c>
      <c r="I42" t="s">
        <v>16</v>
      </c>
      <c r="J42" t="s">
        <v>17</v>
      </c>
      <c r="K42" s="11" t="str">
        <f t="shared" ca="1" si="0"/>
        <v>7 Years</v>
      </c>
      <c r="L42" s="3" cm="1">
        <f t="array" ref="L42">_xlfn.SWITCH(Table13_24[[#This Row],[Performance Score]],"A",6,"B",5,"C",4,"D",3,"E",2,"F",1)</f>
        <v>4</v>
      </c>
    </row>
    <row r="43" spans="1:12" x14ac:dyDescent="0.3">
      <c r="A43" t="s">
        <v>44</v>
      </c>
      <c r="B43">
        <v>30</v>
      </c>
      <c r="C43" s="1">
        <v>50000</v>
      </c>
      <c r="D43" t="s">
        <v>19</v>
      </c>
      <c r="E43" t="s">
        <v>20</v>
      </c>
      <c r="F43" t="s">
        <v>21</v>
      </c>
      <c r="G43" s="11">
        <v>43477</v>
      </c>
      <c r="H43" t="s">
        <v>27</v>
      </c>
      <c r="I43" t="s">
        <v>32</v>
      </c>
      <c r="J43" t="s">
        <v>28</v>
      </c>
      <c r="K43" s="11" t="str">
        <f t="shared" ca="1" si="0"/>
        <v>6 Years</v>
      </c>
      <c r="L43" s="3" cm="1">
        <f t="array" ref="L43">_xlfn.SWITCH(Table13_24[[#This Row],[Performance Score]],"A",6,"B",5,"C",4,"D",3,"E",2,"F",1)</f>
        <v>4</v>
      </c>
    </row>
    <row r="44" spans="1:12" x14ac:dyDescent="0.3">
      <c r="A44" t="s">
        <v>33</v>
      </c>
      <c r="B44">
        <v>25</v>
      </c>
      <c r="C44" s="1">
        <v>60000</v>
      </c>
      <c r="D44" t="s">
        <v>34</v>
      </c>
      <c r="E44" t="s">
        <v>35</v>
      </c>
      <c r="F44" t="s">
        <v>21</v>
      </c>
      <c r="G44" s="11">
        <v>43881</v>
      </c>
      <c r="H44" t="s">
        <v>38</v>
      </c>
      <c r="I44" t="s">
        <v>39</v>
      </c>
      <c r="J44" t="s">
        <v>24</v>
      </c>
      <c r="K44" s="11" t="str">
        <f t="shared" ca="1" si="0"/>
        <v>5 Years</v>
      </c>
      <c r="L44" s="3" cm="1">
        <f t="array" ref="L44">_xlfn.SWITCH(Table13_24[[#This Row],[Performance Score]],"A",6,"B",5,"C",4,"D",3,"E",2,"F",1)</f>
        <v>5</v>
      </c>
    </row>
    <row r="45" spans="1:12" x14ac:dyDescent="0.3">
      <c r="A45" t="s">
        <v>46</v>
      </c>
      <c r="B45">
        <v>35</v>
      </c>
      <c r="C45" s="1">
        <v>70000</v>
      </c>
      <c r="D45" t="s">
        <v>12</v>
      </c>
      <c r="E45" t="s">
        <v>30</v>
      </c>
      <c r="F45" t="s">
        <v>41</v>
      </c>
      <c r="G45" s="11">
        <v>43845</v>
      </c>
      <c r="H45" t="s">
        <v>31</v>
      </c>
      <c r="I45" t="s">
        <v>39</v>
      </c>
      <c r="J45" t="s">
        <v>42</v>
      </c>
      <c r="K45" s="11" t="str">
        <f t="shared" ca="1" si="0"/>
        <v>5 Years</v>
      </c>
      <c r="L45" s="3" cm="1">
        <f t="array" ref="L45">_xlfn.SWITCH(Table13_24[[#This Row],[Performance Score]],"A",6,"B",5,"C",4,"D",3,"E",2,"F",1)</f>
        <v>6</v>
      </c>
    </row>
    <row r="46" spans="1:12" x14ac:dyDescent="0.3">
      <c r="A46" t="s">
        <v>33</v>
      </c>
      <c r="B46">
        <v>36</v>
      </c>
      <c r="C46" s="1">
        <v>60000</v>
      </c>
      <c r="D46" t="s">
        <v>34</v>
      </c>
      <c r="E46" t="s">
        <v>26</v>
      </c>
      <c r="F46" t="s">
        <v>41</v>
      </c>
      <c r="G46" s="11">
        <v>43549</v>
      </c>
      <c r="H46" t="s">
        <v>15</v>
      </c>
      <c r="I46" t="s">
        <v>39</v>
      </c>
      <c r="J46" t="s">
        <v>24</v>
      </c>
      <c r="K46" s="11" t="str">
        <f t="shared" ca="1" si="0"/>
        <v>6 Years</v>
      </c>
      <c r="L46" s="3" cm="1">
        <f t="array" ref="L46">_xlfn.SWITCH(Table13_24[[#This Row],[Performance Score]],"A",6,"B",5,"C",4,"D",3,"E",2,"F",1)</f>
        <v>3</v>
      </c>
    </row>
    <row r="47" spans="1:12" x14ac:dyDescent="0.3">
      <c r="A47" t="s">
        <v>29</v>
      </c>
      <c r="B47">
        <v>25</v>
      </c>
      <c r="C47" s="1">
        <v>50000</v>
      </c>
      <c r="D47" t="s">
        <v>19</v>
      </c>
      <c r="E47" t="s">
        <v>35</v>
      </c>
      <c r="F47" t="s">
        <v>14</v>
      </c>
      <c r="G47" s="11">
        <v>43549</v>
      </c>
      <c r="H47" t="s">
        <v>38</v>
      </c>
      <c r="I47" t="s">
        <v>39</v>
      </c>
      <c r="J47" t="s">
        <v>17</v>
      </c>
      <c r="K47" s="11" t="str">
        <f t="shared" ca="1" si="0"/>
        <v>6 Years</v>
      </c>
      <c r="L47" s="3" cm="1">
        <f t="array" ref="L47">_xlfn.SWITCH(Table13_24[[#This Row],[Performance Score]],"A",6,"B",5,"C",4,"D",3,"E",2,"F",1)</f>
        <v>5</v>
      </c>
    </row>
    <row r="48" spans="1:12" x14ac:dyDescent="0.3">
      <c r="A48" t="s">
        <v>44</v>
      </c>
      <c r="B48">
        <v>30</v>
      </c>
      <c r="C48" s="1">
        <v>51825</v>
      </c>
      <c r="D48" t="s">
        <v>34</v>
      </c>
      <c r="E48" t="s">
        <v>13</v>
      </c>
      <c r="F48" t="s">
        <v>40</v>
      </c>
      <c r="G48" s="11">
        <v>43549</v>
      </c>
      <c r="H48" t="s">
        <v>31</v>
      </c>
      <c r="I48" t="s">
        <v>16</v>
      </c>
      <c r="J48" t="s">
        <v>28</v>
      </c>
      <c r="K48" s="11" t="str">
        <f t="shared" ca="1" si="0"/>
        <v>6 Years</v>
      </c>
      <c r="L48" s="3" cm="1">
        <f t="array" ref="L48">_xlfn.SWITCH(Table13_24[[#This Row],[Performance Score]],"A",6,"B",5,"C",4,"D",3,"E",2,"F",1)</f>
        <v>6</v>
      </c>
    </row>
    <row r="49" spans="1:12" x14ac:dyDescent="0.3">
      <c r="A49" t="s">
        <v>18</v>
      </c>
      <c r="B49">
        <v>35</v>
      </c>
      <c r="C49" s="1">
        <v>50742.574257425746</v>
      </c>
      <c r="D49" t="s">
        <v>12</v>
      </c>
      <c r="E49" t="s">
        <v>26</v>
      </c>
      <c r="F49" t="s">
        <v>40</v>
      </c>
      <c r="G49" s="11">
        <v>43477</v>
      </c>
      <c r="H49" t="s">
        <v>22</v>
      </c>
      <c r="I49" t="s">
        <v>23</v>
      </c>
      <c r="J49" t="s">
        <v>28</v>
      </c>
      <c r="K49" s="11" t="str">
        <f t="shared" ca="1" si="0"/>
        <v>6 Years</v>
      </c>
      <c r="L49" s="3" cm="1">
        <f t="array" ref="L49">_xlfn.SWITCH(Table13_24[[#This Row],[Performance Score]],"A",6,"B",5,"C",4,"D",3,"E",2,"F",1)</f>
        <v>1</v>
      </c>
    </row>
    <row r="50" spans="1:12" x14ac:dyDescent="0.3">
      <c r="A50" t="s">
        <v>11</v>
      </c>
      <c r="B50">
        <v>50</v>
      </c>
      <c r="C50" s="1">
        <v>50000</v>
      </c>
      <c r="D50" t="s">
        <v>12</v>
      </c>
      <c r="E50" t="s">
        <v>30</v>
      </c>
      <c r="F50" t="s">
        <v>21</v>
      </c>
      <c r="G50" s="11">
        <v>43881</v>
      </c>
      <c r="H50" t="s">
        <v>27</v>
      </c>
      <c r="I50" t="s">
        <v>39</v>
      </c>
      <c r="J50" t="s">
        <v>42</v>
      </c>
      <c r="K50" s="11" t="str">
        <f t="shared" ca="1" si="0"/>
        <v>5 Years</v>
      </c>
      <c r="L50" s="3" cm="1">
        <f t="array" ref="L50">_xlfn.SWITCH(Table13_24[[#This Row],[Performance Score]],"A",6,"B",5,"C",4,"D",3,"E",2,"F",1)</f>
        <v>4</v>
      </c>
    </row>
    <row r="51" spans="1:12" x14ac:dyDescent="0.3">
      <c r="A51" t="s">
        <v>25</v>
      </c>
      <c r="B51">
        <v>30</v>
      </c>
      <c r="C51" s="1">
        <v>70000</v>
      </c>
      <c r="D51" t="s">
        <v>19</v>
      </c>
      <c r="E51" t="s">
        <v>35</v>
      </c>
      <c r="F51" t="s">
        <v>14</v>
      </c>
      <c r="G51" s="11">
        <v>43477</v>
      </c>
      <c r="H51" t="s">
        <v>15</v>
      </c>
      <c r="I51" t="s">
        <v>39</v>
      </c>
      <c r="J51" t="s">
        <v>28</v>
      </c>
      <c r="K51" s="11" t="str">
        <f t="shared" ca="1" si="0"/>
        <v>6 Years</v>
      </c>
      <c r="L51" s="3" cm="1">
        <f t="array" ref="L51">_xlfn.SWITCH(Table13_24[[#This Row],[Performance Score]],"A",6,"B",5,"C",4,"D",3,"E",2,"F",1)</f>
        <v>3</v>
      </c>
    </row>
    <row r="52" spans="1:12" x14ac:dyDescent="0.3">
      <c r="A52" t="s">
        <v>36</v>
      </c>
      <c r="B52">
        <v>30</v>
      </c>
      <c r="C52" s="1">
        <v>50000</v>
      </c>
      <c r="D52" t="s">
        <v>19</v>
      </c>
      <c r="E52" t="s">
        <v>26</v>
      </c>
      <c r="F52" t="s">
        <v>40</v>
      </c>
      <c r="G52" s="11">
        <v>43195</v>
      </c>
      <c r="H52" t="s">
        <v>15</v>
      </c>
      <c r="I52" t="s">
        <v>23</v>
      </c>
      <c r="J52" t="s">
        <v>28</v>
      </c>
      <c r="K52" s="11" t="str">
        <f t="shared" ca="1" si="0"/>
        <v>7 Years</v>
      </c>
      <c r="L52" s="3" cm="1">
        <f t="array" ref="L52">_xlfn.SWITCH(Table13_24[[#This Row],[Performance Score]],"A",6,"B",5,"C",4,"D",3,"E",2,"F",1)</f>
        <v>3</v>
      </c>
    </row>
    <row r="53" spans="1:12" x14ac:dyDescent="0.3">
      <c r="A53" t="s">
        <v>45</v>
      </c>
      <c r="B53">
        <v>35</v>
      </c>
      <c r="C53" s="1">
        <v>65000</v>
      </c>
      <c r="D53" t="s">
        <v>34</v>
      </c>
      <c r="E53" t="s">
        <v>35</v>
      </c>
      <c r="F53" t="s">
        <v>14</v>
      </c>
      <c r="G53" s="11">
        <v>43845</v>
      </c>
      <c r="H53" t="s">
        <v>15</v>
      </c>
      <c r="I53" t="s">
        <v>39</v>
      </c>
      <c r="J53" t="s">
        <v>28</v>
      </c>
      <c r="K53" s="11" t="str">
        <f t="shared" ca="1" si="0"/>
        <v>5 Years</v>
      </c>
      <c r="L53" s="3" cm="1">
        <f t="array" ref="L53">_xlfn.SWITCH(Table13_24[[#This Row],[Performance Score]],"A",6,"B",5,"C",4,"D",3,"E",2,"F",1)</f>
        <v>3</v>
      </c>
    </row>
    <row r="54" spans="1:12" x14ac:dyDescent="0.3">
      <c r="A54" t="s">
        <v>18</v>
      </c>
      <c r="B54">
        <v>30</v>
      </c>
      <c r="C54" s="1">
        <v>55000</v>
      </c>
      <c r="D54" t="s">
        <v>19</v>
      </c>
      <c r="E54" t="s">
        <v>35</v>
      </c>
      <c r="F54" t="s">
        <v>14</v>
      </c>
      <c r="G54" s="11">
        <v>43845</v>
      </c>
      <c r="H54" t="s">
        <v>27</v>
      </c>
      <c r="I54" t="s">
        <v>39</v>
      </c>
      <c r="J54" t="s">
        <v>28</v>
      </c>
      <c r="K54" s="11" t="str">
        <f t="shared" ca="1" si="0"/>
        <v>5 Years</v>
      </c>
      <c r="L54" s="3" cm="1">
        <f t="array" ref="L54">_xlfn.SWITCH(Table13_24[[#This Row],[Performance Score]],"A",6,"B",5,"C",4,"D",3,"E",2,"F",1)</f>
        <v>4</v>
      </c>
    </row>
    <row r="55" spans="1:12" x14ac:dyDescent="0.3">
      <c r="A55" t="s">
        <v>44</v>
      </c>
      <c r="B55">
        <v>35</v>
      </c>
      <c r="C55" s="1">
        <v>70000</v>
      </c>
      <c r="D55" t="s">
        <v>19</v>
      </c>
      <c r="E55" t="s">
        <v>30</v>
      </c>
      <c r="F55" t="s">
        <v>21</v>
      </c>
      <c r="G55" s="11">
        <v>43549</v>
      </c>
      <c r="H55" t="s">
        <v>31</v>
      </c>
      <c r="I55" t="s">
        <v>39</v>
      </c>
      <c r="J55" t="s">
        <v>28</v>
      </c>
      <c r="K55" s="11" t="str">
        <f t="shared" ca="1" si="0"/>
        <v>6 Years</v>
      </c>
      <c r="L55" s="3" cm="1">
        <f t="array" ref="L55">_xlfn.SWITCH(Table13_24[[#This Row],[Performance Score]],"A",6,"B",5,"C",4,"D",3,"E",2,"F",1)</f>
        <v>6</v>
      </c>
    </row>
    <row r="56" spans="1:12" x14ac:dyDescent="0.3">
      <c r="A56" t="s">
        <v>25</v>
      </c>
      <c r="B56">
        <v>25</v>
      </c>
      <c r="C56" s="1">
        <v>60000</v>
      </c>
      <c r="D56" t="s">
        <v>12</v>
      </c>
      <c r="E56" t="s">
        <v>20</v>
      </c>
      <c r="F56" t="s">
        <v>14</v>
      </c>
      <c r="G56" s="11">
        <v>43549</v>
      </c>
      <c r="H56" t="s">
        <v>38</v>
      </c>
      <c r="I56" t="s">
        <v>39</v>
      </c>
      <c r="J56" t="s">
        <v>17</v>
      </c>
      <c r="K56" s="11" t="str">
        <f t="shared" ca="1" si="0"/>
        <v>6 Years</v>
      </c>
      <c r="L56" s="3" cm="1">
        <f t="array" ref="L56">_xlfn.SWITCH(Table13_24[[#This Row],[Performance Score]],"A",6,"B",5,"C",4,"D",3,"E",2,"F",1)</f>
        <v>5</v>
      </c>
    </row>
    <row r="57" spans="1:12" x14ac:dyDescent="0.3">
      <c r="A57" t="s">
        <v>18</v>
      </c>
      <c r="B57">
        <v>35</v>
      </c>
      <c r="C57" s="1">
        <v>65000</v>
      </c>
      <c r="D57" t="s">
        <v>19</v>
      </c>
      <c r="E57" t="s">
        <v>26</v>
      </c>
      <c r="F57" t="s">
        <v>41</v>
      </c>
      <c r="G57" s="11">
        <v>43549</v>
      </c>
      <c r="H57" t="s">
        <v>31</v>
      </c>
      <c r="I57" t="s">
        <v>23</v>
      </c>
      <c r="J57" t="s">
        <v>24</v>
      </c>
      <c r="K57" s="11" t="str">
        <f t="shared" ca="1" si="0"/>
        <v>6 Years</v>
      </c>
      <c r="L57" s="3" cm="1">
        <f t="array" ref="L57">_xlfn.SWITCH(Table13_24[[#This Row],[Performance Score]],"A",6,"B",5,"C",4,"D",3,"E",2,"F",1)</f>
        <v>6</v>
      </c>
    </row>
    <row r="58" spans="1:12" x14ac:dyDescent="0.3">
      <c r="A58" t="s">
        <v>44</v>
      </c>
      <c r="B58">
        <v>35</v>
      </c>
      <c r="C58" s="1">
        <v>70000</v>
      </c>
      <c r="D58" t="s">
        <v>19</v>
      </c>
      <c r="E58" t="s">
        <v>30</v>
      </c>
      <c r="F58" t="s">
        <v>41</v>
      </c>
      <c r="G58" s="11">
        <v>43881</v>
      </c>
      <c r="H58" t="s">
        <v>38</v>
      </c>
      <c r="I58" t="s">
        <v>16</v>
      </c>
      <c r="J58" t="s">
        <v>17</v>
      </c>
      <c r="K58" s="11" t="str">
        <f t="shared" ca="1" si="0"/>
        <v>5 Years</v>
      </c>
      <c r="L58" s="3" cm="1">
        <f t="array" ref="L58">_xlfn.SWITCH(Table13_24[[#This Row],[Performance Score]],"A",6,"B",5,"C",4,"D",3,"E",2,"F",1)</f>
        <v>5</v>
      </c>
    </row>
    <row r="59" spans="1:12" x14ac:dyDescent="0.3">
      <c r="A59" t="s">
        <v>43</v>
      </c>
      <c r="B59">
        <v>36</v>
      </c>
      <c r="C59" s="1">
        <v>50000</v>
      </c>
      <c r="D59" t="s">
        <v>12</v>
      </c>
      <c r="E59" t="s">
        <v>35</v>
      </c>
      <c r="F59" t="s">
        <v>37</v>
      </c>
      <c r="G59" s="11">
        <v>43195</v>
      </c>
      <c r="H59" t="s">
        <v>15</v>
      </c>
      <c r="I59" t="s">
        <v>39</v>
      </c>
      <c r="J59" t="s">
        <v>28</v>
      </c>
      <c r="K59" s="11" t="str">
        <f t="shared" ca="1" si="0"/>
        <v>7 Years</v>
      </c>
      <c r="L59" s="3" cm="1">
        <f t="array" ref="L59">_xlfn.SWITCH(Table13_24[[#This Row],[Performance Score]],"A",6,"B",5,"C",4,"D",3,"E",2,"F",1)</f>
        <v>3</v>
      </c>
    </row>
    <row r="60" spans="1:12" x14ac:dyDescent="0.3">
      <c r="A60" t="s">
        <v>43</v>
      </c>
      <c r="B60">
        <v>35</v>
      </c>
      <c r="C60" s="1">
        <v>50000</v>
      </c>
      <c r="D60" t="s">
        <v>12</v>
      </c>
      <c r="E60" t="s">
        <v>30</v>
      </c>
      <c r="F60" t="s">
        <v>21</v>
      </c>
      <c r="G60" s="11">
        <v>43195</v>
      </c>
      <c r="H60" t="s">
        <v>31</v>
      </c>
      <c r="I60" t="s">
        <v>16</v>
      </c>
      <c r="J60" t="s">
        <v>17</v>
      </c>
      <c r="K60" s="11" t="str">
        <f t="shared" ca="1" si="0"/>
        <v>7 Years</v>
      </c>
      <c r="L60" s="3" cm="1">
        <f t="array" ref="L60">_xlfn.SWITCH(Table13_24[[#This Row],[Performance Score]],"A",6,"B",5,"C",4,"D",3,"E",2,"F",1)</f>
        <v>6</v>
      </c>
    </row>
    <row r="61" spans="1:12" x14ac:dyDescent="0.3">
      <c r="A61" t="s">
        <v>33</v>
      </c>
      <c r="B61">
        <v>35</v>
      </c>
      <c r="C61" s="1">
        <v>50000</v>
      </c>
      <c r="D61" t="s">
        <v>34</v>
      </c>
      <c r="E61" t="s">
        <v>20</v>
      </c>
      <c r="F61" t="s">
        <v>37</v>
      </c>
      <c r="G61" s="11">
        <v>43195</v>
      </c>
      <c r="H61" t="s">
        <v>15</v>
      </c>
      <c r="I61" t="s">
        <v>23</v>
      </c>
      <c r="J61" t="s">
        <v>17</v>
      </c>
      <c r="K61" s="11" t="str">
        <f t="shared" ca="1" si="0"/>
        <v>7 Years</v>
      </c>
      <c r="L61" s="3" cm="1">
        <f t="array" ref="L61">_xlfn.SWITCH(Table13_24[[#This Row],[Performance Score]],"A",6,"B",5,"C",4,"D",3,"E",2,"F",1)</f>
        <v>3</v>
      </c>
    </row>
    <row r="62" spans="1:12" x14ac:dyDescent="0.3">
      <c r="A62" t="s">
        <v>18</v>
      </c>
      <c r="B62">
        <v>50</v>
      </c>
      <c r="C62" s="1">
        <v>50000</v>
      </c>
      <c r="D62" t="s">
        <v>19</v>
      </c>
      <c r="E62" t="s">
        <v>26</v>
      </c>
      <c r="F62" t="s">
        <v>41</v>
      </c>
      <c r="G62" s="11">
        <v>43195</v>
      </c>
      <c r="H62" t="s">
        <v>22</v>
      </c>
      <c r="I62" t="s">
        <v>23</v>
      </c>
      <c r="J62" t="s">
        <v>17</v>
      </c>
      <c r="K62" s="11" t="str">
        <f t="shared" ca="1" si="0"/>
        <v>7 Years</v>
      </c>
      <c r="L62" s="3" cm="1">
        <f t="array" ref="L62">_xlfn.SWITCH(Table13_24[[#This Row],[Performance Score]],"A",6,"B",5,"C",4,"D",3,"E",2,"F",1)</f>
        <v>1</v>
      </c>
    </row>
    <row r="63" spans="1:12" x14ac:dyDescent="0.3">
      <c r="A63" t="s">
        <v>43</v>
      </c>
      <c r="B63">
        <v>25</v>
      </c>
      <c r="C63" s="1">
        <v>60000</v>
      </c>
      <c r="D63" t="s">
        <v>12</v>
      </c>
      <c r="E63" t="s">
        <v>20</v>
      </c>
      <c r="F63" t="s">
        <v>37</v>
      </c>
      <c r="G63" s="11">
        <v>43549</v>
      </c>
      <c r="H63" t="s">
        <v>15</v>
      </c>
      <c r="I63" t="s">
        <v>39</v>
      </c>
      <c r="J63" t="s">
        <v>28</v>
      </c>
      <c r="K63" s="11" t="str">
        <f t="shared" ca="1" si="0"/>
        <v>6 Years</v>
      </c>
      <c r="L63" s="3" cm="1">
        <f t="array" ref="L63">_xlfn.SWITCH(Table13_24[[#This Row],[Performance Score]],"A",6,"B",5,"C",4,"D",3,"E",2,"F",1)</f>
        <v>3</v>
      </c>
    </row>
    <row r="64" spans="1:12" x14ac:dyDescent="0.3">
      <c r="A64" t="s">
        <v>44</v>
      </c>
      <c r="B64">
        <v>36</v>
      </c>
      <c r="C64" s="1">
        <v>65000</v>
      </c>
      <c r="D64" t="s">
        <v>34</v>
      </c>
      <c r="E64" t="s">
        <v>13</v>
      </c>
      <c r="F64" t="s">
        <v>21</v>
      </c>
      <c r="G64" s="11">
        <v>43845</v>
      </c>
      <c r="H64" t="s">
        <v>15</v>
      </c>
      <c r="I64" t="s">
        <v>39</v>
      </c>
      <c r="J64" t="s">
        <v>17</v>
      </c>
      <c r="K64" s="11" t="str">
        <f t="shared" ca="1" si="0"/>
        <v>5 Years</v>
      </c>
      <c r="L64" s="3" cm="1">
        <f t="array" ref="L64">_xlfn.SWITCH(Table13_24[[#This Row],[Performance Score]],"A",6,"B",5,"C",4,"D",3,"E",2,"F",1)</f>
        <v>3</v>
      </c>
    </row>
    <row r="65" spans="1:12" x14ac:dyDescent="0.3">
      <c r="A65" t="s">
        <v>33</v>
      </c>
      <c r="B65">
        <v>50</v>
      </c>
      <c r="C65" s="1">
        <v>50742.574257425746</v>
      </c>
      <c r="D65" t="s">
        <v>34</v>
      </c>
      <c r="E65" t="s">
        <v>26</v>
      </c>
      <c r="F65" t="s">
        <v>21</v>
      </c>
      <c r="G65" s="11">
        <v>43549</v>
      </c>
      <c r="H65" t="s">
        <v>38</v>
      </c>
      <c r="I65" t="s">
        <v>32</v>
      </c>
      <c r="J65" t="s">
        <v>28</v>
      </c>
      <c r="K65" s="11" t="str">
        <f t="shared" ca="1" si="0"/>
        <v>6 Years</v>
      </c>
      <c r="L65" s="3" cm="1">
        <f t="array" ref="L65">_xlfn.SWITCH(Table13_24[[#This Row],[Performance Score]],"A",6,"B",5,"C",4,"D",3,"E",2,"F",1)</f>
        <v>5</v>
      </c>
    </row>
    <row r="66" spans="1:12" x14ac:dyDescent="0.3">
      <c r="A66" t="s">
        <v>44</v>
      </c>
      <c r="B66">
        <v>40</v>
      </c>
      <c r="C66" s="1">
        <v>55000</v>
      </c>
      <c r="D66" t="s">
        <v>19</v>
      </c>
      <c r="E66" t="s">
        <v>20</v>
      </c>
      <c r="F66" t="s">
        <v>14</v>
      </c>
      <c r="G66" s="11">
        <v>43195</v>
      </c>
      <c r="H66" t="s">
        <v>22</v>
      </c>
      <c r="I66" t="s">
        <v>23</v>
      </c>
      <c r="J66" t="s">
        <v>42</v>
      </c>
      <c r="K66" s="11" t="str">
        <f t="shared" ca="1" si="0"/>
        <v>7 Years</v>
      </c>
      <c r="L66" s="3" cm="1">
        <f t="array" ref="L66">_xlfn.SWITCH(Table13_24[[#This Row],[Performance Score]],"A",6,"B",5,"C",4,"D",3,"E",2,"F",1)</f>
        <v>1</v>
      </c>
    </row>
    <row r="67" spans="1:12" x14ac:dyDescent="0.3">
      <c r="A67" t="s">
        <v>33</v>
      </c>
      <c r="B67">
        <v>25</v>
      </c>
      <c r="C67" s="1">
        <v>60000</v>
      </c>
      <c r="D67" t="s">
        <v>19</v>
      </c>
      <c r="E67" t="s">
        <v>35</v>
      </c>
      <c r="F67" t="s">
        <v>40</v>
      </c>
      <c r="G67" s="11">
        <v>43549</v>
      </c>
      <c r="H67" t="s">
        <v>15</v>
      </c>
      <c r="I67" t="s">
        <v>39</v>
      </c>
      <c r="J67" t="s">
        <v>42</v>
      </c>
      <c r="K67" s="11" t="str">
        <f t="shared" ref="K67:K130" ca="1" si="1">DATEDIF(G67,TODAY(),"Y") &amp; " Years"</f>
        <v>6 Years</v>
      </c>
      <c r="L67" s="3" cm="1">
        <f t="array" ref="L67">_xlfn.SWITCH(Table13_24[[#This Row],[Performance Score]],"A",6,"B",5,"C",4,"D",3,"E",2,"F",1)</f>
        <v>3</v>
      </c>
    </row>
    <row r="68" spans="1:12" x14ac:dyDescent="0.3">
      <c r="A68" t="s">
        <v>18</v>
      </c>
      <c r="B68">
        <v>25</v>
      </c>
      <c r="C68" s="1">
        <v>60000</v>
      </c>
      <c r="D68" t="s">
        <v>34</v>
      </c>
      <c r="E68" t="s">
        <v>26</v>
      </c>
      <c r="F68" t="s">
        <v>14</v>
      </c>
      <c r="G68" s="11">
        <v>43195</v>
      </c>
      <c r="H68" t="s">
        <v>15</v>
      </c>
      <c r="I68" t="s">
        <v>16</v>
      </c>
      <c r="J68" t="s">
        <v>42</v>
      </c>
      <c r="K68" s="11" t="str">
        <f t="shared" ca="1" si="1"/>
        <v>7 Years</v>
      </c>
      <c r="L68" s="3" cm="1">
        <f t="array" ref="L68">_xlfn.SWITCH(Table13_24[[#This Row],[Performance Score]],"A",6,"B",5,"C",4,"D",3,"E",2,"F",1)</f>
        <v>3</v>
      </c>
    </row>
    <row r="69" spans="1:12" x14ac:dyDescent="0.3">
      <c r="A69" t="s">
        <v>25</v>
      </c>
      <c r="B69">
        <v>40</v>
      </c>
      <c r="C69" s="1">
        <v>50742.574257425746</v>
      </c>
      <c r="D69" t="s">
        <v>12</v>
      </c>
      <c r="E69" t="s">
        <v>26</v>
      </c>
      <c r="F69" t="s">
        <v>21</v>
      </c>
      <c r="G69" s="11">
        <v>43477</v>
      </c>
      <c r="H69" t="s">
        <v>22</v>
      </c>
      <c r="I69" t="s">
        <v>39</v>
      </c>
      <c r="J69" t="s">
        <v>17</v>
      </c>
      <c r="K69" s="11" t="str">
        <f t="shared" ca="1" si="1"/>
        <v>6 Years</v>
      </c>
      <c r="L69" s="3" cm="1">
        <f t="array" ref="L69">_xlfn.SWITCH(Table13_24[[#This Row],[Performance Score]],"A",6,"B",5,"C",4,"D",3,"E",2,"F",1)</f>
        <v>1</v>
      </c>
    </row>
    <row r="70" spans="1:12" x14ac:dyDescent="0.3">
      <c r="A70" t="s">
        <v>11</v>
      </c>
      <c r="B70">
        <v>35</v>
      </c>
      <c r="C70" s="1">
        <v>50777.202072538857</v>
      </c>
      <c r="D70" t="s">
        <v>34</v>
      </c>
      <c r="E70" t="s">
        <v>30</v>
      </c>
      <c r="F70" t="s">
        <v>41</v>
      </c>
      <c r="G70" s="11">
        <v>43845</v>
      </c>
      <c r="H70" t="s">
        <v>22</v>
      </c>
      <c r="I70" t="s">
        <v>16</v>
      </c>
      <c r="J70" t="s">
        <v>42</v>
      </c>
      <c r="K70" s="11" t="str">
        <f t="shared" ca="1" si="1"/>
        <v>5 Years</v>
      </c>
      <c r="L70" s="3" cm="1">
        <f t="array" ref="L70">_xlfn.SWITCH(Table13_24[[#This Row],[Performance Score]],"A",6,"B",5,"C",4,"D",3,"E",2,"F",1)</f>
        <v>1</v>
      </c>
    </row>
    <row r="71" spans="1:12" x14ac:dyDescent="0.3">
      <c r="A71" t="s">
        <v>46</v>
      </c>
      <c r="B71">
        <v>50</v>
      </c>
      <c r="C71" s="1">
        <v>55000</v>
      </c>
      <c r="D71" t="s">
        <v>19</v>
      </c>
      <c r="E71" t="s">
        <v>35</v>
      </c>
      <c r="F71" t="s">
        <v>41</v>
      </c>
      <c r="G71" s="11">
        <v>43477</v>
      </c>
      <c r="H71" t="s">
        <v>31</v>
      </c>
      <c r="I71" t="s">
        <v>23</v>
      </c>
      <c r="J71" t="s">
        <v>17</v>
      </c>
      <c r="K71" s="11" t="str">
        <f t="shared" ca="1" si="1"/>
        <v>6 Years</v>
      </c>
      <c r="L71" s="3" cm="1">
        <f t="array" ref="L71">_xlfn.SWITCH(Table13_24[[#This Row],[Performance Score]],"A",6,"B",5,"C",4,"D",3,"E",2,"F",1)</f>
        <v>6</v>
      </c>
    </row>
    <row r="72" spans="1:12" x14ac:dyDescent="0.3">
      <c r="A72" t="s">
        <v>25</v>
      </c>
      <c r="B72">
        <v>30</v>
      </c>
      <c r="C72" s="1">
        <v>55000</v>
      </c>
      <c r="D72" t="s">
        <v>12</v>
      </c>
      <c r="E72" t="s">
        <v>13</v>
      </c>
      <c r="F72" t="s">
        <v>14</v>
      </c>
      <c r="G72" s="11">
        <v>43881</v>
      </c>
      <c r="H72" t="s">
        <v>38</v>
      </c>
      <c r="I72" t="s">
        <v>23</v>
      </c>
      <c r="J72" t="s">
        <v>17</v>
      </c>
      <c r="K72" s="11" t="str">
        <f t="shared" ca="1" si="1"/>
        <v>5 Years</v>
      </c>
      <c r="L72" s="3" cm="1">
        <f t="array" ref="L72">_xlfn.SWITCH(Table13_24[[#This Row],[Performance Score]],"A",6,"B",5,"C",4,"D",3,"E",2,"F",1)</f>
        <v>5</v>
      </c>
    </row>
    <row r="73" spans="1:12" x14ac:dyDescent="0.3">
      <c r="A73" t="s">
        <v>29</v>
      </c>
      <c r="B73">
        <v>36</v>
      </c>
      <c r="C73" s="1">
        <v>48417.431192660551</v>
      </c>
      <c r="D73" t="s">
        <v>12</v>
      </c>
      <c r="E73" t="s">
        <v>20</v>
      </c>
      <c r="F73" t="s">
        <v>21</v>
      </c>
      <c r="G73" s="11">
        <v>43549</v>
      </c>
      <c r="H73" t="s">
        <v>22</v>
      </c>
      <c r="I73" t="s">
        <v>16</v>
      </c>
      <c r="J73" t="s">
        <v>17</v>
      </c>
      <c r="K73" s="11" t="str">
        <f t="shared" ca="1" si="1"/>
        <v>6 Years</v>
      </c>
      <c r="L73" s="3" cm="1">
        <f t="array" ref="L73">_xlfn.SWITCH(Table13_24[[#This Row],[Performance Score]],"A",6,"B",5,"C",4,"D",3,"E",2,"F",1)</f>
        <v>1</v>
      </c>
    </row>
    <row r="74" spans="1:12" x14ac:dyDescent="0.3">
      <c r="A74" t="s">
        <v>44</v>
      </c>
      <c r="B74">
        <v>30</v>
      </c>
      <c r="C74" s="1">
        <v>50000</v>
      </c>
      <c r="D74" t="s">
        <v>34</v>
      </c>
      <c r="E74" t="s">
        <v>30</v>
      </c>
      <c r="F74" t="s">
        <v>41</v>
      </c>
      <c r="G74" s="11">
        <v>43881</v>
      </c>
      <c r="H74" t="s">
        <v>22</v>
      </c>
      <c r="I74" t="s">
        <v>23</v>
      </c>
      <c r="J74" t="s">
        <v>28</v>
      </c>
      <c r="K74" s="11" t="str">
        <f t="shared" ca="1" si="1"/>
        <v>5 Years</v>
      </c>
      <c r="L74" s="3" cm="1">
        <f t="array" ref="L74">_xlfn.SWITCH(Table13_24[[#This Row],[Performance Score]],"A",6,"B",5,"C",4,"D",3,"E",2,"F",1)</f>
        <v>1</v>
      </c>
    </row>
    <row r="75" spans="1:12" x14ac:dyDescent="0.3">
      <c r="A75" t="s">
        <v>29</v>
      </c>
      <c r="B75">
        <v>40</v>
      </c>
      <c r="C75" s="1">
        <v>60000</v>
      </c>
      <c r="D75" t="s">
        <v>19</v>
      </c>
      <c r="E75" t="s">
        <v>20</v>
      </c>
      <c r="F75" t="s">
        <v>21</v>
      </c>
      <c r="G75" s="11">
        <v>43549</v>
      </c>
      <c r="H75" t="s">
        <v>27</v>
      </c>
      <c r="I75" t="s">
        <v>39</v>
      </c>
      <c r="J75" t="s">
        <v>24</v>
      </c>
      <c r="K75" s="11" t="str">
        <f t="shared" ca="1" si="1"/>
        <v>6 Years</v>
      </c>
      <c r="L75" s="3" cm="1">
        <f t="array" ref="L75">_xlfn.SWITCH(Table13_24[[#This Row],[Performance Score]],"A",6,"B",5,"C",4,"D",3,"E",2,"F",1)</f>
        <v>4</v>
      </c>
    </row>
    <row r="76" spans="1:12" x14ac:dyDescent="0.3">
      <c r="A76" t="s">
        <v>25</v>
      </c>
      <c r="B76">
        <v>25</v>
      </c>
      <c r="C76" s="1">
        <v>70000</v>
      </c>
      <c r="D76" t="s">
        <v>34</v>
      </c>
      <c r="E76" t="s">
        <v>13</v>
      </c>
      <c r="F76" t="s">
        <v>41</v>
      </c>
      <c r="G76" s="11">
        <v>43477</v>
      </c>
      <c r="H76" t="s">
        <v>22</v>
      </c>
      <c r="I76" t="s">
        <v>23</v>
      </c>
      <c r="J76" t="s">
        <v>28</v>
      </c>
      <c r="K76" s="11" t="str">
        <f t="shared" ca="1" si="1"/>
        <v>6 Years</v>
      </c>
      <c r="L76" s="3" cm="1">
        <f t="array" ref="L76">_xlfn.SWITCH(Table13_24[[#This Row],[Performance Score]],"A",6,"B",5,"C",4,"D",3,"E",2,"F",1)</f>
        <v>1</v>
      </c>
    </row>
    <row r="77" spans="1:12" x14ac:dyDescent="0.3">
      <c r="A77" t="s">
        <v>33</v>
      </c>
      <c r="B77">
        <v>25</v>
      </c>
      <c r="C77" s="1">
        <v>55000</v>
      </c>
      <c r="D77" t="s">
        <v>34</v>
      </c>
      <c r="E77" t="s">
        <v>13</v>
      </c>
      <c r="F77" t="s">
        <v>21</v>
      </c>
      <c r="G77" s="11">
        <v>43195</v>
      </c>
      <c r="H77" t="s">
        <v>38</v>
      </c>
      <c r="I77" t="s">
        <v>39</v>
      </c>
      <c r="J77" t="s">
        <v>28</v>
      </c>
      <c r="K77" s="11" t="str">
        <f t="shared" ca="1" si="1"/>
        <v>7 Years</v>
      </c>
      <c r="L77" s="3" cm="1">
        <f t="array" ref="L77">_xlfn.SWITCH(Table13_24[[#This Row],[Performance Score]],"A",6,"B",5,"C",4,"D",3,"E",2,"F",1)</f>
        <v>5</v>
      </c>
    </row>
    <row r="78" spans="1:12" x14ac:dyDescent="0.3">
      <c r="A78" t="s">
        <v>46</v>
      </c>
      <c r="B78">
        <v>36</v>
      </c>
      <c r="C78" s="1">
        <v>55000</v>
      </c>
      <c r="D78" t="s">
        <v>34</v>
      </c>
      <c r="E78" t="s">
        <v>26</v>
      </c>
      <c r="F78" t="s">
        <v>37</v>
      </c>
      <c r="G78" s="11">
        <v>43195</v>
      </c>
      <c r="H78" t="s">
        <v>15</v>
      </c>
      <c r="I78" t="s">
        <v>39</v>
      </c>
      <c r="J78" t="s">
        <v>28</v>
      </c>
      <c r="K78" s="11" t="str">
        <f t="shared" ca="1" si="1"/>
        <v>7 Years</v>
      </c>
      <c r="L78" s="3" cm="1">
        <f t="array" ref="L78">_xlfn.SWITCH(Table13_24[[#This Row],[Performance Score]],"A",6,"B",5,"C",4,"D",3,"E",2,"F",1)</f>
        <v>3</v>
      </c>
    </row>
    <row r="79" spans="1:12" x14ac:dyDescent="0.3">
      <c r="A79" t="s">
        <v>46</v>
      </c>
      <c r="B79">
        <v>25</v>
      </c>
      <c r="C79" s="1">
        <v>51825</v>
      </c>
      <c r="D79" t="s">
        <v>12</v>
      </c>
      <c r="E79" t="s">
        <v>13</v>
      </c>
      <c r="F79" t="s">
        <v>21</v>
      </c>
      <c r="G79" s="11">
        <v>43549</v>
      </c>
      <c r="H79" t="s">
        <v>15</v>
      </c>
      <c r="I79" t="s">
        <v>32</v>
      </c>
      <c r="J79" t="s">
        <v>28</v>
      </c>
      <c r="K79" s="11" t="str">
        <f t="shared" ca="1" si="1"/>
        <v>6 Years</v>
      </c>
      <c r="L79" s="3" cm="1">
        <f t="array" ref="L79">_xlfn.SWITCH(Table13_24[[#This Row],[Performance Score]],"A",6,"B",5,"C",4,"D",3,"E",2,"F",1)</f>
        <v>3</v>
      </c>
    </row>
    <row r="80" spans="1:12" x14ac:dyDescent="0.3">
      <c r="A80" t="s">
        <v>45</v>
      </c>
      <c r="B80">
        <v>25</v>
      </c>
      <c r="C80" s="1">
        <v>65000</v>
      </c>
      <c r="D80" t="s">
        <v>12</v>
      </c>
      <c r="E80" t="s">
        <v>20</v>
      </c>
      <c r="F80" t="s">
        <v>21</v>
      </c>
      <c r="G80" s="11">
        <v>43195</v>
      </c>
      <c r="H80" t="s">
        <v>15</v>
      </c>
      <c r="I80" t="s">
        <v>23</v>
      </c>
      <c r="J80" t="s">
        <v>24</v>
      </c>
      <c r="K80" s="11" t="str">
        <f t="shared" ca="1" si="1"/>
        <v>7 Years</v>
      </c>
      <c r="L80" s="3" cm="1">
        <f t="array" ref="L80">_xlfn.SWITCH(Table13_24[[#This Row],[Performance Score]],"A",6,"B",5,"C",4,"D",3,"E",2,"F",1)</f>
        <v>3</v>
      </c>
    </row>
    <row r="81" spans="1:12" x14ac:dyDescent="0.3">
      <c r="A81" t="s">
        <v>46</v>
      </c>
      <c r="B81">
        <v>36</v>
      </c>
      <c r="C81" s="1">
        <v>70000</v>
      </c>
      <c r="D81" t="s">
        <v>19</v>
      </c>
      <c r="E81" t="s">
        <v>35</v>
      </c>
      <c r="F81" t="s">
        <v>14</v>
      </c>
      <c r="G81" s="11">
        <v>43477</v>
      </c>
      <c r="H81" t="s">
        <v>15</v>
      </c>
      <c r="I81" t="s">
        <v>23</v>
      </c>
      <c r="J81" t="s">
        <v>42</v>
      </c>
      <c r="K81" s="11" t="str">
        <f t="shared" ca="1" si="1"/>
        <v>6 Years</v>
      </c>
      <c r="L81" s="3" cm="1">
        <f t="array" ref="L81">_xlfn.SWITCH(Table13_24[[#This Row],[Performance Score]],"A",6,"B",5,"C",4,"D",3,"E",2,"F",1)</f>
        <v>3</v>
      </c>
    </row>
    <row r="82" spans="1:12" x14ac:dyDescent="0.3">
      <c r="A82" t="s">
        <v>11</v>
      </c>
      <c r="B82">
        <v>50</v>
      </c>
      <c r="C82" s="1">
        <v>70000</v>
      </c>
      <c r="D82" t="s">
        <v>19</v>
      </c>
      <c r="E82" t="s">
        <v>35</v>
      </c>
      <c r="F82" t="s">
        <v>37</v>
      </c>
      <c r="G82" s="11">
        <v>43195</v>
      </c>
      <c r="H82" t="s">
        <v>27</v>
      </c>
      <c r="I82" t="s">
        <v>39</v>
      </c>
      <c r="J82" t="s">
        <v>28</v>
      </c>
      <c r="K82" s="11" t="str">
        <f t="shared" ca="1" si="1"/>
        <v>7 Years</v>
      </c>
      <c r="L82" s="3" cm="1">
        <f t="array" ref="L82">_xlfn.SWITCH(Table13_24[[#This Row],[Performance Score]],"A",6,"B",5,"C",4,"D",3,"E",2,"F",1)</f>
        <v>4</v>
      </c>
    </row>
    <row r="83" spans="1:12" x14ac:dyDescent="0.3">
      <c r="A83" t="s">
        <v>46</v>
      </c>
      <c r="B83">
        <v>50</v>
      </c>
      <c r="C83" s="1">
        <v>55000</v>
      </c>
      <c r="D83" t="s">
        <v>34</v>
      </c>
      <c r="E83" t="s">
        <v>26</v>
      </c>
      <c r="F83" t="s">
        <v>40</v>
      </c>
      <c r="G83" s="11">
        <v>43477</v>
      </c>
      <c r="H83" t="s">
        <v>22</v>
      </c>
      <c r="I83" t="s">
        <v>39</v>
      </c>
      <c r="J83" t="s">
        <v>17</v>
      </c>
      <c r="K83" s="11" t="str">
        <f t="shared" ca="1" si="1"/>
        <v>6 Years</v>
      </c>
      <c r="L83" s="3" cm="1">
        <f t="array" ref="L83">_xlfn.SWITCH(Table13_24[[#This Row],[Performance Score]],"A",6,"B",5,"C",4,"D",3,"E",2,"F",1)</f>
        <v>1</v>
      </c>
    </row>
    <row r="84" spans="1:12" x14ac:dyDescent="0.3">
      <c r="A84" t="s">
        <v>25</v>
      </c>
      <c r="B84">
        <v>36</v>
      </c>
      <c r="C84" s="1">
        <v>50000</v>
      </c>
      <c r="D84" t="s">
        <v>34</v>
      </c>
      <c r="E84" t="s">
        <v>20</v>
      </c>
      <c r="F84" t="s">
        <v>14</v>
      </c>
      <c r="G84" s="11">
        <v>43881</v>
      </c>
      <c r="H84" t="s">
        <v>15</v>
      </c>
      <c r="I84" t="s">
        <v>16</v>
      </c>
      <c r="J84" t="s">
        <v>17</v>
      </c>
      <c r="K84" s="11" t="str">
        <f t="shared" ca="1" si="1"/>
        <v>5 Years</v>
      </c>
      <c r="L84" s="3" cm="1">
        <f t="array" ref="L84">_xlfn.SWITCH(Table13_24[[#This Row],[Performance Score]],"A",6,"B",5,"C",4,"D",3,"E",2,"F",1)</f>
        <v>3</v>
      </c>
    </row>
    <row r="85" spans="1:12" x14ac:dyDescent="0.3">
      <c r="A85" t="s">
        <v>45</v>
      </c>
      <c r="B85">
        <v>40</v>
      </c>
      <c r="C85" s="1">
        <v>65000</v>
      </c>
      <c r="D85" t="s">
        <v>34</v>
      </c>
      <c r="E85" t="s">
        <v>20</v>
      </c>
      <c r="F85" t="s">
        <v>40</v>
      </c>
      <c r="G85" s="11">
        <v>43477</v>
      </c>
      <c r="H85" t="s">
        <v>31</v>
      </c>
      <c r="I85" t="s">
        <v>16</v>
      </c>
      <c r="J85" t="s">
        <v>17</v>
      </c>
      <c r="K85" s="11" t="str">
        <f t="shared" ca="1" si="1"/>
        <v>6 Years</v>
      </c>
      <c r="L85" s="3" cm="1">
        <f t="array" ref="L85">_xlfn.SWITCH(Table13_24[[#This Row],[Performance Score]],"A",6,"B",5,"C",4,"D",3,"E",2,"F",1)</f>
        <v>6</v>
      </c>
    </row>
    <row r="86" spans="1:12" x14ac:dyDescent="0.3">
      <c r="A86" t="s">
        <v>25</v>
      </c>
      <c r="B86">
        <v>25</v>
      </c>
      <c r="C86" s="1">
        <v>70000</v>
      </c>
      <c r="D86" t="s">
        <v>19</v>
      </c>
      <c r="E86" t="s">
        <v>13</v>
      </c>
      <c r="F86" t="s">
        <v>41</v>
      </c>
      <c r="G86" s="11">
        <v>43845</v>
      </c>
      <c r="H86" t="s">
        <v>15</v>
      </c>
      <c r="I86" t="s">
        <v>16</v>
      </c>
      <c r="J86" t="s">
        <v>17</v>
      </c>
      <c r="K86" s="11" t="str">
        <f t="shared" ca="1" si="1"/>
        <v>5 Years</v>
      </c>
      <c r="L86" s="3" cm="1">
        <f t="array" ref="L86">_xlfn.SWITCH(Table13_24[[#This Row],[Performance Score]],"A",6,"B",5,"C",4,"D",3,"E",2,"F",1)</f>
        <v>3</v>
      </c>
    </row>
    <row r="87" spans="1:12" x14ac:dyDescent="0.3">
      <c r="A87" t="s">
        <v>25</v>
      </c>
      <c r="B87">
        <v>25</v>
      </c>
      <c r="C87" s="1">
        <v>55000</v>
      </c>
      <c r="D87" t="s">
        <v>12</v>
      </c>
      <c r="E87" t="s">
        <v>20</v>
      </c>
      <c r="F87" t="s">
        <v>40</v>
      </c>
      <c r="G87" s="11">
        <v>43845</v>
      </c>
      <c r="H87" t="s">
        <v>22</v>
      </c>
      <c r="I87" t="s">
        <v>39</v>
      </c>
      <c r="J87" t="s">
        <v>28</v>
      </c>
      <c r="K87" s="11" t="str">
        <f t="shared" ca="1" si="1"/>
        <v>5 Years</v>
      </c>
      <c r="L87" s="3" cm="1">
        <f t="array" ref="L87">_xlfn.SWITCH(Table13_24[[#This Row],[Performance Score]],"A",6,"B",5,"C",4,"D",3,"E",2,"F",1)</f>
        <v>1</v>
      </c>
    </row>
    <row r="88" spans="1:12" x14ac:dyDescent="0.3">
      <c r="A88" t="s">
        <v>36</v>
      </c>
      <c r="B88">
        <v>40</v>
      </c>
      <c r="C88" s="1">
        <v>70000</v>
      </c>
      <c r="D88" t="s">
        <v>12</v>
      </c>
      <c r="E88" t="s">
        <v>30</v>
      </c>
      <c r="F88" t="s">
        <v>21</v>
      </c>
      <c r="G88" s="11">
        <v>43845</v>
      </c>
      <c r="H88" t="s">
        <v>15</v>
      </c>
      <c r="I88" t="s">
        <v>16</v>
      </c>
      <c r="J88" t="s">
        <v>24</v>
      </c>
      <c r="K88" s="11" t="str">
        <f t="shared" ca="1" si="1"/>
        <v>5 Years</v>
      </c>
      <c r="L88" s="3" cm="1">
        <f t="array" ref="L88">_xlfn.SWITCH(Table13_24[[#This Row],[Performance Score]],"A",6,"B",5,"C",4,"D",3,"E",2,"F",1)</f>
        <v>3</v>
      </c>
    </row>
    <row r="89" spans="1:12" x14ac:dyDescent="0.3">
      <c r="A89" t="s">
        <v>45</v>
      </c>
      <c r="B89">
        <v>50</v>
      </c>
      <c r="C89" s="1">
        <v>65000</v>
      </c>
      <c r="D89" t="s">
        <v>34</v>
      </c>
      <c r="E89" t="s">
        <v>13</v>
      </c>
      <c r="F89" t="s">
        <v>40</v>
      </c>
      <c r="G89" s="11">
        <v>43549</v>
      </c>
      <c r="H89" t="s">
        <v>27</v>
      </c>
      <c r="I89" t="s">
        <v>16</v>
      </c>
      <c r="J89" t="s">
        <v>42</v>
      </c>
      <c r="K89" s="11" t="str">
        <f t="shared" ca="1" si="1"/>
        <v>6 Years</v>
      </c>
      <c r="L89" s="3" cm="1">
        <f t="array" ref="L89">_xlfn.SWITCH(Table13_24[[#This Row],[Performance Score]],"A",6,"B",5,"C",4,"D",3,"E",2,"F",1)</f>
        <v>4</v>
      </c>
    </row>
    <row r="90" spans="1:12" x14ac:dyDescent="0.3">
      <c r="A90" t="s">
        <v>25</v>
      </c>
      <c r="B90">
        <v>35</v>
      </c>
      <c r="C90" s="1">
        <v>65000</v>
      </c>
      <c r="D90" t="s">
        <v>34</v>
      </c>
      <c r="E90" t="s">
        <v>30</v>
      </c>
      <c r="F90" t="s">
        <v>14</v>
      </c>
      <c r="G90" s="11">
        <v>43549</v>
      </c>
      <c r="H90" t="s">
        <v>38</v>
      </c>
      <c r="I90" t="s">
        <v>32</v>
      </c>
      <c r="J90" t="s">
        <v>17</v>
      </c>
      <c r="K90" s="11" t="str">
        <f t="shared" ca="1" si="1"/>
        <v>6 Years</v>
      </c>
      <c r="L90" s="3" cm="1">
        <f t="array" ref="L90">_xlfn.SWITCH(Table13_24[[#This Row],[Performance Score]],"A",6,"B",5,"C",4,"D",3,"E",2,"F",1)</f>
        <v>5</v>
      </c>
    </row>
    <row r="91" spans="1:12" x14ac:dyDescent="0.3">
      <c r="A91" t="s">
        <v>36</v>
      </c>
      <c r="B91">
        <v>35</v>
      </c>
      <c r="C91" s="1">
        <v>60000</v>
      </c>
      <c r="D91" t="s">
        <v>34</v>
      </c>
      <c r="E91" t="s">
        <v>26</v>
      </c>
      <c r="F91" t="s">
        <v>14</v>
      </c>
      <c r="G91" s="11">
        <v>43549</v>
      </c>
      <c r="H91" t="s">
        <v>38</v>
      </c>
      <c r="I91" t="s">
        <v>16</v>
      </c>
      <c r="J91" t="s">
        <v>42</v>
      </c>
      <c r="K91" s="11" t="str">
        <f t="shared" ca="1" si="1"/>
        <v>6 Years</v>
      </c>
      <c r="L91" s="3" cm="1">
        <f t="array" ref="L91">_xlfn.SWITCH(Table13_24[[#This Row],[Performance Score]],"A",6,"B",5,"C",4,"D",3,"E",2,"F",1)</f>
        <v>5</v>
      </c>
    </row>
    <row r="92" spans="1:12" x14ac:dyDescent="0.3">
      <c r="A92" t="s">
        <v>36</v>
      </c>
      <c r="B92">
        <v>35</v>
      </c>
      <c r="C92" s="1">
        <v>49144.385026737968</v>
      </c>
      <c r="D92" t="s">
        <v>34</v>
      </c>
      <c r="E92" t="s">
        <v>35</v>
      </c>
      <c r="F92" t="s">
        <v>40</v>
      </c>
      <c r="G92" s="11">
        <v>43477</v>
      </c>
      <c r="H92" t="s">
        <v>22</v>
      </c>
      <c r="I92" t="s">
        <v>23</v>
      </c>
      <c r="J92" t="s">
        <v>24</v>
      </c>
      <c r="K92" s="11" t="str">
        <f t="shared" ca="1" si="1"/>
        <v>6 Years</v>
      </c>
      <c r="L92" s="3" cm="1">
        <f t="array" ref="L92">_xlfn.SWITCH(Table13_24[[#This Row],[Performance Score]],"A",6,"B",5,"C",4,"D",3,"E",2,"F",1)</f>
        <v>1</v>
      </c>
    </row>
    <row r="93" spans="1:12" x14ac:dyDescent="0.3">
      <c r="A93" t="s">
        <v>45</v>
      </c>
      <c r="B93">
        <v>50</v>
      </c>
      <c r="C93" s="1">
        <v>50742.574257425746</v>
      </c>
      <c r="D93" t="s">
        <v>19</v>
      </c>
      <c r="E93" t="s">
        <v>26</v>
      </c>
      <c r="F93" t="s">
        <v>14</v>
      </c>
      <c r="G93" s="11">
        <v>43549</v>
      </c>
      <c r="H93" t="s">
        <v>38</v>
      </c>
      <c r="I93" t="s">
        <v>39</v>
      </c>
      <c r="J93" t="s">
        <v>17</v>
      </c>
      <c r="K93" s="11" t="str">
        <f t="shared" ca="1" si="1"/>
        <v>6 Years</v>
      </c>
      <c r="L93" s="3" cm="1">
        <f t="array" ref="L93">_xlfn.SWITCH(Table13_24[[#This Row],[Performance Score]],"A",6,"B",5,"C",4,"D",3,"E",2,"F",1)</f>
        <v>5</v>
      </c>
    </row>
    <row r="94" spans="1:12" x14ac:dyDescent="0.3">
      <c r="A94" t="s">
        <v>29</v>
      </c>
      <c r="B94">
        <v>50</v>
      </c>
      <c r="C94" s="1">
        <v>55000</v>
      </c>
      <c r="D94" t="s">
        <v>12</v>
      </c>
      <c r="E94" t="s">
        <v>35</v>
      </c>
      <c r="F94" t="s">
        <v>14</v>
      </c>
      <c r="G94" s="11">
        <v>43881</v>
      </c>
      <c r="H94" t="s">
        <v>38</v>
      </c>
      <c r="I94" t="s">
        <v>39</v>
      </c>
      <c r="J94" t="s">
        <v>42</v>
      </c>
      <c r="K94" s="11" t="str">
        <f t="shared" ca="1" si="1"/>
        <v>5 Years</v>
      </c>
      <c r="L94" s="3" cm="1">
        <f t="array" ref="L94">_xlfn.SWITCH(Table13_24[[#This Row],[Performance Score]],"A",6,"B",5,"C",4,"D",3,"E",2,"F",1)</f>
        <v>5</v>
      </c>
    </row>
    <row r="95" spans="1:12" x14ac:dyDescent="0.3">
      <c r="A95" t="s">
        <v>33</v>
      </c>
      <c r="B95">
        <v>40</v>
      </c>
      <c r="C95" s="1">
        <v>65000</v>
      </c>
      <c r="D95" t="s">
        <v>34</v>
      </c>
      <c r="E95" t="s">
        <v>26</v>
      </c>
      <c r="F95" t="s">
        <v>40</v>
      </c>
      <c r="G95" s="11">
        <v>43845</v>
      </c>
      <c r="H95" t="s">
        <v>31</v>
      </c>
      <c r="I95" t="s">
        <v>32</v>
      </c>
      <c r="J95" t="s">
        <v>24</v>
      </c>
      <c r="K95" s="11" t="str">
        <f t="shared" ca="1" si="1"/>
        <v>5 Years</v>
      </c>
      <c r="L95" s="3" cm="1">
        <f t="array" ref="L95">_xlfn.SWITCH(Table13_24[[#This Row],[Performance Score]],"A",6,"B",5,"C",4,"D",3,"E",2,"F",1)</f>
        <v>6</v>
      </c>
    </row>
    <row r="96" spans="1:12" x14ac:dyDescent="0.3">
      <c r="A96" t="s">
        <v>11</v>
      </c>
      <c r="B96">
        <v>25</v>
      </c>
      <c r="C96" s="1">
        <v>60000</v>
      </c>
      <c r="D96" t="s">
        <v>19</v>
      </c>
      <c r="E96" t="s">
        <v>20</v>
      </c>
      <c r="F96" t="s">
        <v>37</v>
      </c>
      <c r="G96" s="11">
        <v>43477</v>
      </c>
      <c r="H96" t="s">
        <v>22</v>
      </c>
      <c r="I96" t="s">
        <v>39</v>
      </c>
      <c r="J96" t="s">
        <v>42</v>
      </c>
      <c r="K96" s="11" t="str">
        <f t="shared" ca="1" si="1"/>
        <v>6 Years</v>
      </c>
      <c r="L96" s="3" cm="1">
        <f t="array" ref="L96">_xlfn.SWITCH(Table13_24[[#This Row],[Performance Score]],"A",6,"B",5,"C",4,"D",3,"E",2,"F",1)</f>
        <v>1</v>
      </c>
    </row>
    <row r="97" spans="1:12" x14ac:dyDescent="0.3">
      <c r="A97" t="s">
        <v>33</v>
      </c>
      <c r="B97">
        <v>40</v>
      </c>
      <c r="C97" s="1">
        <v>60000</v>
      </c>
      <c r="D97" t="s">
        <v>34</v>
      </c>
      <c r="E97" t="s">
        <v>30</v>
      </c>
      <c r="F97" t="s">
        <v>37</v>
      </c>
      <c r="G97" s="11">
        <v>43845</v>
      </c>
      <c r="H97" t="s">
        <v>22</v>
      </c>
      <c r="I97" t="s">
        <v>39</v>
      </c>
      <c r="J97" t="s">
        <v>28</v>
      </c>
      <c r="K97" s="11" t="str">
        <f t="shared" ca="1" si="1"/>
        <v>5 Years</v>
      </c>
      <c r="L97" s="3" cm="1">
        <f t="array" ref="L97">_xlfn.SWITCH(Table13_24[[#This Row],[Performance Score]],"A",6,"B",5,"C",4,"D",3,"E",2,"F",1)</f>
        <v>1</v>
      </c>
    </row>
    <row r="98" spans="1:12" x14ac:dyDescent="0.3">
      <c r="A98" t="s">
        <v>46</v>
      </c>
      <c r="B98">
        <v>40</v>
      </c>
      <c r="C98" s="1">
        <v>70000</v>
      </c>
      <c r="D98" t="s">
        <v>34</v>
      </c>
      <c r="E98" t="s">
        <v>35</v>
      </c>
      <c r="F98" t="s">
        <v>41</v>
      </c>
      <c r="G98" s="11">
        <v>43549</v>
      </c>
      <c r="H98" t="s">
        <v>38</v>
      </c>
      <c r="I98" t="s">
        <v>23</v>
      </c>
      <c r="J98" t="s">
        <v>24</v>
      </c>
      <c r="K98" s="11" t="str">
        <f t="shared" ca="1" si="1"/>
        <v>6 Years</v>
      </c>
      <c r="L98" s="3" cm="1">
        <f t="array" ref="L98">_xlfn.SWITCH(Table13_24[[#This Row],[Performance Score]],"A",6,"B",5,"C",4,"D",3,"E",2,"F",1)</f>
        <v>5</v>
      </c>
    </row>
    <row r="99" spans="1:12" x14ac:dyDescent="0.3">
      <c r="A99" t="s">
        <v>11</v>
      </c>
      <c r="B99">
        <v>50</v>
      </c>
      <c r="C99" s="1">
        <v>70000</v>
      </c>
      <c r="D99" t="s">
        <v>12</v>
      </c>
      <c r="E99" t="s">
        <v>13</v>
      </c>
      <c r="F99" t="s">
        <v>14</v>
      </c>
      <c r="G99" s="11">
        <v>43477</v>
      </c>
      <c r="H99" t="s">
        <v>38</v>
      </c>
      <c r="I99" t="s">
        <v>16</v>
      </c>
      <c r="J99" t="s">
        <v>42</v>
      </c>
      <c r="K99" s="11" t="str">
        <f t="shared" ca="1" si="1"/>
        <v>6 Years</v>
      </c>
      <c r="L99" s="3" cm="1">
        <f t="array" ref="L99">_xlfn.SWITCH(Table13_24[[#This Row],[Performance Score]],"A",6,"B",5,"C",4,"D",3,"E",2,"F",1)</f>
        <v>5</v>
      </c>
    </row>
    <row r="100" spans="1:12" x14ac:dyDescent="0.3">
      <c r="A100" t="s">
        <v>46</v>
      </c>
      <c r="B100">
        <v>35</v>
      </c>
      <c r="C100" s="1">
        <v>60000</v>
      </c>
      <c r="D100" t="s">
        <v>34</v>
      </c>
      <c r="E100" t="s">
        <v>30</v>
      </c>
      <c r="F100" t="s">
        <v>40</v>
      </c>
      <c r="G100" s="11">
        <v>43195</v>
      </c>
      <c r="H100" t="s">
        <v>38</v>
      </c>
      <c r="I100" t="s">
        <v>23</v>
      </c>
      <c r="J100" t="s">
        <v>28</v>
      </c>
      <c r="K100" s="11" t="str">
        <f t="shared" ca="1" si="1"/>
        <v>7 Years</v>
      </c>
      <c r="L100" s="3" cm="1">
        <f t="array" ref="L100">_xlfn.SWITCH(Table13_24[[#This Row],[Performance Score]],"A",6,"B",5,"C",4,"D",3,"E",2,"F",1)</f>
        <v>5</v>
      </c>
    </row>
    <row r="101" spans="1:12" x14ac:dyDescent="0.3">
      <c r="A101" t="s">
        <v>25</v>
      </c>
      <c r="B101">
        <v>30</v>
      </c>
      <c r="C101" s="1">
        <v>70000</v>
      </c>
      <c r="D101" t="s">
        <v>12</v>
      </c>
      <c r="E101" t="s">
        <v>13</v>
      </c>
      <c r="F101" t="s">
        <v>14</v>
      </c>
      <c r="G101" s="11">
        <v>43881</v>
      </c>
      <c r="H101" t="s">
        <v>27</v>
      </c>
      <c r="I101" t="s">
        <v>16</v>
      </c>
      <c r="J101" t="s">
        <v>28</v>
      </c>
      <c r="K101" s="11" t="str">
        <f t="shared" ca="1" si="1"/>
        <v>5 Years</v>
      </c>
      <c r="L101" s="3" cm="1">
        <f t="array" ref="L101">_xlfn.SWITCH(Table13_24[[#This Row],[Performance Score]],"A",6,"B",5,"C",4,"D",3,"E",2,"F",1)</f>
        <v>4</v>
      </c>
    </row>
    <row r="102" spans="1:12" x14ac:dyDescent="0.3">
      <c r="A102" t="s">
        <v>44</v>
      </c>
      <c r="B102">
        <v>25</v>
      </c>
      <c r="C102" s="1">
        <v>65000</v>
      </c>
      <c r="D102" t="s">
        <v>12</v>
      </c>
      <c r="E102" t="s">
        <v>30</v>
      </c>
      <c r="F102" t="s">
        <v>21</v>
      </c>
      <c r="G102" s="11">
        <v>43549</v>
      </c>
      <c r="H102" t="s">
        <v>15</v>
      </c>
      <c r="I102" t="s">
        <v>16</v>
      </c>
      <c r="J102" t="s">
        <v>24</v>
      </c>
      <c r="K102" s="11" t="str">
        <f t="shared" ca="1" si="1"/>
        <v>6 Years</v>
      </c>
      <c r="L102" s="3" cm="1">
        <f t="array" ref="L102">_xlfn.SWITCH(Table13_24[[#This Row],[Performance Score]],"A",6,"B",5,"C",4,"D",3,"E",2,"F",1)</f>
        <v>3</v>
      </c>
    </row>
    <row r="103" spans="1:12" x14ac:dyDescent="0.3">
      <c r="A103" t="s">
        <v>45</v>
      </c>
      <c r="B103">
        <v>50</v>
      </c>
      <c r="C103" s="1">
        <v>50000</v>
      </c>
      <c r="D103" t="s">
        <v>12</v>
      </c>
      <c r="E103" t="s">
        <v>30</v>
      </c>
      <c r="F103" t="s">
        <v>14</v>
      </c>
      <c r="G103" s="11">
        <v>43549</v>
      </c>
      <c r="H103" t="s">
        <v>27</v>
      </c>
      <c r="I103" t="s">
        <v>39</v>
      </c>
      <c r="J103" t="s">
        <v>17</v>
      </c>
      <c r="K103" s="11" t="str">
        <f t="shared" ca="1" si="1"/>
        <v>6 Years</v>
      </c>
      <c r="L103" s="3" cm="1">
        <f t="array" ref="L103">_xlfn.SWITCH(Table13_24[[#This Row],[Performance Score]],"A",6,"B",5,"C",4,"D",3,"E",2,"F",1)</f>
        <v>4</v>
      </c>
    </row>
    <row r="104" spans="1:12" x14ac:dyDescent="0.3">
      <c r="A104" t="s">
        <v>11</v>
      </c>
      <c r="B104">
        <v>35</v>
      </c>
      <c r="C104" s="1">
        <v>65000</v>
      </c>
      <c r="D104" t="s">
        <v>19</v>
      </c>
      <c r="E104" t="s">
        <v>26</v>
      </c>
      <c r="F104" t="s">
        <v>14</v>
      </c>
      <c r="G104" s="11">
        <v>43881</v>
      </c>
      <c r="H104" t="s">
        <v>22</v>
      </c>
      <c r="I104" t="s">
        <v>16</v>
      </c>
      <c r="J104" t="s">
        <v>17</v>
      </c>
      <c r="K104" s="11" t="str">
        <f t="shared" ca="1" si="1"/>
        <v>5 Years</v>
      </c>
      <c r="L104" s="3" cm="1">
        <f t="array" ref="L104">_xlfn.SWITCH(Table13_24[[#This Row],[Performance Score]],"A",6,"B",5,"C",4,"D",3,"E",2,"F",1)</f>
        <v>1</v>
      </c>
    </row>
    <row r="105" spans="1:12" x14ac:dyDescent="0.3">
      <c r="A105" t="s">
        <v>11</v>
      </c>
      <c r="B105">
        <v>30</v>
      </c>
      <c r="C105" s="1">
        <v>60000</v>
      </c>
      <c r="D105" t="s">
        <v>19</v>
      </c>
      <c r="E105" t="s">
        <v>35</v>
      </c>
      <c r="F105" t="s">
        <v>37</v>
      </c>
      <c r="G105" s="11">
        <v>43881</v>
      </c>
      <c r="H105" t="s">
        <v>31</v>
      </c>
      <c r="I105" t="s">
        <v>32</v>
      </c>
      <c r="J105" t="s">
        <v>24</v>
      </c>
      <c r="K105" s="11" t="str">
        <f t="shared" ca="1" si="1"/>
        <v>5 Years</v>
      </c>
      <c r="L105" s="3" cm="1">
        <f t="array" ref="L105">_xlfn.SWITCH(Table13_24[[#This Row],[Performance Score]],"A",6,"B",5,"C",4,"D",3,"E",2,"F",1)</f>
        <v>6</v>
      </c>
    </row>
    <row r="106" spans="1:12" x14ac:dyDescent="0.3">
      <c r="A106" t="s">
        <v>25</v>
      </c>
      <c r="B106">
        <v>30</v>
      </c>
      <c r="C106" s="1">
        <v>60000</v>
      </c>
      <c r="D106" t="s">
        <v>12</v>
      </c>
      <c r="E106" t="s">
        <v>35</v>
      </c>
      <c r="F106" t="s">
        <v>40</v>
      </c>
      <c r="G106" s="11">
        <v>43195</v>
      </c>
      <c r="H106" t="s">
        <v>15</v>
      </c>
      <c r="I106" t="s">
        <v>32</v>
      </c>
      <c r="J106" t="s">
        <v>28</v>
      </c>
      <c r="K106" s="11" t="str">
        <f t="shared" ca="1" si="1"/>
        <v>7 Years</v>
      </c>
      <c r="L106" s="3" cm="1">
        <f t="array" ref="L106">_xlfn.SWITCH(Table13_24[[#This Row],[Performance Score]],"A",6,"B",5,"C",4,"D",3,"E",2,"F",1)</f>
        <v>3</v>
      </c>
    </row>
    <row r="107" spans="1:12" x14ac:dyDescent="0.3">
      <c r="A107" t="s">
        <v>29</v>
      </c>
      <c r="B107">
        <v>50</v>
      </c>
      <c r="C107" s="1">
        <v>65000</v>
      </c>
      <c r="D107" t="s">
        <v>34</v>
      </c>
      <c r="E107" t="s">
        <v>30</v>
      </c>
      <c r="F107" t="s">
        <v>14</v>
      </c>
      <c r="G107" s="11">
        <v>43549</v>
      </c>
      <c r="H107" t="s">
        <v>31</v>
      </c>
      <c r="I107" t="s">
        <v>32</v>
      </c>
      <c r="J107" t="s">
        <v>28</v>
      </c>
      <c r="K107" s="11" t="str">
        <f t="shared" ca="1" si="1"/>
        <v>6 Years</v>
      </c>
      <c r="L107" s="3" cm="1">
        <f t="array" ref="L107">_xlfn.SWITCH(Table13_24[[#This Row],[Performance Score]],"A",6,"B",5,"C",4,"D",3,"E",2,"F",1)</f>
        <v>6</v>
      </c>
    </row>
    <row r="108" spans="1:12" x14ac:dyDescent="0.3">
      <c r="A108" t="s">
        <v>36</v>
      </c>
      <c r="B108">
        <v>36</v>
      </c>
      <c r="C108" s="1">
        <v>70000</v>
      </c>
      <c r="D108" t="s">
        <v>12</v>
      </c>
      <c r="E108" t="s">
        <v>20</v>
      </c>
      <c r="F108" t="s">
        <v>37</v>
      </c>
      <c r="G108" s="11">
        <v>43549</v>
      </c>
      <c r="H108" t="s">
        <v>22</v>
      </c>
      <c r="I108" t="s">
        <v>39</v>
      </c>
      <c r="J108" t="s">
        <v>24</v>
      </c>
      <c r="K108" s="11" t="str">
        <f t="shared" ca="1" si="1"/>
        <v>6 Years</v>
      </c>
      <c r="L108" s="3" cm="1">
        <f t="array" ref="L108">_xlfn.SWITCH(Table13_24[[#This Row],[Performance Score]],"A",6,"B",5,"C",4,"D",3,"E",2,"F",1)</f>
        <v>1</v>
      </c>
    </row>
    <row r="109" spans="1:12" x14ac:dyDescent="0.3">
      <c r="A109" t="s">
        <v>25</v>
      </c>
      <c r="B109">
        <v>25</v>
      </c>
      <c r="C109" s="1">
        <v>70000</v>
      </c>
      <c r="D109" t="s">
        <v>34</v>
      </c>
      <c r="E109" t="s">
        <v>20</v>
      </c>
      <c r="F109" t="s">
        <v>41</v>
      </c>
      <c r="G109" s="11">
        <v>43845</v>
      </c>
      <c r="H109" t="s">
        <v>22</v>
      </c>
      <c r="I109" t="s">
        <v>23</v>
      </c>
      <c r="J109" t="s">
        <v>17</v>
      </c>
      <c r="K109" s="11" t="str">
        <f t="shared" ca="1" si="1"/>
        <v>5 Years</v>
      </c>
      <c r="L109" s="3" cm="1">
        <f t="array" ref="L109">_xlfn.SWITCH(Table13_24[[#This Row],[Performance Score]],"A",6,"B",5,"C",4,"D",3,"E",2,"F",1)</f>
        <v>1</v>
      </c>
    </row>
    <row r="110" spans="1:12" x14ac:dyDescent="0.3">
      <c r="A110" t="s">
        <v>43</v>
      </c>
      <c r="B110">
        <v>30</v>
      </c>
      <c r="C110" s="1">
        <v>51825</v>
      </c>
      <c r="D110" t="s">
        <v>12</v>
      </c>
      <c r="E110" t="s">
        <v>13</v>
      </c>
      <c r="F110" t="s">
        <v>37</v>
      </c>
      <c r="G110" s="11">
        <v>43477</v>
      </c>
      <c r="H110" t="s">
        <v>31</v>
      </c>
      <c r="I110" t="s">
        <v>39</v>
      </c>
      <c r="J110" t="s">
        <v>17</v>
      </c>
      <c r="K110" s="11" t="str">
        <f t="shared" ca="1" si="1"/>
        <v>6 Years</v>
      </c>
      <c r="L110" s="3" cm="1">
        <f t="array" ref="L110">_xlfn.SWITCH(Table13_24[[#This Row],[Performance Score]],"A",6,"B",5,"C",4,"D",3,"E",2,"F",1)</f>
        <v>6</v>
      </c>
    </row>
    <row r="111" spans="1:12" x14ac:dyDescent="0.3">
      <c r="A111" t="s">
        <v>36</v>
      </c>
      <c r="B111">
        <v>50</v>
      </c>
      <c r="C111" s="1">
        <v>60000</v>
      </c>
      <c r="D111" t="s">
        <v>34</v>
      </c>
      <c r="E111" t="s">
        <v>13</v>
      </c>
      <c r="F111" t="s">
        <v>37</v>
      </c>
      <c r="G111" s="11">
        <v>43477</v>
      </c>
      <c r="H111" t="s">
        <v>31</v>
      </c>
      <c r="I111" t="s">
        <v>16</v>
      </c>
      <c r="J111" t="s">
        <v>42</v>
      </c>
      <c r="K111" s="11" t="str">
        <f t="shared" ca="1" si="1"/>
        <v>6 Years</v>
      </c>
      <c r="L111" s="3" cm="1">
        <f t="array" ref="L111">_xlfn.SWITCH(Table13_24[[#This Row],[Performance Score]],"A",6,"B",5,"C",4,"D",3,"E",2,"F",1)</f>
        <v>6</v>
      </c>
    </row>
    <row r="112" spans="1:12" x14ac:dyDescent="0.3">
      <c r="A112" t="s">
        <v>45</v>
      </c>
      <c r="B112">
        <v>50</v>
      </c>
      <c r="C112" s="1">
        <v>55000</v>
      </c>
      <c r="D112" t="s">
        <v>19</v>
      </c>
      <c r="E112" t="s">
        <v>26</v>
      </c>
      <c r="F112" t="s">
        <v>37</v>
      </c>
      <c r="G112" s="11">
        <v>43845</v>
      </c>
      <c r="H112" t="s">
        <v>31</v>
      </c>
      <c r="I112" t="s">
        <v>39</v>
      </c>
      <c r="J112" t="s">
        <v>24</v>
      </c>
      <c r="K112" s="11" t="str">
        <f t="shared" ca="1" si="1"/>
        <v>5 Years</v>
      </c>
      <c r="L112" s="3" cm="1">
        <f t="array" ref="L112">_xlfn.SWITCH(Table13_24[[#This Row],[Performance Score]],"A",6,"B",5,"C",4,"D",3,"E",2,"F",1)</f>
        <v>6</v>
      </c>
    </row>
    <row r="113" spans="1:12" x14ac:dyDescent="0.3">
      <c r="A113" t="s">
        <v>36</v>
      </c>
      <c r="B113">
        <v>35</v>
      </c>
      <c r="C113" s="1">
        <v>50777.202072538857</v>
      </c>
      <c r="D113" t="s">
        <v>34</v>
      </c>
      <c r="E113" t="s">
        <v>30</v>
      </c>
      <c r="F113" t="s">
        <v>14</v>
      </c>
      <c r="G113" s="11">
        <v>43477</v>
      </c>
      <c r="H113" t="s">
        <v>22</v>
      </c>
      <c r="I113" t="s">
        <v>23</v>
      </c>
      <c r="J113" t="s">
        <v>17</v>
      </c>
      <c r="K113" s="11" t="str">
        <f t="shared" ca="1" si="1"/>
        <v>6 Years</v>
      </c>
      <c r="L113" s="3" cm="1">
        <f t="array" ref="L113">_xlfn.SWITCH(Table13_24[[#This Row],[Performance Score]],"A",6,"B",5,"C",4,"D",3,"E",2,"F",1)</f>
        <v>1</v>
      </c>
    </row>
    <row r="114" spans="1:12" x14ac:dyDescent="0.3">
      <c r="A114" t="s">
        <v>29</v>
      </c>
      <c r="B114">
        <v>36</v>
      </c>
      <c r="C114" s="1">
        <v>70000</v>
      </c>
      <c r="D114" t="s">
        <v>12</v>
      </c>
      <c r="E114" t="s">
        <v>13</v>
      </c>
      <c r="F114" t="s">
        <v>14</v>
      </c>
      <c r="G114" s="11">
        <v>43881</v>
      </c>
      <c r="H114" t="s">
        <v>38</v>
      </c>
      <c r="I114" t="s">
        <v>23</v>
      </c>
      <c r="J114" t="s">
        <v>17</v>
      </c>
      <c r="K114" s="11" t="str">
        <f t="shared" ca="1" si="1"/>
        <v>5 Years</v>
      </c>
      <c r="L114" s="3" cm="1">
        <f t="array" ref="L114">_xlfn.SWITCH(Table13_24[[#This Row],[Performance Score]],"A",6,"B",5,"C",4,"D",3,"E",2,"F",1)</f>
        <v>5</v>
      </c>
    </row>
    <row r="115" spans="1:12" x14ac:dyDescent="0.3">
      <c r="A115" t="s">
        <v>36</v>
      </c>
      <c r="B115">
        <v>25</v>
      </c>
      <c r="C115" s="1">
        <v>65000</v>
      </c>
      <c r="D115" t="s">
        <v>19</v>
      </c>
      <c r="E115" t="s">
        <v>13</v>
      </c>
      <c r="F115" t="s">
        <v>41</v>
      </c>
      <c r="G115" s="11">
        <v>43477</v>
      </c>
      <c r="H115" t="s">
        <v>31</v>
      </c>
      <c r="I115" t="s">
        <v>39</v>
      </c>
      <c r="J115" t="s">
        <v>28</v>
      </c>
      <c r="K115" s="11" t="str">
        <f t="shared" ca="1" si="1"/>
        <v>6 Years</v>
      </c>
      <c r="L115" s="3" cm="1">
        <f t="array" ref="L115">_xlfn.SWITCH(Table13_24[[#This Row],[Performance Score]],"A",6,"B",5,"C",4,"D",3,"E",2,"F",1)</f>
        <v>6</v>
      </c>
    </row>
    <row r="116" spans="1:12" x14ac:dyDescent="0.3">
      <c r="A116" t="s">
        <v>45</v>
      </c>
      <c r="B116">
        <v>40</v>
      </c>
      <c r="C116" s="1">
        <v>70000</v>
      </c>
      <c r="D116" t="s">
        <v>34</v>
      </c>
      <c r="E116" t="s">
        <v>30</v>
      </c>
      <c r="F116" t="s">
        <v>21</v>
      </c>
      <c r="G116" s="11">
        <v>43477</v>
      </c>
      <c r="H116" t="s">
        <v>15</v>
      </c>
      <c r="I116" t="s">
        <v>32</v>
      </c>
      <c r="J116" t="s">
        <v>42</v>
      </c>
      <c r="K116" s="11" t="str">
        <f t="shared" ca="1" si="1"/>
        <v>6 Years</v>
      </c>
      <c r="L116" s="3" cm="1">
        <f t="array" ref="L116">_xlfn.SWITCH(Table13_24[[#This Row],[Performance Score]],"A",6,"B",5,"C",4,"D",3,"E",2,"F",1)</f>
        <v>3</v>
      </c>
    </row>
    <row r="117" spans="1:12" x14ac:dyDescent="0.3">
      <c r="A117" t="s">
        <v>29</v>
      </c>
      <c r="B117">
        <v>35</v>
      </c>
      <c r="C117" s="1">
        <v>65000</v>
      </c>
      <c r="D117" t="s">
        <v>34</v>
      </c>
      <c r="E117" t="s">
        <v>26</v>
      </c>
      <c r="F117" t="s">
        <v>21</v>
      </c>
      <c r="G117" s="11">
        <v>43845</v>
      </c>
      <c r="H117" t="s">
        <v>22</v>
      </c>
      <c r="I117" t="s">
        <v>32</v>
      </c>
      <c r="J117" t="s">
        <v>24</v>
      </c>
      <c r="K117" s="11" t="str">
        <f t="shared" ca="1" si="1"/>
        <v>5 Years</v>
      </c>
      <c r="L117" s="3" cm="1">
        <f t="array" ref="L117">_xlfn.SWITCH(Table13_24[[#This Row],[Performance Score]],"A",6,"B",5,"C",4,"D",3,"E",2,"F",1)</f>
        <v>1</v>
      </c>
    </row>
    <row r="118" spans="1:12" x14ac:dyDescent="0.3">
      <c r="A118" t="s">
        <v>33</v>
      </c>
      <c r="B118">
        <v>30</v>
      </c>
      <c r="C118" s="1">
        <v>51825</v>
      </c>
      <c r="D118" t="s">
        <v>34</v>
      </c>
      <c r="E118" t="s">
        <v>13</v>
      </c>
      <c r="F118" t="s">
        <v>21</v>
      </c>
      <c r="G118" s="11">
        <v>43195</v>
      </c>
      <c r="H118" t="s">
        <v>27</v>
      </c>
      <c r="I118" t="s">
        <v>23</v>
      </c>
      <c r="J118" t="s">
        <v>28</v>
      </c>
      <c r="K118" s="11" t="str">
        <f t="shared" ca="1" si="1"/>
        <v>7 Years</v>
      </c>
      <c r="L118" s="3" cm="1">
        <f t="array" ref="L118">_xlfn.SWITCH(Table13_24[[#This Row],[Performance Score]],"A",6,"B",5,"C",4,"D",3,"E",2,"F",1)</f>
        <v>4</v>
      </c>
    </row>
    <row r="119" spans="1:12" x14ac:dyDescent="0.3">
      <c r="A119" t="s">
        <v>11</v>
      </c>
      <c r="B119">
        <v>30</v>
      </c>
      <c r="C119" s="1">
        <v>60000</v>
      </c>
      <c r="D119" t="s">
        <v>34</v>
      </c>
      <c r="E119" t="s">
        <v>26</v>
      </c>
      <c r="F119" t="s">
        <v>41</v>
      </c>
      <c r="G119" s="11">
        <v>43477</v>
      </c>
      <c r="H119" t="s">
        <v>27</v>
      </c>
      <c r="I119" t="s">
        <v>39</v>
      </c>
      <c r="J119" t="s">
        <v>28</v>
      </c>
      <c r="K119" s="11" t="str">
        <f t="shared" ca="1" si="1"/>
        <v>6 Years</v>
      </c>
      <c r="L119" s="3" cm="1">
        <f t="array" ref="L119">_xlfn.SWITCH(Table13_24[[#This Row],[Performance Score]],"A",6,"B",5,"C",4,"D",3,"E",2,"F",1)</f>
        <v>4</v>
      </c>
    </row>
    <row r="120" spans="1:12" x14ac:dyDescent="0.3">
      <c r="A120" t="s">
        <v>11</v>
      </c>
      <c r="B120">
        <v>35</v>
      </c>
      <c r="C120" s="1">
        <v>70000</v>
      </c>
      <c r="D120" t="s">
        <v>34</v>
      </c>
      <c r="E120" t="s">
        <v>35</v>
      </c>
      <c r="F120" t="s">
        <v>21</v>
      </c>
      <c r="G120" s="11">
        <v>43477</v>
      </c>
      <c r="H120" t="s">
        <v>15</v>
      </c>
      <c r="I120" t="s">
        <v>39</v>
      </c>
      <c r="J120" t="s">
        <v>17</v>
      </c>
      <c r="K120" s="11" t="str">
        <f t="shared" ca="1" si="1"/>
        <v>6 Years</v>
      </c>
      <c r="L120" s="3" cm="1">
        <f t="array" ref="L120">_xlfn.SWITCH(Table13_24[[#This Row],[Performance Score]],"A",6,"B",5,"C",4,"D",3,"E",2,"F",1)</f>
        <v>3</v>
      </c>
    </row>
    <row r="121" spans="1:12" x14ac:dyDescent="0.3">
      <c r="A121" t="s">
        <v>46</v>
      </c>
      <c r="B121">
        <v>50</v>
      </c>
      <c r="C121" s="1">
        <v>65000</v>
      </c>
      <c r="D121" t="s">
        <v>19</v>
      </c>
      <c r="E121" t="s">
        <v>26</v>
      </c>
      <c r="F121" t="s">
        <v>21</v>
      </c>
      <c r="G121" s="11">
        <v>43195</v>
      </c>
      <c r="H121" t="s">
        <v>38</v>
      </c>
      <c r="I121" t="s">
        <v>16</v>
      </c>
      <c r="J121" t="s">
        <v>17</v>
      </c>
      <c r="K121" s="11" t="str">
        <f t="shared" ca="1" si="1"/>
        <v>7 Years</v>
      </c>
      <c r="L121" s="3" cm="1">
        <f t="array" ref="L121">_xlfn.SWITCH(Table13_24[[#This Row],[Performance Score]],"A",6,"B",5,"C",4,"D",3,"E",2,"F",1)</f>
        <v>5</v>
      </c>
    </row>
    <row r="122" spans="1:12" x14ac:dyDescent="0.3">
      <c r="A122" t="s">
        <v>33</v>
      </c>
      <c r="B122">
        <v>30</v>
      </c>
      <c r="C122" s="1">
        <v>60000</v>
      </c>
      <c r="D122" t="s">
        <v>19</v>
      </c>
      <c r="E122" t="s">
        <v>20</v>
      </c>
      <c r="F122" t="s">
        <v>37</v>
      </c>
      <c r="G122" s="11">
        <v>43845</v>
      </c>
      <c r="H122" t="s">
        <v>31</v>
      </c>
      <c r="I122" t="s">
        <v>32</v>
      </c>
      <c r="J122" t="s">
        <v>24</v>
      </c>
      <c r="K122" s="11" t="str">
        <f t="shared" ca="1" si="1"/>
        <v>5 Years</v>
      </c>
      <c r="L122" s="3" cm="1">
        <f t="array" ref="L122">_xlfn.SWITCH(Table13_24[[#This Row],[Performance Score]],"A",6,"B",5,"C",4,"D",3,"E",2,"F",1)</f>
        <v>6</v>
      </c>
    </row>
    <row r="123" spans="1:12" x14ac:dyDescent="0.3">
      <c r="A123" t="s">
        <v>33</v>
      </c>
      <c r="B123">
        <v>36</v>
      </c>
      <c r="C123" s="1">
        <v>55000</v>
      </c>
      <c r="D123" t="s">
        <v>19</v>
      </c>
      <c r="E123" t="s">
        <v>20</v>
      </c>
      <c r="F123" t="s">
        <v>14</v>
      </c>
      <c r="G123" s="11">
        <v>43195</v>
      </c>
      <c r="H123" t="s">
        <v>22</v>
      </c>
      <c r="I123" t="s">
        <v>23</v>
      </c>
      <c r="J123" t="s">
        <v>24</v>
      </c>
      <c r="K123" s="11" t="str">
        <f t="shared" ca="1" si="1"/>
        <v>7 Years</v>
      </c>
      <c r="L123" s="3" cm="1">
        <f t="array" ref="L123">_xlfn.SWITCH(Table13_24[[#This Row],[Performance Score]],"A",6,"B",5,"C",4,"D",3,"E",2,"F",1)</f>
        <v>1</v>
      </c>
    </row>
    <row r="124" spans="1:12" x14ac:dyDescent="0.3">
      <c r="A124" t="s">
        <v>36</v>
      </c>
      <c r="B124">
        <v>25</v>
      </c>
      <c r="C124" s="1">
        <v>65000</v>
      </c>
      <c r="D124" t="s">
        <v>19</v>
      </c>
      <c r="E124" t="s">
        <v>26</v>
      </c>
      <c r="F124" t="s">
        <v>14</v>
      </c>
      <c r="G124" s="11">
        <v>43845</v>
      </c>
      <c r="H124" t="s">
        <v>31</v>
      </c>
      <c r="I124" t="s">
        <v>39</v>
      </c>
      <c r="J124" t="s">
        <v>24</v>
      </c>
      <c r="K124" s="11" t="str">
        <f t="shared" ca="1" si="1"/>
        <v>5 Years</v>
      </c>
      <c r="L124" s="3" cm="1">
        <f t="array" ref="L124">_xlfn.SWITCH(Table13_24[[#This Row],[Performance Score]],"A",6,"B",5,"C",4,"D",3,"E",2,"F",1)</f>
        <v>6</v>
      </c>
    </row>
    <row r="125" spans="1:12" x14ac:dyDescent="0.3">
      <c r="A125" t="s">
        <v>11</v>
      </c>
      <c r="B125">
        <v>36</v>
      </c>
      <c r="C125" s="1">
        <v>48417.431192660551</v>
      </c>
      <c r="D125" t="s">
        <v>12</v>
      </c>
      <c r="E125" t="s">
        <v>20</v>
      </c>
      <c r="F125" t="s">
        <v>37</v>
      </c>
      <c r="G125" s="11">
        <v>43881</v>
      </c>
      <c r="H125" t="s">
        <v>22</v>
      </c>
      <c r="I125" t="s">
        <v>32</v>
      </c>
      <c r="J125" t="s">
        <v>28</v>
      </c>
      <c r="K125" s="11" t="str">
        <f t="shared" ca="1" si="1"/>
        <v>5 Years</v>
      </c>
      <c r="L125" s="3" cm="1">
        <f t="array" ref="L125">_xlfn.SWITCH(Table13_24[[#This Row],[Performance Score]],"A",6,"B",5,"C",4,"D",3,"E",2,"F",1)</f>
        <v>1</v>
      </c>
    </row>
    <row r="126" spans="1:12" x14ac:dyDescent="0.3">
      <c r="A126" t="s">
        <v>45</v>
      </c>
      <c r="B126">
        <v>30</v>
      </c>
      <c r="C126" s="1">
        <v>55000</v>
      </c>
      <c r="D126" t="s">
        <v>19</v>
      </c>
      <c r="E126" t="s">
        <v>35</v>
      </c>
      <c r="F126" t="s">
        <v>37</v>
      </c>
      <c r="G126" s="11">
        <v>43845</v>
      </c>
      <c r="H126" t="s">
        <v>27</v>
      </c>
      <c r="I126" t="s">
        <v>16</v>
      </c>
      <c r="J126" t="s">
        <v>17</v>
      </c>
      <c r="K126" s="11" t="str">
        <f t="shared" ca="1" si="1"/>
        <v>5 Years</v>
      </c>
      <c r="L126" s="3" cm="1">
        <f t="array" ref="L126">_xlfn.SWITCH(Table13_24[[#This Row],[Performance Score]],"A",6,"B",5,"C",4,"D",3,"E",2,"F",1)</f>
        <v>4</v>
      </c>
    </row>
    <row r="127" spans="1:12" x14ac:dyDescent="0.3">
      <c r="A127" t="s">
        <v>18</v>
      </c>
      <c r="B127">
        <v>40</v>
      </c>
      <c r="C127" s="1">
        <v>55000</v>
      </c>
      <c r="D127" t="s">
        <v>34</v>
      </c>
      <c r="E127" t="s">
        <v>30</v>
      </c>
      <c r="F127" t="s">
        <v>37</v>
      </c>
      <c r="G127" s="11">
        <v>43881</v>
      </c>
      <c r="H127" t="s">
        <v>31</v>
      </c>
      <c r="I127" t="s">
        <v>39</v>
      </c>
      <c r="J127" t="s">
        <v>42</v>
      </c>
      <c r="K127" s="11" t="str">
        <f t="shared" ca="1" si="1"/>
        <v>5 Years</v>
      </c>
      <c r="L127" s="3" cm="1">
        <f t="array" ref="L127">_xlfn.SWITCH(Table13_24[[#This Row],[Performance Score]],"A",6,"B",5,"C",4,"D",3,"E",2,"F",1)</f>
        <v>6</v>
      </c>
    </row>
    <row r="128" spans="1:12" x14ac:dyDescent="0.3">
      <c r="A128" t="s">
        <v>18</v>
      </c>
      <c r="B128">
        <v>25</v>
      </c>
      <c r="C128" s="1">
        <v>50000</v>
      </c>
      <c r="D128" t="s">
        <v>34</v>
      </c>
      <c r="E128" t="s">
        <v>20</v>
      </c>
      <c r="F128" t="s">
        <v>14</v>
      </c>
      <c r="G128" s="11">
        <v>43881</v>
      </c>
      <c r="H128" t="s">
        <v>15</v>
      </c>
      <c r="I128" t="s">
        <v>23</v>
      </c>
      <c r="J128" t="s">
        <v>28</v>
      </c>
      <c r="K128" s="11" t="str">
        <f t="shared" ca="1" si="1"/>
        <v>5 Years</v>
      </c>
      <c r="L128" s="3" cm="1">
        <f t="array" ref="L128">_xlfn.SWITCH(Table13_24[[#This Row],[Performance Score]],"A",6,"B",5,"C",4,"D",3,"E",2,"F",1)</f>
        <v>3</v>
      </c>
    </row>
    <row r="129" spans="1:12" x14ac:dyDescent="0.3">
      <c r="A129" t="s">
        <v>29</v>
      </c>
      <c r="B129">
        <v>25</v>
      </c>
      <c r="C129" s="1">
        <v>70000</v>
      </c>
      <c r="D129" t="s">
        <v>19</v>
      </c>
      <c r="E129" t="s">
        <v>20</v>
      </c>
      <c r="F129" t="s">
        <v>21</v>
      </c>
      <c r="G129" s="11">
        <v>43845</v>
      </c>
      <c r="H129" t="s">
        <v>38</v>
      </c>
      <c r="I129" t="s">
        <v>32</v>
      </c>
      <c r="J129" t="s">
        <v>42</v>
      </c>
      <c r="K129" s="11" t="str">
        <f t="shared" ca="1" si="1"/>
        <v>5 Years</v>
      </c>
      <c r="L129" s="3" cm="1">
        <f t="array" ref="L129">_xlfn.SWITCH(Table13_24[[#This Row],[Performance Score]],"A",6,"B",5,"C",4,"D",3,"E",2,"F",1)</f>
        <v>5</v>
      </c>
    </row>
    <row r="130" spans="1:12" x14ac:dyDescent="0.3">
      <c r="A130" t="s">
        <v>11</v>
      </c>
      <c r="B130">
        <v>35</v>
      </c>
      <c r="C130" s="1">
        <v>65000</v>
      </c>
      <c r="D130" t="s">
        <v>34</v>
      </c>
      <c r="E130" t="s">
        <v>26</v>
      </c>
      <c r="F130" t="s">
        <v>37</v>
      </c>
      <c r="G130" s="11">
        <v>43549</v>
      </c>
      <c r="H130" t="s">
        <v>15</v>
      </c>
      <c r="I130" t="s">
        <v>39</v>
      </c>
      <c r="J130" t="s">
        <v>17</v>
      </c>
      <c r="K130" s="11" t="str">
        <f t="shared" ca="1" si="1"/>
        <v>6 Years</v>
      </c>
      <c r="L130" s="3" cm="1">
        <f t="array" ref="L130">_xlfn.SWITCH(Table13_24[[#This Row],[Performance Score]],"A",6,"B",5,"C",4,"D",3,"E",2,"F",1)</f>
        <v>3</v>
      </c>
    </row>
    <row r="131" spans="1:12" x14ac:dyDescent="0.3">
      <c r="A131" t="s">
        <v>11</v>
      </c>
      <c r="B131">
        <v>35</v>
      </c>
      <c r="C131" s="1">
        <v>55000</v>
      </c>
      <c r="D131" t="s">
        <v>19</v>
      </c>
      <c r="E131" t="s">
        <v>35</v>
      </c>
      <c r="F131" t="s">
        <v>41</v>
      </c>
      <c r="G131" s="11">
        <v>43845</v>
      </c>
      <c r="H131" t="s">
        <v>38</v>
      </c>
      <c r="I131" t="s">
        <v>16</v>
      </c>
      <c r="J131" t="s">
        <v>17</v>
      </c>
      <c r="K131" s="11" t="str">
        <f t="shared" ref="K131:K194" ca="1" si="2">DATEDIF(G131,TODAY(),"Y") &amp; " Years"</f>
        <v>5 Years</v>
      </c>
      <c r="L131" s="3" cm="1">
        <f t="array" ref="L131">_xlfn.SWITCH(Table13_24[[#This Row],[Performance Score]],"A",6,"B",5,"C",4,"D",3,"E",2,"F",1)</f>
        <v>5</v>
      </c>
    </row>
    <row r="132" spans="1:12" x14ac:dyDescent="0.3">
      <c r="A132" t="s">
        <v>18</v>
      </c>
      <c r="B132">
        <v>40</v>
      </c>
      <c r="C132" s="1">
        <v>50000</v>
      </c>
      <c r="D132" t="s">
        <v>34</v>
      </c>
      <c r="E132" t="s">
        <v>30</v>
      </c>
      <c r="F132" t="s">
        <v>37</v>
      </c>
      <c r="G132" s="11">
        <v>43477</v>
      </c>
      <c r="H132" t="s">
        <v>31</v>
      </c>
      <c r="I132" t="s">
        <v>16</v>
      </c>
      <c r="J132" t="s">
        <v>24</v>
      </c>
      <c r="K132" s="11" t="str">
        <f t="shared" ca="1" si="2"/>
        <v>6 Years</v>
      </c>
      <c r="L132" s="3" cm="1">
        <f t="array" ref="L132">_xlfn.SWITCH(Table13_24[[#This Row],[Performance Score]],"A",6,"B",5,"C",4,"D",3,"E",2,"F",1)</f>
        <v>6</v>
      </c>
    </row>
    <row r="133" spans="1:12" x14ac:dyDescent="0.3">
      <c r="A133" t="s">
        <v>11</v>
      </c>
      <c r="B133">
        <v>50</v>
      </c>
      <c r="C133" s="1">
        <v>50742.574257425746</v>
      </c>
      <c r="D133" t="s">
        <v>12</v>
      </c>
      <c r="E133" t="s">
        <v>26</v>
      </c>
      <c r="F133" t="s">
        <v>40</v>
      </c>
      <c r="G133" s="11">
        <v>43477</v>
      </c>
      <c r="H133" t="s">
        <v>31</v>
      </c>
      <c r="I133" t="s">
        <v>32</v>
      </c>
      <c r="J133" t="s">
        <v>42</v>
      </c>
      <c r="K133" s="11" t="str">
        <f t="shared" ca="1" si="2"/>
        <v>6 Years</v>
      </c>
      <c r="L133" s="3" cm="1">
        <f t="array" ref="L133">_xlfn.SWITCH(Table13_24[[#This Row],[Performance Score]],"A",6,"B",5,"C",4,"D",3,"E",2,"F",1)</f>
        <v>6</v>
      </c>
    </row>
    <row r="134" spans="1:12" x14ac:dyDescent="0.3">
      <c r="A134" t="s">
        <v>36</v>
      </c>
      <c r="B134">
        <v>25</v>
      </c>
      <c r="C134" s="1">
        <v>60000</v>
      </c>
      <c r="D134" t="s">
        <v>12</v>
      </c>
      <c r="E134" t="s">
        <v>26</v>
      </c>
      <c r="F134" t="s">
        <v>37</v>
      </c>
      <c r="G134" s="11">
        <v>43549</v>
      </c>
      <c r="H134" t="s">
        <v>38</v>
      </c>
      <c r="I134" t="s">
        <v>39</v>
      </c>
      <c r="J134" t="s">
        <v>28</v>
      </c>
      <c r="K134" s="11" t="str">
        <f t="shared" ca="1" si="2"/>
        <v>6 Years</v>
      </c>
      <c r="L134" s="3" cm="1">
        <f t="array" ref="L134">_xlfn.SWITCH(Table13_24[[#This Row],[Performance Score]],"A",6,"B",5,"C",4,"D",3,"E",2,"F",1)</f>
        <v>5</v>
      </c>
    </row>
    <row r="135" spans="1:12" x14ac:dyDescent="0.3">
      <c r="A135" t="s">
        <v>43</v>
      </c>
      <c r="B135">
        <v>40</v>
      </c>
      <c r="C135" s="1">
        <v>65000</v>
      </c>
      <c r="D135" t="s">
        <v>19</v>
      </c>
      <c r="E135" t="s">
        <v>35</v>
      </c>
      <c r="F135" t="s">
        <v>14</v>
      </c>
      <c r="G135" s="11">
        <v>43881</v>
      </c>
      <c r="H135" t="s">
        <v>27</v>
      </c>
      <c r="I135" t="s">
        <v>16</v>
      </c>
      <c r="J135" t="s">
        <v>42</v>
      </c>
      <c r="K135" s="11" t="str">
        <f t="shared" ca="1" si="2"/>
        <v>5 Years</v>
      </c>
      <c r="L135" s="3" cm="1">
        <f t="array" ref="L135">_xlfn.SWITCH(Table13_24[[#This Row],[Performance Score]],"A",6,"B",5,"C",4,"D",3,"E",2,"F",1)</f>
        <v>4</v>
      </c>
    </row>
    <row r="136" spans="1:12" x14ac:dyDescent="0.3">
      <c r="A136" t="s">
        <v>44</v>
      </c>
      <c r="B136">
        <v>35</v>
      </c>
      <c r="C136" s="1">
        <v>55000</v>
      </c>
      <c r="D136" t="s">
        <v>19</v>
      </c>
      <c r="E136" t="s">
        <v>30</v>
      </c>
      <c r="F136" t="s">
        <v>37</v>
      </c>
      <c r="G136" s="11">
        <v>43549</v>
      </c>
      <c r="H136" t="s">
        <v>22</v>
      </c>
      <c r="I136" t="s">
        <v>23</v>
      </c>
      <c r="J136" t="s">
        <v>17</v>
      </c>
      <c r="K136" s="11" t="str">
        <f t="shared" ca="1" si="2"/>
        <v>6 Years</v>
      </c>
      <c r="L136" s="3" cm="1">
        <f t="array" ref="L136">_xlfn.SWITCH(Table13_24[[#This Row],[Performance Score]],"A",6,"B",5,"C",4,"D",3,"E",2,"F",1)</f>
        <v>1</v>
      </c>
    </row>
    <row r="137" spans="1:12" x14ac:dyDescent="0.3">
      <c r="A137" t="s">
        <v>33</v>
      </c>
      <c r="B137">
        <v>35</v>
      </c>
      <c r="C137" s="1">
        <v>70000</v>
      </c>
      <c r="D137" t="s">
        <v>19</v>
      </c>
      <c r="E137" t="s">
        <v>35</v>
      </c>
      <c r="F137" t="s">
        <v>40</v>
      </c>
      <c r="G137" s="11">
        <v>43477</v>
      </c>
      <c r="H137" t="s">
        <v>15</v>
      </c>
      <c r="I137" t="s">
        <v>16</v>
      </c>
      <c r="J137" t="s">
        <v>24</v>
      </c>
      <c r="K137" s="11" t="str">
        <f t="shared" ca="1" si="2"/>
        <v>6 Years</v>
      </c>
      <c r="L137" s="3" cm="1">
        <f t="array" ref="L137">_xlfn.SWITCH(Table13_24[[#This Row],[Performance Score]],"A",6,"B",5,"C",4,"D",3,"E",2,"F",1)</f>
        <v>3</v>
      </c>
    </row>
    <row r="138" spans="1:12" x14ac:dyDescent="0.3">
      <c r="A138" t="s">
        <v>46</v>
      </c>
      <c r="B138">
        <v>25</v>
      </c>
      <c r="C138" s="1">
        <v>50000</v>
      </c>
      <c r="D138" t="s">
        <v>34</v>
      </c>
      <c r="E138" t="s">
        <v>30</v>
      </c>
      <c r="F138" t="s">
        <v>41</v>
      </c>
      <c r="G138" s="11">
        <v>43549</v>
      </c>
      <c r="H138" t="s">
        <v>15</v>
      </c>
      <c r="I138" t="s">
        <v>39</v>
      </c>
      <c r="J138" t="s">
        <v>42</v>
      </c>
      <c r="K138" s="11" t="str">
        <f t="shared" ca="1" si="2"/>
        <v>6 Years</v>
      </c>
      <c r="L138" s="3" cm="1">
        <f t="array" ref="L138">_xlfn.SWITCH(Table13_24[[#This Row],[Performance Score]],"A",6,"B",5,"C",4,"D",3,"E",2,"F",1)</f>
        <v>3</v>
      </c>
    </row>
    <row r="139" spans="1:12" x14ac:dyDescent="0.3">
      <c r="A139" t="s">
        <v>29</v>
      </c>
      <c r="B139">
        <v>36</v>
      </c>
      <c r="C139" s="1">
        <v>55000</v>
      </c>
      <c r="D139" t="s">
        <v>19</v>
      </c>
      <c r="E139" t="s">
        <v>35</v>
      </c>
      <c r="F139" t="s">
        <v>21</v>
      </c>
      <c r="G139" s="11">
        <v>43845</v>
      </c>
      <c r="H139" t="s">
        <v>15</v>
      </c>
      <c r="I139" t="s">
        <v>39</v>
      </c>
      <c r="J139" t="s">
        <v>17</v>
      </c>
      <c r="K139" s="11" t="str">
        <f t="shared" ca="1" si="2"/>
        <v>5 Years</v>
      </c>
      <c r="L139" s="3" cm="1">
        <f t="array" ref="L139">_xlfn.SWITCH(Table13_24[[#This Row],[Performance Score]],"A",6,"B",5,"C",4,"D",3,"E",2,"F",1)</f>
        <v>3</v>
      </c>
    </row>
    <row r="140" spans="1:12" x14ac:dyDescent="0.3">
      <c r="A140" t="s">
        <v>43</v>
      </c>
      <c r="B140">
        <v>30</v>
      </c>
      <c r="C140" s="1">
        <v>70000</v>
      </c>
      <c r="D140" t="s">
        <v>12</v>
      </c>
      <c r="E140" t="s">
        <v>26</v>
      </c>
      <c r="F140" t="s">
        <v>37</v>
      </c>
      <c r="G140" s="11">
        <v>43549</v>
      </c>
      <c r="H140" t="s">
        <v>31</v>
      </c>
      <c r="I140" t="s">
        <v>39</v>
      </c>
      <c r="J140" t="s">
        <v>28</v>
      </c>
      <c r="K140" s="11" t="str">
        <f t="shared" ca="1" si="2"/>
        <v>6 Years</v>
      </c>
      <c r="L140" s="3" cm="1">
        <f t="array" ref="L140">_xlfn.SWITCH(Table13_24[[#This Row],[Performance Score]],"A",6,"B",5,"C",4,"D",3,"E",2,"F",1)</f>
        <v>6</v>
      </c>
    </row>
    <row r="141" spans="1:12" x14ac:dyDescent="0.3">
      <c r="A141" t="s">
        <v>18</v>
      </c>
      <c r="B141">
        <v>35</v>
      </c>
      <c r="C141" s="1">
        <v>55000</v>
      </c>
      <c r="D141" t="s">
        <v>34</v>
      </c>
      <c r="E141" t="s">
        <v>26</v>
      </c>
      <c r="F141" t="s">
        <v>40</v>
      </c>
      <c r="G141" s="11">
        <v>43881</v>
      </c>
      <c r="H141" t="s">
        <v>15</v>
      </c>
      <c r="I141" t="s">
        <v>32</v>
      </c>
      <c r="J141" t="s">
        <v>17</v>
      </c>
      <c r="K141" s="11" t="str">
        <f t="shared" ca="1" si="2"/>
        <v>5 Years</v>
      </c>
      <c r="L141" s="3" cm="1">
        <f t="array" ref="L141">_xlfn.SWITCH(Table13_24[[#This Row],[Performance Score]],"A",6,"B",5,"C",4,"D",3,"E",2,"F",1)</f>
        <v>3</v>
      </c>
    </row>
    <row r="142" spans="1:12" x14ac:dyDescent="0.3">
      <c r="A142" t="s">
        <v>33</v>
      </c>
      <c r="B142">
        <v>50</v>
      </c>
      <c r="C142" s="1">
        <v>65000</v>
      </c>
      <c r="D142" t="s">
        <v>19</v>
      </c>
      <c r="E142" t="s">
        <v>13</v>
      </c>
      <c r="F142" t="s">
        <v>40</v>
      </c>
      <c r="G142" s="11">
        <v>43845</v>
      </c>
      <c r="H142" t="s">
        <v>22</v>
      </c>
      <c r="I142" t="s">
        <v>39</v>
      </c>
      <c r="J142" t="s">
        <v>28</v>
      </c>
      <c r="K142" s="11" t="str">
        <f t="shared" ca="1" si="2"/>
        <v>5 Years</v>
      </c>
      <c r="L142" s="3" cm="1">
        <f t="array" ref="L142">_xlfn.SWITCH(Table13_24[[#This Row],[Performance Score]],"A",6,"B",5,"C",4,"D",3,"E",2,"F",1)</f>
        <v>1</v>
      </c>
    </row>
    <row r="143" spans="1:12" x14ac:dyDescent="0.3">
      <c r="A143" t="s">
        <v>11</v>
      </c>
      <c r="B143">
        <v>50</v>
      </c>
      <c r="C143" s="1">
        <v>65000</v>
      </c>
      <c r="D143" t="s">
        <v>34</v>
      </c>
      <c r="E143" t="s">
        <v>20</v>
      </c>
      <c r="F143" t="s">
        <v>41</v>
      </c>
      <c r="G143" s="11">
        <v>43195</v>
      </c>
      <c r="H143" t="s">
        <v>22</v>
      </c>
      <c r="I143" t="s">
        <v>16</v>
      </c>
      <c r="J143" t="s">
        <v>24</v>
      </c>
      <c r="K143" s="11" t="str">
        <f t="shared" ca="1" si="2"/>
        <v>7 Years</v>
      </c>
      <c r="L143" s="3" cm="1">
        <f t="array" ref="L143">_xlfn.SWITCH(Table13_24[[#This Row],[Performance Score]],"A",6,"B",5,"C",4,"D",3,"E",2,"F",1)</f>
        <v>1</v>
      </c>
    </row>
    <row r="144" spans="1:12" x14ac:dyDescent="0.3">
      <c r="A144" t="s">
        <v>46</v>
      </c>
      <c r="B144">
        <v>35</v>
      </c>
      <c r="C144" s="1">
        <v>65000</v>
      </c>
      <c r="D144" t="s">
        <v>34</v>
      </c>
      <c r="E144" t="s">
        <v>35</v>
      </c>
      <c r="F144" t="s">
        <v>14</v>
      </c>
      <c r="G144" s="11">
        <v>43477</v>
      </c>
      <c r="H144" t="s">
        <v>38</v>
      </c>
      <c r="I144" t="s">
        <v>16</v>
      </c>
      <c r="J144" t="s">
        <v>28</v>
      </c>
      <c r="K144" s="11" t="str">
        <f t="shared" ca="1" si="2"/>
        <v>6 Years</v>
      </c>
      <c r="L144" s="3" cm="1">
        <f t="array" ref="L144">_xlfn.SWITCH(Table13_24[[#This Row],[Performance Score]],"A",6,"B",5,"C",4,"D",3,"E",2,"F",1)</f>
        <v>5</v>
      </c>
    </row>
    <row r="145" spans="1:12" x14ac:dyDescent="0.3">
      <c r="A145" t="s">
        <v>11</v>
      </c>
      <c r="B145">
        <v>36</v>
      </c>
      <c r="C145" s="1">
        <v>51825</v>
      </c>
      <c r="D145" t="s">
        <v>19</v>
      </c>
      <c r="E145" t="s">
        <v>13</v>
      </c>
      <c r="F145" t="s">
        <v>37</v>
      </c>
      <c r="G145" s="11">
        <v>43477</v>
      </c>
      <c r="H145" t="s">
        <v>31</v>
      </c>
      <c r="I145" t="s">
        <v>39</v>
      </c>
      <c r="J145" t="s">
        <v>28</v>
      </c>
      <c r="K145" s="11" t="str">
        <f t="shared" ca="1" si="2"/>
        <v>6 Years</v>
      </c>
      <c r="L145" s="3" cm="1">
        <f t="array" ref="L145">_xlfn.SWITCH(Table13_24[[#This Row],[Performance Score]],"A",6,"B",5,"C",4,"D",3,"E",2,"F",1)</f>
        <v>6</v>
      </c>
    </row>
    <row r="146" spans="1:12" x14ac:dyDescent="0.3">
      <c r="A146" t="s">
        <v>45</v>
      </c>
      <c r="B146">
        <v>36</v>
      </c>
      <c r="C146" s="1">
        <v>48417.431192660551</v>
      </c>
      <c r="D146" t="s">
        <v>34</v>
      </c>
      <c r="E146" t="s">
        <v>20</v>
      </c>
      <c r="F146" t="s">
        <v>40</v>
      </c>
      <c r="G146" s="11">
        <v>43549</v>
      </c>
      <c r="H146" t="s">
        <v>22</v>
      </c>
      <c r="I146" t="s">
        <v>39</v>
      </c>
      <c r="J146" t="s">
        <v>28</v>
      </c>
      <c r="K146" s="11" t="str">
        <f t="shared" ca="1" si="2"/>
        <v>6 Years</v>
      </c>
      <c r="L146" s="3" cm="1">
        <f t="array" ref="L146">_xlfn.SWITCH(Table13_24[[#This Row],[Performance Score]],"A",6,"B",5,"C",4,"D",3,"E",2,"F",1)</f>
        <v>1</v>
      </c>
    </row>
    <row r="147" spans="1:12" x14ac:dyDescent="0.3">
      <c r="A147" t="s">
        <v>45</v>
      </c>
      <c r="B147">
        <v>40</v>
      </c>
      <c r="C147" s="1">
        <v>50000</v>
      </c>
      <c r="D147" t="s">
        <v>12</v>
      </c>
      <c r="E147" t="s">
        <v>35</v>
      </c>
      <c r="F147" t="s">
        <v>41</v>
      </c>
      <c r="G147" s="11">
        <v>43845</v>
      </c>
      <c r="H147" t="s">
        <v>27</v>
      </c>
      <c r="I147" t="s">
        <v>23</v>
      </c>
      <c r="J147" t="s">
        <v>28</v>
      </c>
      <c r="K147" s="11" t="str">
        <f t="shared" ca="1" si="2"/>
        <v>5 Years</v>
      </c>
      <c r="L147" s="3" cm="1">
        <f t="array" ref="L147">_xlfn.SWITCH(Table13_24[[#This Row],[Performance Score]],"A",6,"B",5,"C",4,"D",3,"E",2,"F",1)</f>
        <v>4</v>
      </c>
    </row>
    <row r="148" spans="1:12" x14ac:dyDescent="0.3">
      <c r="A148" t="s">
        <v>46</v>
      </c>
      <c r="B148">
        <v>50</v>
      </c>
      <c r="C148" s="1">
        <v>65000</v>
      </c>
      <c r="D148" t="s">
        <v>12</v>
      </c>
      <c r="E148" t="s">
        <v>30</v>
      </c>
      <c r="F148" t="s">
        <v>21</v>
      </c>
      <c r="G148" s="11">
        <v>43195</v>
      </c>
      <c r="H148" t="s">
        <v>31</v>
      </c>
      <c r="I148" t="s">
        <v>39</v>
      </c>
      <c r="J148" t="s">
        <v>24</v>
      </c>
      <c r="K148" s="11" t="str">
        <f t="shared" ca="1" si="2"/>
        <v>7 Years</v>
      </c>
      <c r="L148" s="3" cm="1">
        <f t="array" ref="L148">_xlfn.SWITCH(Table13_24[[#This Row],[Performance Score]],"A",6,"B",5,"C",4,"D",3,"E",2,"F",1)</f>
        <v>6</v>
      </c>
    </row>
    <row r="149" spans="1:12" x14ac:dyDescent="0.3">
      <c r="A149" t="s">
        <v>46</v>
      </c>
      <c r="B149">
        <v>40</v>
      </c>
      <c r="C149" s="1">
        <v>70000</v>
      </c>
      <c r="D149" t="s">
        <v>34</v>
      </c>
      <c r="E149" t="s">
        <v>20</v>
      </c>
      <c r="F149" t="s">
        <v>40</v>
      </c>
      <c r="G149" s="11">
        <v>43845</v>
      </c>
      <c r="H149" t="s">
        <v>31</v>
      </c>
      <c r="I149" t="s">
        <v>23</v>
      </c>
      <c r="J149" t="s">
        <v>17</v>
      </c>
      <c r="K149" s="11" t="str">
        <f t="shared" ca="1" si="2"/>
        <v>5 Years</v>
      </c>
      <c r="L149" s="3" cm="1">
        <f t="array" ref="L149">_xlfn.SWITCH(Table13_24[[#This Row],[Performance Score]],"A",6,"B",5,"C",4,"D",3,"E",2,"F",1)</f>
        <v>6</v>
      </c>
    </row>
    <row r="150" spans="1:12" x14ac:dyDescent="0.3">
      <c r="A150" t="s">
        <v>18</v>
      </c>
      <c r="B150">
        <v>50</v>
      </c>
      <c r="C150" s="1">
        <v>55000</v>
      </c>
      <c r="D150" t="s">
        <v>19</v>
      </c>
      <c r="E150" t="s">
        <v>26</v>
      </c>
      <c r="F150" t="s">
        <v>41</v>
      </c>
      <c r="G150" s="11">
        <v>43477</v>
      </c>
      <c r="H150" t="s">
        <v>22</v>
      </c>
      <c r="I150" t="s">
        <v>16</v>
      </c>
      <c r="J150" t="s">
        <v>42</v>
      </c>
      <c r="K150" s="11" t="str">
        <f t="shared" ca="1" si="2"/>
        <v>6 Years</v>
      </c>
      <c r="L150" s="3" cm="1">
        <f t="array" ref="L150">_xlfn.SWITCH(Table13_24[[#This Row],[Performance Score]],"A",6,"B",5,"C",4,"D",3,"E",2,"F",1)</f>
        <v>1</v>
      </c>
    </row>
    <row r="151" spans="1:12" x14ac:dyDescent="0.3">
      <c r="A151" t="s">
        <v>46</v>
      </c>
      <c r="B151">
        <v>30</v>
      </c>
      <c r="C151" s="1">
        <v>60000</v>
      </c>
      <c r="D151" t="s">
        <v>34</v>
      </c>
      <c r="E151" t="s">
        <v>13</v>
      </c>
      <c r="F151" t="s">
        <v>14</v>
      </c>
      <c r="G151" s="11">
        <v>43845</v>
      </c>
      <c r="H151" t="s">
        <v>27</v>
      </c>
      <c r="I151" t="s">
        <v>23</v>
      </c>
      <c r="J151" t="s">
        <v>17</v>
      </c>
      <c r="K151" s="11" t="str">
        <f t="shared" ca="1" si="2"/>
        <v>5 Years</v>
      </c>
      <c r="L151" s="3" cm="1">
        <f t="array" ref="L151">_xlfn.SWITCH(Table13_24[[#This Row],[Performance Score]],"A",6,"B",5,"C",4,"D",3,"E",2,"F",1)</f>
        <v>4</v>
      </c>
    </row>
    <row r="152" spans="1:12" x14ac:dyDescent="0.3">
      <c r="A152" t="s">
        <v>36</v>
      </c>
      <c r="B152">
        <v>30</v>
      </c>
      <c r="C152" s="1">
        <v>70000</v>
      </c>
      <c r="D152" t="s">
        <v>12</v>
      </c>
      <c r="E152" t="s">
        <v>20</v>
      </c>
      <c r="F152" t="s">
        <v>14</v>
      </c>
      <c r="G152" s="11">
        <v>43195</v>
      </c>
      <c r="H152" t="s">
        <v>38</v>
      </c>
      <c r="I152" t="s">
        <v>23</v>
      </c>
      <c r="J152" t="s">
        <v>42</v>
      </c>
      <c r="K152" s="11" t="str">
        <f t="shared" ca="1" si="2"/>
        <v>7 Years</v>
      </c>
      <c r="L152" s="3" cm="1">
        <f t="array" ref="L152">_xlfn.SWITCH(Table13_24[[#This Row],[Performance Score]],"A",6,"B",5,"C",4,"D",3,"E",2,"F",1)</f>
        <v>5</v>
      </c>
    </row>
    <row r="153" spans="1:12" x14ac:dyDescent="0.3">
      <c r="A153" t="s">
        <v>11</v>
      </c>
      <c r="B153">
        <v>25</v>
      </c>
      <c r="C153" s="1">
        <v>48417.431192660551</v>
      </c>
      <c r="D153" t="s">
        <v>34</v>
      </c>
      <c r="E153" t="s">
        <v>20</v>
      </c>
      <c r="F153" t="s">
        <v>40</v>
      </c>
      <c r="G153" s="11">
        <v>43549</v>
      </c>
      <c r="H153" t="s">
        <v>22</v>
      </c>
      <c r="I153" t="s">
        <v>32</v>
      </c>
      <c r="J153" t="s">
        <v>42</v>
      </c>
      <c r="K153" s="11" t="str">
        <f t="shared" ca="1" si="2"/>
        <v>6 Years</v>
      </c>
      <c r="L153" s="3" cm="1">
        <f t="array" ref="L153">_xlfn.SWITCH(Table13_24[[#This Row],[Performance Score]],"A",6,"B",5,"C",4,"D",3,"E",2,"F",1)</f>
        <v>1</v>
      </c>
    </row>
    <row r="154" spans="1:12" x14ac:dyDescent="0.3">
      <c r="A154" t="s">
        <v>43</v>
      </c>
      <c r="B154">
        <v>40</v>
      </c>
      <c r="C154" s="1">
        <v>50742.574257425746</v>
      </c>
      <c r="D154" t="s">
        <v>34</v>
      </c>
      <c r="E154" t="s">
        <v>26</v>
      </c>
      <c r="F154" t="s">
        <v>40</v>
      </c>
      <c r="G154" s="11">
        <v>43881</v>
      </c>
      <c r="H154" t="s">
        <v>27</v>
      </c>
      <c r="I154" t="s">
        <v>39</v>
      </c>
      <c r="J154" t="s">
        <v>17</v>
      </c>
      <c r="K154" s="11" t="str">
        <f t="shared" ca="1" si="2"/>
        <v>5 Years</v>
      </c>
      <c r="L154" s="3" cm="1">
        <f t="array" ref="L154">_xlfn.SWITCH(Table13_24[[#This Row],[Performance Score]],"A",6,"B",5,"C",4,"D",3,"E",2,"F",1)</f>
        <v>4</v>
      </c>
    </row>
    <row r="155" spans="1:12" x14ac:dyDescent="0.3">
      <c r="A155" t="s">
        <v>25</v>
      </c>
      <c r="B155">
        <v>35</v>
      </c>
      <c r="C155" s="1">
        <v>70000</v>
      </c>
      <c r="D155" t="s">
        <v>12</v>
      </c>
      <c r="E155" t="s">
        <v>35</v>
      </c>
      <c r="F155" t="s">
        <v>37</v>
      </c>
      <c r="G155" s="11">
        <v>43845</v>
      </c>
      <c r="H155" t="s">
        <v>31</v>
      </c>
      <c r="I155" t="s">
        <v>23</v>
      </c>
      <c r="J155" t="s">
        <v>24</v>
      </c>
      <c r="K155" s="11" t="str">
        <f t="shared" ca="1" si="2"/>
        <v>5 Years</v>
      </c>
      <c r="L155" s="3" cm="1">
        <f t="array" ref="L155">_xlfn.SWITCH(Table13_24[[#This Row],[Performance Score]],"A",6,"B",5,"C",4,"D",3,"E",2,"F",1)</f>
        <v>6</v>
      </c>
    </row>
    <row r="156" spans="1:12" x14ac:dyDescent="0.3">
      <c r="A156" t="s">
        <v>46</v>
      </c>
      <c r="B156">
        <v>40</v>
      </c>
      <c r="C156" s="1">
        <v>50777.202072538857</v>
      </c>
      <c r="D156" t="s">
        <v>34</v>
      </c>
      <c r="E156" t="s">
        <v>30</v>
      </c>
      <c r="F156" t="s">
        <v>41</v>
      </c>
      <c r="G156" s="11">
        <v>43881</v>
      </c>
      <c r="H156" t="s">
        <v>27</v>
      </c>
      <c r="I156" t="s">
        <v>16</v>
      </c>
      <c r="J156" t="s">
        <v>17</v>
      </c>
      <c r="K156" s="11" t="str">
        <f t="shared" ca="1" si="2"/>
        <v>5 Years</v>
      </c>
      <c r="L156" s="3" cm="1">
        <f t="array" ref="L156">_xlfn.SWITCH(Table13_24[[#This Row],[Performance Score]],"A",6,"B",5,"C",4,"D",3,"E",2,"F",1)</f>
        <v>4</v>
      </c>
    </row>
    <row r="157" spans="1:12" x14ac:dyDescent="0.3">
      <c r="A157" t="s">
        <v>29</v>
      </c>
      <c r="B157">
        <v>35</v>
      </c>
      <c r="C157" s="1">
        <v>65000</v>
      </c>
      <c r="D157" t="s">
        <v>34</v>
      </c>
      <c r="E157" t="s">
        <v>26</v>
      </c>
      <c r="F157" t="s">
        <v>40</v>
      </c>
      <c r="G157" s="11">
        <v>43477</v>
      </c>
      <c r="H157" t="s">
        <v>31</v>
      </c>
      <c r="I157" t="s">
        <v>39</v>
      </c>
      <c r="J157" t="s">
        <v>24</v>
      </c>
      <c r="K157" s="11" t="str">
        <f t="shared" ca="1" si="2"/>
        <v>6 Years</v>
      </c>
      <c r="L157" s="3" cm="1">
        <f t="array" ref="L157">_xlfn.SWITCH(Table13_24[[#This Row],[Performance Score]],"A",6,"B",5,"C",4,"D",3,"E",2,"F",1)</f>
        <v>6</v>
      </c>
    </row>
    <row r="158" spans="1:12" x14ac:dyDescent="0.3">
      <c r="A158" t="s">
        <v>45</v>
      </c>
      <c r="B158">
        <v>36</v>
      </c>
      <c r="C158" s="1">
        <v>50000</v>
      </c>
      <c r="D158" t="s">
        <v>19</v>
      </c>
      <c r="E158" t="s">
        <v>30</v>
      </c>
      <c r="F158" t="s">
        <v>37</v>
      </c>
      <c r="G158" s="11">
        <v>43549</v>
      </c>
      <c r="H158" t="s">
        <v>22</v>
      </c>
      <c r="I158" t="s">
        <v>23</v>
      </c>
      <c r="J158" t="s">
        <v>42</v>
      </c>
      <c r="K158" s="11" t="str">
        <f t="shared" ca="1" si="2"/>
        <v>6 Years</v>
      </c>
      <c r="L158" s="3" cm="1">
        <f t="array" ref="L158">_xlfn.SWITCH(Table13_24[[#This Row],[Performance Score]],"A",6,"B",5,"C",4,"D",3,"E",2,"F",1)</f>
        <v>1</v>
      </c>
    </row>
    <row r="159" spans="1:12" x14ac:dyDescent="0.3">
      <c r="A159" t="s">
        <v>36</v>
      </c>
      <c r="B159">
        <v>40</v>
      </c>
      <c r="C159" s="1">
        <v>55000</v>
      </c>
      <c r="D159" t="s">
        <v>19</v>
      </c>
      <c r="E159" t="s">
        <v>35</v>
      </c>
      <c r="F159" t="s">
        <v>37</v>
      </c>
      <c r="G159" s="11">
        <v>43549</v>
      </c>
      <c r="H159" t="s">
        <v>22</v>
      </c>
      <c r="I159" t="s">
        <v>39</v>
      </c>
      <c r="J159" t="s">
        <v>24</v>
      </c>
      <c r="K159" s="11" t="str">
        <f t="shared" ca="1" si="2"/>
        <v>6 Years</v>
      </c>
      <c r="L159" s="3" cm="1">
        <f t="array" ref="L159">_xlfn.SWITCH(Table13_24[[#This Row],[Performance Score]],"A",6,"B",5,"C",4,"D",3,"E",2,"F",1)</f>
        <v>1</v>
      </c>
    </row>
    <row r="160" spans="1:12" x14ac:dyDescent="0.3">
      <c r="A160" t="s">
        <v>33</v>
      </c>
      <c r="B160">
        <v>36</v>
      </c>
      <c r="C160" s="1">
        <v>50000</v>
      </c>
      <c r="D160" t="s">
        <v>12</v>
      </c>
      <c r="E160" t="s">
        <v>20</v>
      </c>
      <c r="F160" t="s">
        <v>40</v>
      </c>
      <c r="G160" s="11">
        <v>43845</v>
      </c>
      <c r="H160" t="s">
        <v>15</v>
      </c>
      <c r="I160" t="s">
        <v>32</v>
      </c>
      <c r="J160" t="s">
        <v>17</v>
      </c>
      <c r="K160" s="11" t="str">
        <f t="shared" ca="1" si="2"/>
        <v>5 Years</v>
      </c>
      <c r="L160" s="3" cm="1">
        <f t="array" ref="L160">_xlfn.SWITCH(Table13_24[[#This Row],[Performance Score]],"A",6,"B",5,"C",4,"D",3,"E",2,"F",1)</f>
        <v>3</v>
      </c>
    </row>
    <row r="161" spans="1:12" x14ac:dyDescent="0.3">
      <c r="A161" t="s">
        <v>25</v>
      </c>
      <c r="B161">
        <v>30</v>
      </c>
      <c r="C161" s="1">
        <v>55000</v>
      </c>
      <c r="D161" t="s">
        <v>12</v>
      </c>
      <c r="E161" t="s">
        <v>30</v>
      </c>
      <c r="F161" t="s">
        <v>14</v>
      </c>
      <c r="G161" s="11">
        <v>43549</v>
      </c>
      <c r="H161" t="s">
        <v>15</v>
      </c>
      <c r="I161" t="s">
        <v>16</v>
      </c>
      <c r="J161" t="s">
        <v>17</v>
      </c>
      <c r="K161" s="11" t="str">
        <f t="shared" ca="1" si="2"/>
        <v>6 Years</v>
      </c>
      <c r="L161" s="3" cm="1">
        <f t="array" ref="L161">_xlfn.SWITCH(Table13_24[[#This Row],[Performance Score]],"A",6,"B",5,"C",4,"D",3,"E",2,"F",1)</f>
        <v>3</v>
      </c>
    </row>
    <row r="162" spans="1:12" x14ac:dyDescent="0.3">
      <c r="A162" t="s">
        <v>43</v>
      </c>
      <c r="B162">
        <v>30</v>
      </c>
      <c r="C162" s="1">
        <v>55000</v>
      </c>
      <c r="D162" t="s">
        <v>12</v>
      </c>
      <c r="E162" t="s">
        <v>13</v>
      </c>
      <c r="F162" t="s">
        <v>41</v>
      </c>
      <c r="G162" s="11">
        <v>43845</v>
      </c>
      <c r="H162" t="s">
        <v>15</v>
      </c>
      <c r="I162" t="s">
        <v>32</v>
      </c>
      <c r="J162" t="s">
        <v>17</v>
      </c>
      <c r="K162" s="11" t="str">
        <f t="shared" ca="1" si="2"/>
        <v>5 Years</v>
      </c>
      <c r="L162" s="3" cm="1">
        <f t="array" ref="L162">_xlfn.SWITCH(Table13_24[[#This Row],[Performance Score]],"A",6,"B",5,"C",4,"D",3,"E",2,"F",1)</f>
        <v>3</v>
      </c>
    </row>
    <row r="163" spans="1:12" x14ac:dyDescent="0.3">
      <c r="A163" t="s">
        <v>25</v>
      </c>
      <c r="B163">
        <v>25</v>
      </c>
      <c r="C163" s="1">
        <v>50000</v>
      </c>
      <c r="D163" t="s">
        <v>19</v>
      </c>
      <c r="E163" t="s">
        <v>13</v>
      </c>
      <c r="F163" t="s">
        <v>41</v>
      </c>
      <c r="G163" s="11">
        <v>43845</v>
      </c>
      <c r="H163" t="s">
        <v>22</v>
      </c>
      <c r="I163" t="s">
        <v>39</v>
      </c>
      <c r="J163" t="s">
        <v>42</v>
      </c>
      <c r="K163" s="11" t="str">
        <f t="shared" ca="1" si="2"/>
        <v>5 Years</v>
      </c>
      <c r="L163" s="3" cm="1">
        <f t="array" ref="L163">_xlfn.SWITCH(Table13_24[[#This Row],[Performance Score]],"A",6,"B",5,"C",4,"D",3,"E",2,"F",1)</f>
        <v>1</v>
      </c>
    </row>
    <row r="164" spans="1:12" x14ac:dyDescent="0.3">
      <c r="A164" t="s">
        <v>46</v>
      </c>
      <c r="B164">
        <v>40</v>
      </c>
      <c r="C164" s="1">
        <v>70000</v>
      </c>
      <c r="D164" t="s">
        <v>12</v>
      </c>
      <c r="E164" t="s">
        <v>26</v>
      </c>
      <c r="F164" t="s">
        <v>14</v>
      </c>
      <c r="G164" s="11">
        <v>43881</v>
      </c>
      <c r="H164" t="s">
        <v>38</v>
      </c>
      <c r="I164" t="s">
        <v>23</v>
      </c>
      <c r="J164" t="s">
        <v>17</v>
      </c>
      <c r="K164" s="11" t="str">
        <f t="shared" ca="1" si="2"/>
        <v>5 Years</v>
      </c>
      <c r="L164" s="3" cm="1">
        <f t="array" ref="L164">_xlfn.SWITCH(Table13_24[[#This Row],[Performance Score]],"A",6,"B",5,"C",4,"D",3,"E",2,"F",1)</f>
        <v>5</v>
      </c>
    </row>
    <row r="165" spans="1:12" x14ac:dyDescent="0.3">
      <c r="A165" t="s">
        <v>18</v>
      </c>
      <c r="B165">
        <v>36</v>
      </c>
      <c r="C165" s="1">
        <v>55000</v>
      </c>
      <c r="D165" t="s">
        <v>12</v>
      </c>
      <c r="E165" t="s">
        <v>35</v>
      </c>
      <c r="F165" t="s">
        <v>40</v>
      </c>
      <c r="G165" s="11">
        <v>43549</v>
      </c>
      <c r="H165" t="s">
        <v>22</v>
      </c>
      <c r="I165" t="s">
        <v>23</v>
      </c>
      <c r="J165" t="s">
        <v>42</v>
      </c>
      <c r="K165" s="11" t="str">
        <f t="shared" ca="1" si="2"/>
        <v>6 Years</v>
      </c>
      <c r="L165" s="3" cm="1">
        <f t="array" ref="L165">_xlfn.SWITCH(Table13_24[[#This Row],[Performance Score]],"A",6,"B",5,"C",4,"D",3,"E",2,"F",1)</f>
        <v>1</v>
      </c>
    </row>
    <row r="166" spans="1:12" x14ac:dyDescent="0.3">
      <c r="A166" t="s">
        <v>45</v>
      </c>
      <c r="B166">
        <v>35</v>
      </c>
      <c r="C166" s="1">
        <v>50000</v>
      </c>
      <c r="D166" t="s">
        <v>12</v>
      </c>
      <c r="E166" t="s">
        <v>26</v>
      </c>
      <c r="F166" t="s">
        <v>41</v>
      </c>
      <c r="G166" s="11">
        <v>43845</v>
      </c>
      <c r="H166" t="s">
        <v>27</v>
      </c>
      <c r="I166" t="s">
        <v>39</v>
      </c>
      <c r="J166" t="s">
        <v>17</v>
      </c>
      <c r="K166" s="11" t="str">
        <f t="shared" ca="1" si="2"/>
        <v>5 Years</v>
      </c>
      <c r="L166" s="3" cm="1">
        <f t="array" ref="L166">_xlfn.SWITCH(Table13_24[[#This Row],[Performance Score]],"A",6,"B",5,"C",4,"D",3,"E",2,"F",1)</f>
        <v>4</v>
      </c>
    </row>
    <row r="167" spans="1:12" x14ac:dyDescent="0.3">
      <c r="A167" t="s">
        <v>45</v>
      </c>
      <c r="B167">
        <v>30</v>
      </c>
      <c r="C167" s="1">
        <v>55000</v>
      </c>
      <c r="D167" t="s">
        <v>19</v>
      </c>
      <c r="E167" t="s">
        <v>26</v>
      </c>
      <c r="F167" t="s">
        <v>40</v>
      </c>
      <c r="G167" s="11">
        <v>43881</v>
      </c>
      <c r="H167" t="s">
        <v>22</v>
      </c>
      <c r="I167" t="s">
        <v>23</v>
      </c>
      <c r="J167" t="s">
        <v>42</v>
      </c>
      <c r="K167" s="11" t="str">
        <f t="shared" ca="1" si="2"/>
        <v>5 Years</v>
      </c>
      <c r="L167" s="3" cm="1">
        <f t="array" ref="L167">_xlfn.SWITCH(Table13_24[[#This Row],[Performance Score]],"A",6,"B",5,"C",4,"D",3,"E",2,"F",1)</f>
        <v>1</v>
      </c>
    </row>
    <row r="168" spans="1:12" x14ac:dyDescent="0.3">
      <c r="A168" t="s">
        <v>33</v>
      </c>
      <c r="B168">
        <v>30</v>
      </c>
      <c r="C168" s="1">
        <v>60000</v>
      </c>
      <c r="D168" t="s">
        <v>34</v>
      </c>
      <c r="E168" t="s">
        <v>26</v>
      </c>
      <c r="F168" t="s">
        <v>40</v>
      </c>
      <c r="G168" s="11">
        <v>43195</v>
      </c>
      <c r="H168" t="s">
        <v>22</v>
      </c>
      <c r="I168" t="s">
        <v>16</v>
      </c>
      <c r="J168" t="s">
        <v>17</v>
      </c>
      <c r="K168" s="11" t="str">
        <f t="shared" ca="1" si="2"/>
        <v>7 Years</v>
      </c>
      <c r="L168" s="3" cm="1">
        <f t="array" ref="L168">_xlfn.SWITCH(Table13_24[[#This Row],[Performance Score]],"A",6,"B",5,"C",4,"D",3,"E",2,"F",1)</f>
        <v>1</v>
      </c>
    </row>
    <row r="169" spans="1:12" x14ac:dyDescent="0.3">
      <c r="A169" t="s">
        <v>18</v>
      </c>
      <c r="B169">
        <v>35</v>
      </c>
      <c r="C169" s="1">
        <v>70000</v>
      </c>
      <c r="D169" t="s">
        <v>12</v>
      </c>
      <c r="E169" t="s">
        <v>13</v>
      </c>
      <c r="F169" t="s">
        <v>37</v>
      </c>
      <c r="G169" s="11">
        <v>43881</v>
      </c>
      <c r="H169" t="s">
        <v>31</v>
      </c>
      <c r="I169" t="s">
        <v>39</v>
      </c>
      <c r="J169" t="s">
        <v>17</v>
      </c>
      <c r="K169" s="11" t="str">
        <f t="shared" ca="1" si="2"/>
        <v>5 Years</v>
      </c>
      <c r="L169" s="3" cm="1">
        <f t="array" ref="L169">_xlfn.SWITCH(Table13_24[[#This Row],[Performance Score]],"A",6,"B",5,"C",4,"D",3,"E",2,"F",1)</f>
        <v>6</v>
      </c>
    </row>
    <row r="170" spans="1:12" x14ac:dyDescent="0.3">
      <c r="A170" t="s">
        <v>11</v>
      </c>
      <c r="B170">
        <v>36</v>
      </c>
      <c r="C170" s="1">
        <v>65000</v>
      </c>
      <c r="D170" t="s">
        <v>34</v>
      </c>
      <c r="E170" t="s">
        <v>13</v>
      </c>
      <c r="F170" t="s">
        <v>14</v>
      </c>
      <c r="G170" s="11">
        <v>43881</v>
      </c>
      <c r="H170" t="s">
        <v>31</v>
      </c>
      <c r="I170" t="s">
        <v>32</v>
      </c>
      <c r="J170" t="s">
        <v>42</v>
      </c>
      <c r="K170" s="11" t="str">
        <f t="shared" ca="1" si="2"/>
        <v>5 Years</v>
      </c>
      <c r="L170" s="3" cm="1">
        <f t="array" ref="L170">_xlfn.SWITCH(Table13_24[[#This Row],[Performance Score]],"A",6,"B",5,"C",4,"D",3,"E",2,"F",1)</f>
        <v>6</v>
      </c>
    </row>
    <row r="171" spans="1:12" x14ac:dyDescent="0.3">
      <c r="A171" t="s">
        <v>44</v>
      </c>
      <c r="B171">
        <v>36</v>
      </c>
      <c r="C171" s="1">
        <v>55000</v>
      </c>
      <c r="D171" t="s">
        <v>12</v>
      </c>
      <c r="E171" t="s">
        <v>26</v>
      </c>
      <c r="F171" t="s">
        <v>40</v>
      </c>
      <c r="G171" s="11">
        <v>43845</v>
      </c>
      <c r="H171" t="s">
        <v>31</v>
      </c>
      <c r="I171" t="s">
        <v>39</v>
      </c>
      <c r="J171" t="s">
        <v>17</v>
      </c>
      <c r="K171" s="11" t="str">
        <f t="shared" ca="1" si="2"/>
        <v>5 Years</v>
      </c>
      <c r="L171" s="3" cm="1">
        <f t="array" ref="L171">_xlfn.SWITCH(Table13_24[[#This Row],[Performance Score]],"A",6,"B",5,"C",4,"D",3,"E",2,"F",1)</f>
        <v>6</v>
      </c>
    </row>
    <row r="172" spans="1:12" x14ac:dyDescent="0.3">
      <c r="A172" t="s">
        <v>36</v>
      </c>
      <c r="B172">
        <v>40</v>
      </c>
      <c r="C172" s="1">
        <v>60000</v>
      </c>
      <c r="D172" t="s">
        <v>34</v>
      </c>
      <c r="E172" t="s">
        <v>13</v>
      </c>
      <c r="F172" t="s">
        <v>21</v>
      </c>
      <c r="G172" s="11">
        <v>43477</v>
      </c>
      <c r="H172" t="s">
        <v>22</v>
      </c>
      <c r="I172" t="s">
        <v>23</v>
      </c>
      <c r="J172" t="s">
        <v>17</v>
      </c>
      <c r="K172" s="11" t="str">
        <f t="shared" ca="1" si="2"/>
        <v>6 Years</v>
      </c>
      <c r="L172" s="3" cm="1">
        <f t="array" ref="L172">_xlfn.SWITCH(Table13_24[[#This Row],[Performance Score]],"A",6,"B",5,"C",4,"D",3,"E",2,"F",1)</f>
        <v>1</v>
      </c>
    </row>
    <row r="173" spans="1:12" x14ac:dyDescent="0.3">
      <c r="A173" t="s">
        <v>45</v>
      </c>
      <c r="B173">
        <v>40</v>
      </c>
      <c r="C173" s="1">
        <v>65000</v>
      </c>
      <c r="D173" t="s">
        <v>19</v>
      </c>
      <c r="E173" t="s">
        <v>35</v>
      </c>
      <c r="F173" t="s">
        <v>14</v>
      </c>
      <c r="G173" s="11">
        <v>43477</v>
      </c>
      <c r="H173" t="s">
        <v>38</v>
      </c>
      <c r="I173" t="s">
        <v>32</v>
      </c>
      <c r="J173" t="s">
        <v>42</v>
      </c>
      <c r="K173" s="11" t="str">
        <f t="shared" ca="1" si="2"/>
        <v>6 Years</v>
      </c>
      <c r="L173" s="3" cm="1">
        <f t="array" ref="L173">_xlfn.SWITCH(Table13_24[[#This Row],[Performance Score]],"A",6,"B",5,"C",4,"D",3,"E",2,"F",1)</f>
        <v>5</v>
      </c>
    </row>
    <row r="174" spans="1:12" x14ac:dyDescent="0.3">
      <c r="A174" t="s">
        <v>29</v>
      </c>
      <c r="B174">
        <v>50</v>
      </c>
      <c r="C174" s="1">
        <v>65000</v>
      </c>
      <c r="D174" t="s">
        <v>19</v>
      </c>
      <c r="E174" t="s">
        <v>26</v>
      </c>
      <c r="F174" t="s">
        <v>41</v>
      </c>
      <c r="G174" s="11">
        <v>43477</v>
      </c>
      <c r="H174" t="s">
        <v>27</v>
      </c>
      <c r="I174" t="s">
        <v>39</v>
      </c>
      <c r="J174" t="s">
        <v>17</v>
      </c>
      <c r="K174" s="11" t="str">
        <f t="shared" ca="1" si="2"/>
        <v>6 Years</v>
      </c>
      <c r="L174" s="3" cm="1">
        <f t="array" ref="L174">_xlfn.SWITCH(Table13_24[[#This Row],[Performance Score]],"A",6,"B",5,"C",4,"D",3,"E",2,"F",1)</f>
        <v>4</v>
      </c>
    </row>
    <row r="175" spans="1:12" x14ac:dyDescent="0.3">
      <c r="A175" t="s">
        <v>45</v>
      </c>
      <c r="B175">
        <v>50</v>
      </c>
      <c r="C175" s="1">
        <v>55000</v>
      </c>
      <c r="D175" t="s">
        <v>12</v>
      </c>
      <c r="E175" t="s">
        <v>13</v>
      </c>
      <c r="F175" t="s">
        <v>37</v>
      </c>
      <c r="G175" s="11">
        <v>43881</v>
      </c>
      <c r="H175" t="s">
        <v>27</v>
      </c>
      <c r="I175" t="s">
        <v>39</v>
      </c>
      <c r="J175" t="s">
        <v>17</v>
      </c>
      <c r="K175" s="11" t="str">
        <f t="shared" ca="1" si="2"/>
        <v>5 Years</v>
      </c>
      <c r="L175" s="3" cm="1">
        <f t="array" ref="L175">_xlfn.SWITCH(Table13_24[[#This Row],[Performance Score]],"A",6,"B",5,"C",4,"D",3,"E",2,"F",1)</f>
        <v>4</v>
      </c>
    </row>
    <row r="176" spans="1:12" x14ac:dyDescent="0.3">
      <c r="A176" t="s">
        <v>25</v>
      </c>
      <c r="B176">
        <v>25</v>
      </c>
      <c r="C176" s="1">
        <v>50000</v>
      </c>
      <c r="D176" t="s">
        <v>34</v>
      </c>
      <c r="E176" t="s">
        <v>30</v>
      </c>
      <c r="F176" t="s">
        <v>41</v>
      </c>
      <c r="G176" s="11">
        <v>43845</v>
      </c>
      <c r="H176" t="s">
        <v>38</v>
      </c>
      <c r="I176" t="s">
        <v>32</v>
      </c>
      <c r="J176" t="s">
        <v>17</v>
      </c>
      <c r="K176" s="11" t="str">
        <f t="shared" ca="1" si="2"/>
        <v>5 Years</v>
      </c>
      <c r="L176" s="3" cm="1">
        <f t="array" ref="L176">_xlfn.SWITCH(Table13_24[[#This Row],[Performance Score]],"A",6,"B",5,"C",4,"D",3,"E",2,"F",1)</f>
        <v>5</v>
      </c>
    </row>
    <row r="177" spans="1:12" x14ac:dyDescent="0.3">
      <c r="A177" t="s">
        <v>45</v>
      </c>
      <c r="B177">
        <v>30</v>
      </c>
      <c r="C177" s="1">
        <v>55000</v>
      </c>
      <c r="D177" t="s">
        <v>19</v>
      </c>
      <c r="E177" t="s">
        <v>26</v>
      </c>
      <c r="F177" t="s">
        <v>41</v>
      </c>
      <c r="G177" s="11">
        <v>43549</v>
      </c>
      <c r="H177" t="s">
        <v>38</v>
      </c>
      <c r="I177" t="s">
        <v>32</v>
      </c>
      <c r="J177" t="s">
        <v>17</v>
      </c>
      <c r="K177" s="11" t="str">
        <f t="shared" ca="1" si="2"/>
        <v>6 Years</v>
      </c>
      <c r="L177" s="3" cm="1">
        <f t="array" ref="L177">_xlfn.SWITCH(Table13_24[[#This Row],[Performance Score]],"A",6,"B",5,"C",4,"D",3,"E",2,"F",1)</f>
        <v>5</v>
      </c>
    </row>
    <row r="178" spans="1:12" x14ac:dyDescent="0.3">
      <c r="A178" t="s">
        <v>45</v>
      </c>
      <c r="B178">
        <v>40</v>
      </c>
      <c r="C178" s="1">
        <v>60000</v>
      </c>
      <c r="D178" t="s">
        <v>12</v>
      </c>
      <c r="E178" t="s">
        <v>26</v>
      </c>
      <c r="F178" t="s">
        <v>14</v>
      </c>
      <c r="G178" s="11">
        <v>43881</v>
      </c>
      <c r="H178" t="s">
        <v>27</v>
      </c>
      <c r="I178" t="s">
        <v>32</v>
      </c>
      <c r="J178" t="s">
        <v>17</v>
      </c>
      <c r="K178" s="11" t="str">
        <f t="shared" ca="1" si="2"/>
        <v>5 Years</v>
      </c>
      <c r="L178" s="3" cm="1">
        <f t="array" ref="L178">_xlfn.SWITCH(Table13_24[[#This Row],[Performance Score]],"A",6,"B",5,"C",4,"D",3,"E",2,"F",1)</f>
        <v>4</v>
      </c>
    </row>
    <row r="179" spans="1:12" x14ac:dyDescent="0.3">
      <c r="A179" t="s">
        <v>44</v>
      </c>
      <c r="B179">
        <v>36</v>
      </c>
      <c r="C179" s="1">
        <v>65000</v>
      </c>
      <c r="D179" t="s">
        <v>12</v>
      </c>
      <c r="E179" t="s">
        <v>35</v>
      </c>
      <c r="F179" t="s">
        <v>41</v>
      </c>
      <c r="G179" s="11">
        <v>43881</v>
      </c>
      <c r="H179" t="s">
        <v>15</v>
      </c>
      <c r="I179" t="s">
        <v>16</v>
      </c>
      <c r="J179" t="s">
        <v>42</v>
      </c>
      <c r="K179" s="11" t="str">
        <f t="shared" ca="1" si="2"/>
        <v>5 Years</v>
      </c>
      <c r="L179" s="3" cm="1">
        <f t="array" ref="L179">_xlfn.SWITCH(Table13_24[[#This Row],[Performance Score]],"A",6,"B",5,"C",4,"D",3,"E",2,"F",1)</f>
        <v>3</v>
      </c>
    </row>
    <row r="180" spans="1:12" x14ac:dyDescent="0.3">
      <c r="A180" t="s">
        <v>44</v>
      </c>
      <c r="B180">
        <v>35</v>
      </c>
      <c r="C180" s="1">
        <v>55000</v>
      </c>
      <c r="D180" t="s">
        <v>19</v>
      </c>
      <c r="E180" t="s">
        <v>20</v>
      </c>
      <c r="F180" t="s">
        <v>40</v>
      </c>
      <c r="G180" s="11">
        <v>43845</v>
      </c>
      <c r="H180" t="s">
        <v>31</v>
      </c>
      <c r="I180" t="s">
        <v>39</v>
      </c>
      <c r="J180" t="s">
        <v>17</v>
      </c>
      <c r="K180" s="11" t="str">
        <f t="shared" ca="1" si="2"/>
        <v>5 Years</v>
      </c>
      <c r="L180" s="3" cm="1">
        <f t="array" ref="L180">_xlfn.SWITCH(Table13_24[[#This Row],[Performance Score]],"A",6,"B",5,"C",4,"D",3,"E",2,"F",1)</f>
        <v>6</v>
      </c>
    </row>
    <row r="181" spans="1:12" x14ac:dyDescent="0.3">
      <c r="A181" t="s">
        <v>43</v>
      </c>
      <c r="B181">
        <v>36</v>
      </c>
      <c r="C181" s="1">
        <v>50000</v>
      </c>
      <c r="D181" t="s">
        <v>19</v>
      </c>
      <c r="E181" t="s">
        <v>20</v>
      </c>
      <c r="F181" t="s">
        <v>41</v>
      </c>
      <c r="G181" s="11">
        <v>43195</v>
      </c>
      <c r="H181" t="s">
        <v>31</v>
      </c>
      <c r="I181" t="s">
        <v>32</v>
      </c>
      <c r="J181" t="s">
        <v>17</v>
      </c>
      <c r="K181" s="11" t="str">
        <f t="shared" ca="1" si="2"/>
        <v>7 Years</v>
      </c>
      <c r="L181" s="3" cm="1">
        <f t="array" ref="L181">_xlfn.SWITCH(Table13_24[[#This Row],[Performance Score]],"A",6,"B",5,"C",4,"D",3,"E",2,"F",1)</f>
        <v>6</v>
      </c>
    </row>
    <row r="182" spans="1:12" x14ac:dyDescent="0.3">
      <c r="A182" t="s">
        <v>11</v>
      </c>
      <c r="B182">
        <v>30</v>
      </c>
      <c r="C182" s="1">
        <v>55000</v>
      </c>
      <c r="D182" t="s">
        <v>12</v>
      </c>
      <c r="E182" t="s">
        <v>35</v>
      </c>
      <c r="F182" t="s">
        <v>37</v>
      </c>
      <c r="G182" s="11">
        <v>43881</v>
      </c>
      <c r="H182" t="s">
        <v>27</v>
      </c>
      <c r="I182" t="s">
        <v>39</v>
      </c>
      <c r="J182" t="s">
        <v>24</v>
      </c>
      <c r="K182" s="11" t="str">
        <f t="shared" ca="1" si="2"/>
        <v>5 Years</v>
      </c>
      <c r="L182" s="3" cm="1">
        <f t="array" ref="L182">_xlfn.SWITCH(Table13_24[[#This Row],[Performance Score]],"A",6,"B",5,"C",4,"D",3,"E",2,"F",1)</f>
        <v>4</v>
      </c>
    </row>
    <row r="183" spans="1:12" x14ac:dyDescent="0.3">
      <c r="A183" t="s">
        <v>29</v>
      </c>
      <c r="B183">
        <v>50</v>
      </c>
      <c r="C183" s="1">
        <v>70000</v>
      </c>
      <c r="D183" t="s">
        <v>34</v>
      </c>
      <c r="E183" t="s">
        <v>35</v>
      </c>
      <c r="F183" t="s">
        <v>37</v>
      </c>
      <c r="G183" s="11">
        <v>43195</v>
      </c>
      <c r="H183" t="s">
        <v>38</v>
      </c>
      <c r="I183" t="s">
        <v>32</v>
      </c>
      <c r="J183" t="s">
        <v>17</v>
      </c>
      <c r="K183" s="11" t="str">
        <f t="shared" ca="1" si="2"/>
        <v>7 Years</v>
      </c>
      <c r="L183" s="3" cm="1">
        <f t="array" ref="L183">_xlfn.SWITCH(Table13_24[[#This Row],[Performance Score]],"A",6,"B",5,"C",4,"D",3,"E",2,"F",1)</f>
        <v>5</v>
      </c>
    </row>
    <row r="184" spans="1:12" x14ac:dyDescent="0.3">
      <c r="A184" t="s">
        <v>45</v>
      </c>
      <c r="B184">
        <v>36</v>
      </c>
      <c r="C184" s="1">
        <v>50000</v>
      </c>
      <c r="D184" t="s">
        <v>34</v>
      </c>
      <c r="E184" t="s">
        <v>35</v>
      </c>
      <c r="F184" t="s">
        <v>21</v>
      </c>
      <c r="G184" s="11">
        <v>43195</v>
      </c>
      <c r="H184" t="s">
        <v>15</v>
      </c>
      <c r="I184" t="s">
        <v>39</v>
      </c>
      <c r="J184" t="s">
        <v>17</v>
      </c>
      <c r="K184" s="11" t="str">
        <f t="shared" ca="1" si="2"/>
        <v>7 Years</v>
      </c>
      <c r="L184" s="3" cm="1">
        <f t="array" ref="L184">_xlfn.SWITCH(Table13_24[[#This Row],[Performance Score]],"A",6,"B",5,"C",4,"D",3,"E",2,"F",1)</f>
        <v>3</v>
      </c>
    </row>
    <row r="185" spans="1:12" x14ac:dyDescent="0.3">
      <c r="A185" t="s">
        <v>45</v>
      </c>
      <c r="B185">
        <v>25</v>
      </c>
      <c r="C185" s="1">
        <v>60000</v>
      </c>
      <c r="D185" t="s">
        <v>34</v>
      </c>
      <c r="E185" t="s">
        <v>20</v>
      </c>
      <c r="F185" t="s">
        <v>37</v>
      </c>
      <c r="G185" s="11">
        <v>43477</v>
      </c>
      <c r="H185" t="s">
        <v>27</v>
      </c>
      <c r="I185" t="s">
        <v>39</v>
      </c>
      <c r="J185" t="s">
        <v>24</v>
      </c>
      <c r="K185" s="11" t="str">
        <f t="shared" ca="1" si="2"/>
        <v>6 Years</v>
      </c>
      <c r="L185" s="3" cm="1">
        <f t="array" ref="L185">_xlfn.SWITCH(Table13_24[[#This Row],[Performance Score]],"A",6,"B",5,"C",4,"D",3,"E",2,"F",1)</f>
        <v>4</v>
      </c>
    </row>
    <row r="186" spans="1:12" x14ac:dyDescent="0.3">
      <c r="A186" t="s">
        <v>36</v>
      </c>
      <c r="B186">
        <v>30</v>
      </c>
      <c r="C186" s="1">
        <v>65000</v>
      </c>
      <c r="D186" t="s">
        <v>12</v>
      </c>
      <c r="E186" t="s">
        <v>35</v>
      </c>
      <c r="F186" t="s">
        <v>41</v>
      </c>
      <c r="G186" s="11">
        <v>43845</v>
      </c>
      <c r="H186" t="s">
        <v>31</v>
      </c>
      <c r="I186" t="s">
        <v>39</v>
      </c>
      <c r="J186" t="s">
        <v>17</v>
      </c>
      <c r="K186" s="11" t="str">
        <f t="shared" ca="1" si="2"/>
        <v>5 Years</v>
      </c>
      <c r="L186" s="3" cm="1">
        <f t="array" ref="L186">_xlfn.SWITCH(Table13_24[[#This Row],[Performance Score]],"A",6,"B",5,"C",4,"D",3,"E",2,"F",1)</f>
        <v>6</v>
      </c>
    </row>
    <row r="187" spans="1:12" x14ac:dyDescent="0.3">
      <c r="A187" t="s">
        <v>44</v>
      </c>
      <c r="B187">
        <v>50</v>
      </c>
      <c r="C187" s="1">
        <v>55000</v>
      </c>
      <c r="D187" t="s">
        <v>19</v>
      </c>
      <c r="E187" t="s">
        <v>13</v>
      </c>
      <c r="F187" t="s">
        <v>37</v>
      </c>
      <c r="G187" s="11">
        <v>43195</v>
      </c>
      <c r="H187" t="s">
        <v>22</v>
      </c>
      <c r="I187" t="s">
        <v>23</v>
      </c>
      <c r="J187" t="s">
        <v>28</v>
      </c>
      <c r="K187" s="11" t="str">
        <f t="shared" ca="1" si="2"/>
        <v>7 Years</v>
      </c>
      <c r="L187" s="3" cm="1">
        <f t="array" ref="L187">_xlfn.SWITCH(Table13_24[[#This Row],[Performance Score]],"A",6,"B",5,"C",4,"D",3,"E",2,"F",1)</f>
        <v>1</v>
      </c>
    </row>
    <row r="188" spans="1:12" x14ac:dyDescent="0.3">
      <c r="A188" t="s">
        <v>29</v>
      </c>
      <c r="B188">
        <v>35</v>
      </c>
      <c r="C188" s="1">
        <v>50000</v>
      </c>
      <c r="D188" t="s">
        <v>12</v>
      </c>
      <c r="E188" t="s">
        <v>26</v>
      </c>
      <c r="F188" t="s">
        <v>14</v>
      </c>
      <c r="G188" s="11">
        <v>43845</v>
      </c>
      <c r="H188" t="s">
        <v>38</v>
      </c>
      <c r="I188" t="s">
        <v>32</v>
      </c>
      <c r="J188" t="s">
        <v>28</v>
      </c>
      <c r="K188" s="11" t="str">
        <f t="shared" ca="1" si="2"/>
        <v>5 Years</v>
      </c>
      <c r="L188" s="3" cm="1">
        <f t="array" ref="L188">_xlfn.SWITCH(Table13_24[[#This Row],[Performance Score]],"A",6,"B",5,"C",4,"D",3,"E",2,"F",1)</f>
        <v>5</v>
      </c>
    </row>
    <row r="189" spans="1:12" x14ac:dyDescent="0.3">
      <c r="A189" t="s">
        <v>33</v>
      </c>
      <c r="B189">
        <v>50</v>
      </c>
      <c r="C189" s="1">
        <v>70000</v>
      </c>
      <c r="D189" t="s">
        <v>19</v>
      </c>
      <c r="E189" t="s">
        <v>26</v>
      </c>
      <c r="F189" t="s">
        <v>37</v>
      </c>
      <c r="G189" s="11">
        <v>43477</v>
      </c>
      <c r="H189" t="s">
        <v>22</v>
      </c>
      <c r="I189" t="s">
        <v>23</v>
      </c>
      <c r="J189" t="s">
        <v>17</v>
      </c>
      <c r="K189" s="11" t="str">
        <f t="shared" ca="1" si="2"/>
        <v>6 Years</v>
      </c>
      <c r="L189" s="3" cm="1">
        <f t="array" ref="L189">_xlfn.SWITCH(Table13_24[[#This Row],[Performance Score]],"A",6,"B",5,"C",4,"D",3,"E",2,"F",1)</f>
        <v>1</v>
      </c>
    </row>
    <row r="190" spans="1:12" x14ac:dyDescent="0.3">
      <c r="A190" t="s">
        <v>43</v>
      </c>
      <c r="B190">
        <v>25</v>
      </c>
      <c r="C190" s="1">
        <v>50000</v>
      </c>
      <c r="D190" t="s">
        <v>34</v>
      </c>
      <c r="E190" t="s">
        <v>30</v>
      </c>
      <c r="F190" t="s">
        <v>40</v>
      </c>
      <c r="G190" s="11">
        <v>43845</v>
      </c>
      <c r="H190" t="s">
        <v>27</v>
      </c>
      <c r="I190" t="s">
        <v>39</v>
      </c>
      <c r="J190" t="s">
        <v>17</v>
      </c>
      <c r="K190" s="11" t="str">
        <f t="shared" ca="1" si="2"/>
        <v>5 Years</v>
      </c>
      <c r="L190" s="3" cm="1">
        <f t="array" ref="L190">_xlfn.SWITCH(Table13_24[[#This Row],[Performance Score]],"A",6,"B",5,"C",4,"D",3,"E",2,"F",1)</f>
        <v>4</v>
      </c>
    </row>
    <row r="191" spans="1:12" x14ac:dyDescent="0.3">
      <c r="A191" t="s">
        <v>11</v>
      </c>
      <c r="B191">
        <v>30</v>
      </c>
      <c r="C191" s="1">
        <v>50777.202072538857</v>
      </c>
      <c r="D191" t="s">
        <v>34</v>
      </c>
      <c r="E191" t="s">
        <v>30</v>
      </c>
      <c r="F191" t="s">
        <v>14</v>
      </c>
      <c r="G191" s="11">
        <v>43881</v>
      </c>
      <c r="H191" t="s">
        <v>31</v>
      </c>
      <c r="I191" t="s">
        <v>23</v>
      </c>
      <c r="J191" t="s">
        <v>28</v>
      </c>
      <c r="K191" s="11" t="str">
        <f t="shared" ca="1" si="2"/>
        <v>5 Years</v>
      </c>
      <c r="L191" s="3" cm="1">
        <f t="array" ref="L191">_xlfn.SWITCH(Table13_24[[#This Row],[Performance Score]],"A",6,"B",5,"C",4,"D",3,"E",2,"F",1)</f>
        <v>6</v>
      </c>
    </row>
    <row r="192" spans="1:12" x14ac:dyDescent="0.3">
      <c r="A192" t="s">
        <v>18</v>
      </c>
      <c r="B192">
        <v>35</v>
      </c>
      <c r="C192" s="1">
        <v>70000</v>
      </c>
      <c r="D192" t="s">
        <v>19</v>
      </c>
      <c r="E192" t="s">
        <v>26</v>
      </c>
      <c r="F192" t="s">
        <v>21</v>
      </c>
      <c r="G192" s="11">
        <v>43195</v>
      </c>
      <c r="H192" t="s">
        <v>15</v>
      </c>
      <c r="I192" t="s">
        <v>39</v>
      </c>
      <c r="J192" t="s">
        <v>42</v>
      </c>
      <c r="K192" s="11" t="str">
        <f t="shared" ca="1" si="2"/>
        <v>7 Years</v>
      </c>
      <c r="L192" s="3" cm="1">
        <f t="array" ref="L192">_xlfn.SWITCH(Table13_24[[#This Row],[Performance Score]],"A",6,"B",5,"C",4,"D",3,"E",2,"F",1)</f>
        <v>3</v>
      </c>
    </row>
    <row r="193" spans="1:12" x14ac:dyDescent="0.3">
      <c r="A193" t="s">
        <v>11</v>
      </c>
      <c r="B193">
        <v>25</v>
      </c>
      <c r="C193" s="1">
        <v>60000</v>
      </c>
      <c r="D193" t="s">
        <v>19</v>
      </c>
      <c r="E193" t="s">
        <v>13</v>
      </c>
      <c r="F193" t="s">
        <v>40</v>
      </c>
      <c r="G193" s="11">
        <v>43845</v>
      </c>
      <c r="H193" t="s">
        <v>22</v>
      </c>
      <c r="I193" t="s">
        <v>39</v>
      </c>
      <c r="J193" t="s">
        <v>42</v>
      </c>
      <c r="K193" s="11" t="str">
        <f t="shared" ca="1" si="2"/>
        <v>5 Years</v>
      </c>
      <c r="L193" s="3" cm="1">
        <f t="array" ref="L193">_xlfn.SWITCH(Table13_24[[#This Row],[Performance Score]],"A",6,"B",5,"C",4,"D",3,"E",2,"F",1)</f>
        <v>1</v>
      </c>
    </row>
    <row r="194" spans="1:12" x14ac:dyDescent="0.3">
      <c r="A194" t="s">
        <v>25</v>
      </c>
      <c r="B194">
        <v>50</v>
      </c>
      <c r="C194" s="1">
        <v>65000</v>
      </c>
      <c r="D194" t="s">
        <v>12</v>
      </c>
      <c r="E194" t="s">
        <v>20</v>
      </c>
      <c r="F194" t="s">
        <v>41</v>
      </c>
      <c r="G194" s="11">
        <v>43549</v>
      </c>
      <c r="H194" t="s">
        <v>15</v>
      </c>
      <c r="I194" t="s">
        <v>39</v>
      </c>
      <c r="J194" t="s">
        <v>24</v>
      </c>
      <c r="K194" s="11" t="str">
        <f t="shared" ca="1" si="2"/>
        <v>6 Years</v>
      </c>
      <c r="L194" s="3" cm="1">
        <f t="array" ref="L194">_xlfn.SWITCH(Table13_24[[#This Row],[Performance Score]],"A",6,"B",5,"C",4,"D",3,"E",2,"F",1)</f>
        <v>3</v>
      </c>
    </row>
    <row r="195" spans="1:12" x14ac:dyDescent="0.3">
      <c r="A195" t="s">
        <v>45</v>
      </c>
      <c r="B195">
        <v>25</v>
      </c>
      <c r="C195" s="1">
        <v>60000</v>
      </c>
      <c r="D195" t="s">
        <v>34</v>
      </c>
      <c r="E195" t="s">
        <v>20</v>
      </c>
      <c r="F195" t="s">
        <v>41</v>
      </c>
      <c r="G195" s="11">
        <v>43845</v>
      </c>
      <c r="H195" t="s">
        <v>31</v>
      </c>
      <c r="I195" t="s">
        <v>23</v>
      </c>
      <c r="J195" t="s">
        <v>17</v>
      </c>
      <c r="K195" s="11" t="str">
        <f t="shared" ref="K195:K258" ca="1" si="3">DATEDIF(G195,TODAY(),"Y") &amp; " Years"</f>
        <v>5 Years</v>
      </c>
      <c r="L195" s="3" cm="1">
        <f t="array" ref="L195">_xlfn.SWITCH(Table13_24[[#This Row],[Performance Score]],"A",6,"B",5,"C",4,"D",3,"E",2,"F",1)</f>
        <v>6</v>
      </c>
    </row>
    <row r="196" spans="1:12" x14ac:dyDescent="0.3">
      <c r="A196" t="s">
        <v>43</v>
      </c>
      <c r="B196">
        <v>30</v>
      </c>
      <c r="C196" s="1">
        <v>55000</v>
      </c>
      <c r="D196" t="s">
        <v>12</v>
      </c>
      <c r="E196" t="s">
        <v>13</v>
      </c>
      <c r="F196" t="s">
        <v>41</v>
      </c>
      <c r="G196" s="11">
        <v>43195</v>
      </c>
      <c r="H196" t="s">
        <v>22</v>
      </c>
      <c r="I196" t="s">
        <v>32</v>
      </c>
      <c r="J196" t="s">
        <v>17</v>
      </c>
      <c r="K196" s="11" t="str">
        <f t="shared" ca="1" si="3"/>
        <v>7 Years</v>
      </c>
      <c r="L196" s="3" cm="1">
        <f t="array" ref="L196">_xlfn.SWITCH(Table13_24[[#This Row],[Performance Score]],"A",6,"B",5,"C",4,"D",3,"E",2,"F",1)</f>
        <v>1</v>
      </c>
    </row>
    <row r="197" spans="1:12" x14ac:dyDescent="0.3">
      <c r="A197" t="s">
        <v>25</v>
      </c>
      <c r="B197">
        <v>40</v>
      </c>
      <c r="C197" s="1">
        <v>50000</v>
      </c>
      <c r="D197" t="s">
        <v>12</v>
      </c>
      <c r="E197" t="s">
        <v>20</v>
      </c>
      <c r="F197" t="s">
        <v>40</v>
      </c>
      <c r="G197" s="11">
        <v>43477</v>
      </c>
      <c r="H197" t="s">
        <v>15</v>
      </c>
      <c r="I197" t="s">
        <v>23</v>
      </c>
      <c r="J197" t="s">
        <v>28</v>
      </c>
      <c r="K197" s="11" t="str">
        <f t="shared" ca="1" si="3"/>
        <v>6 Years</v>
      </c>
      <c r="L197" s="3" cm="1">
        <f t="array" ref="L197">_xlfn.SWITCH(Table13_24[[#This Row],[Performance Score]],"A",6,"B",5,"C",4,"D",3,"E",2,"F",1)</f>
        <v>3</v>
      </c>
    </row>
    <row r="198" spans="1:12" x14ac:dyDescent="0.3">
      <c r="A198" t="s">
        <v>29</v>
      </c>
      <c r="B198">
        <v>25</v>
      </c>
      <c r="C198" s="1">
        <v>49144.385026737968</v>
      </c>
      <c r="D198" t="s">
        <v>12</v>
      </c>
      <c r="E198" t="s">
        <v>35</v>
      </c>
      <c r="F198" t="s">
        <v>40</v>
      </c>
      <c r="G198" s="11">
        <v>43477</v>
      </c>
      <c r="H198" t="s">
        <v>15</v>
      </c>
      <c r="I198" t="s">
        <v>32</v>
      </c>
      <c r="J198" t="s">
        <v>17</v>
      </c>
      <c r="K198" s="11" t="str">
        <f t="shared" ca="1" si="3"/>
        <v>6 Years</v>
      </c>
      <c r="L198" s="3" cm="1">
        <f t="array" ref="L198">_xlfn.SWITCH(Table13_24[[#This Row],[Performance Score]],"A",6,"B",5,"C",4,"D",3,"E",2,"F",1)</f>
        <v>3</v>
      </c>
    </row>
    <row r="199" spans="1:12" x14ac:dyDescent="0.3">
      <c r="A199" t="s">
        <v>18</v>
      </c>
      <c r="B199">
        <v>25</v>
      </c>
      <c r="C199" s="1">
        <v>70000</v>
      </c>
      <c r="D199" t="s">
        <v>34</v>
      </c>
      <c r="E199" t="s">
        <v>26</v>
      </c>
      <c r="F199" t="s">
        <v>40</v>
      </c>
      <c r="G199" s="11">
        <v>43195</v>
      </c>
      <c r="H199" t="s">
        <v>22</v>
      </c>
      <c r="I199" t="s">
        <v>32</v>
      </c>
      <c r="J199" t="s">
        <v>17</v>
      </c>
      <c r="K199" s="11" t="str">
        <f t="shared" ca="1" si="3"/>
        <v>7 Years</v>
      </c>
      <c r="L199" s="3" cm="1">
        <f t="array" ref="L199">_xlfn.SWITCH(Table13_24[[#This Row],[Performance Score]],"A",6,"B",5,"C",4,"D",3,"E",2,"F",1)</f>
        <v>1</v>
      </c>
    </row>
    <row r="200" spans="1:12" x14ac:dyDescent="0.3">
      <c r="A200" t="s">
        <v>44</v>
      </c>
      <c r="B200">
        <v>50</v>
      </c>
      <c r="C200" s="1">
        <v>70000</v>
      </c>
      <c r="D200" t="s">
        <v>12</v>
      </c>
      <c r="E200" t="s">
        <v>26</v>
      </c>
      <c r="F200" t="s">
        <v>14</v>
      </c>
      <c r="G200" s="11">
        <v>43881</v>
      </c>
      <c r="H200" t="s">
        <v>31</v>
      </c>
      <c r="I200" t="s">
        <v>39</v>
      </c>
      <c r="J200" t="s">
        <v>28</v>
      </c>
      <c r="K200" s="11" t="str">
        <f t="shared" ca="1" si="3"/>
        <v>5 Years</v>
      </c>
      <c r="L200" s="3" cm="1">
        <f t="array" ref="L200">_xlfn.SWITCH(Table13_24[[#This Row],[Performance Score]],"A",6,"B",5,"C",4,"D",3,"E",2,"F",1)</f>
        <v>6</v>
      </c>
    </row>
    <row r="201" spans="1:12" x14ac:dyDescent="0.3">
      <c r="A201" t="s">
        <v>43</v>
      </c>
      <c r="B201">
        <v>50</v>
      </c>
      <c r="C201" s="1">
        <v>50000</v>
      </c>
      <c r="D201" t="s">
        <v>12</v>
      </c>
      <c r="E201" t="s">
        <v>13</v>
      </c>
      <c r="F201" t="s">
        <v>14</v>
      </c>
      <c r="G201" s="11">
        <v>43881</v>
      </c>
      <c r="H201" t="s">
        <v>15</v>
      </c>
      <c r="I201" t="s">
        <v>23</v>
      </c>
      <c r="J201" t="s">
        <v>28</v>
      </c>
      <c r="K201" s="11" t="str">
        <f t="shared" ca="1" si="3"/>
        <v>5 Years</v>
      </c>
      <c r="L201" s="3" cm="1">
        <f t="array" ref="L201">_xlfn.SWITCH(Table13_24[[#This Row],[Performance Score]],"A",6,"B",5,"C",4,"D",3,"E",2,"F",1)</f>
        <v>3</v>
      </c>
    </row>
    <row r="202" spans="1:12" x14ac:dyDescent="0.3">
      <c r="A202" t="s">
        <v>43</v>
      </c>
      <c r="B202">
        <v>35</v>
      </c>
      <c r="C202" s="1">
        <v>48417.431192660551</v>
      </c>
      <c r="D202" t="s">
        <v>12</v>
      </c>
      <c r="E202" t="s">
        <v>20</v>
      </c>
      <c r="F202" t="s">
        <v>41</v>
      </c>
      <c r="G202" s="11">
        <v>43477</v>
      </c>
      <c r="H202" t="s">
        <v>27</v>
      </c>
      <c r="I202" t="s">
        <v>32</v>
      </c>
      <c r="J202" t="s">
        <v>17</v>
      </c>
      <c r="K202" s="11" t="str">
        <f t="shared" ca="1" si="3"/>
        <v>6 Years</v>
      </c>
      <c r="L202" s="3" cm="1">
        <f t="array" ref="L202">_xlfn.SWITCH(Table13_24[[#This Row],[Performance Score]],"A",6,"B",5,"C",4,"D",3,"E",2,"F",1)</f>
        <v>4</v>
      </c>
    </row>
    <row r="203" spans="1:12" x14ac:dyDescent="0.3">
      <c r="A203" t="s">
        <v>45</v>
      </c>
      <c r="B203">
        <v>50</v>
      </c>
      <c r="C203" s="1">
        <v>50000</v>
      </c>
      <c r="D203" t="s">
        <v>12</v>
      </c>
      <c r="E203" t="s">
        <v>30</v>
      </c>
      <c r="F203" t="s">
        <v>37</v>
      </c>
      <c r="G203" s="11">
        <v>43477</v>
      </c>
      <c r="H203" t="s">
        <v>22</v>
      </c>
      <c r="I203" t="s">
        <v>39</v>
      </c>
      <c r="J203" t="s">
        <v>28</v>
      </c>
      <c r="K203" s="11" t="str">
        <f t="shared" ca="1" si="3"/>
        <v>6 Years</v>
      </c>
      <c r="L203" s="3" cm="1">
        <f t="array" ref="L203">_xlfn.SWITCH(Table13_24[[#This Row],[Performance Score]],"A",6,"B",5,"C",4,"D",3,"E",2,"F",1)</f>
        <v>1</v>
      </c>
    </row>
    <row r="204" spans="1:12" x14ac:dyDescent="0.3">
      <c r="A204" t="s">
        <v>46</v>
      </c>
      <c r="B204">
        <v>36</v>
      </c>
      <c r="C204" s="1">
        <v>55000</v>
      </c>
      <c r="D204" t="s">
        <v>12</v>
      </c>
      <c r="E204" t="s">
        <v>30</v>
      </c>
      <c r="F204" t="s">
        <v>41</v>
      </c>
      <c r="G204" s="11">
        <v>43195</v>
      </c>
      <c r="H204" t="s">
        <v>38</v>
      </c>
      <c r="I204" t="s">
        <v>32</v>
      </c>
      <c r="J204" t="s">
        <v>24</v>
      </c>
      <c r="K204" s="11" t="str">
        <f t="shared" ca="1" si="3"/>
        <v>7 Years</v>
      </c>
      <c r="L204" s="3" cm="1">
        <f t="array" ref="L204">_xlfn.SWITCH(Table13_24[[#This Row],[Performance Score]],"A",6,"B",5,"C",4,"D",3,"E",2,"F",1)</f>
        <v>5</v>
      </c>
    </row>
    <row r="205" spans="1:12" x14ac:dyDescent="0.3">
      <c r="A205" t="s">
        <v>43</v>
      </c>
      <c r="B205">
        <v>30</v>
      </c>
      <c r="C205" s="1">
        <v>60000</v>
      </c>
      <c r="D205" t="s">
        <v>12</v>
      </c>
      <c r="E205" t="s">
        <v>20</v>
      </c>
      <c r="F205" t="s">
        <v>21</v>
      </c>
      <c r="G205" s="11">
        <v>43881</v>
      </c>
      <c r="H205" t="s">
        <v>38</v>
      </c>
      <c r="I205" t="s">
        <v>39</v>
      </c>
      <c r="J205" t="s">
        <v>24</v>
      </c>
      <c r="K205" s="11" t="str">
        <f t="shared" ca="1" si="3"/>
        <v>5 Years</v>
      </c>
      <c r="L205" s="3" cm="1">
        <f t="array" ref="L205">_xlfn.SWITCH(Table13_24[[#This Row],[Performance Score]],"A",6,"B",5,"C",4,"D",3,"E",2,"F",1)</f>
        <v>5</v>
      </c>
    </row>
    <row r="206" spans="1:12" x14ac:dyDescent="0.3">
      <c r="A206" t="s">
        <v>36</v>
      </c>
      <c r="B206">
        <v>30</v>
      </c>
      <c r="C206" s="1">
        <v>70000</v>
      </c>
      <c r="D206" t="s">
        <v>34</v>
      </c>
      <c r="E206" t="s">
        <v>30</v>
      </c>
      <c r="F206" t="s">
        <v>14</v>
      </c>
      <c r="G206" s="11">
        <v>43477</v>
      </c>
      <c r="H206" t="s">
        <v>31</v>
      </c>
      <c r="I206" t="s">
        <v>23</v>
      </c>
      <c r="J206" t="s">
        <v>17</v>
      </c>
      <c r="K206" s="11" t="str">
        <f t="shared" ca="1" si="3"/>
        <v>6 Years</v>
      </c>
      <c r="L206" s="3" cm="1">
        <f t="array" ref="L206">_xlfn.SWITCH(Table13_24[[#This Row],[Performance Score]],"A",6,"B",5,"C",4,"D",3,"E",2,"F",1)</f>
        <v>6</v>
      </c>
    </row>
    <row r="207" spans="1:12" x14ac:dyDescent="0.3">
      <c r="A207" t="s">
        <v>18</v>
      </c>
      <c r="B207">
        <v>40</v>
      </c>
      <c r="C207" s="1">
        <v>55000</v>
      </c>
      <c r="D207" t="s">
        <v>12</v>
      </c>
      <c r="E207" t="s">
        <v>13</v>
      </c>
      <c r="F207" t="s">
        <v>40</v>
      </c>
      <c r="G207" s="11">
        <v>43881</v>
      </c>
      <c r="H207" t="s">
        <v>27</v>
      </c>
      <c r="I207" t="s">
        <v>23</v>
      </c>
      <c r="J207" t="s">
        <v>17</v>
      </c>
      <c r="K207" s="11" t="str">
        <f t="shared" ca="1" si="3"/>
        <v>5 Years</v>
      </c>
      <c r="L207" s="3" cm="1">
        <f t="array" ref="L207">_xlfn.SWITCH(Table13_24[[#This Row],[Performance Score]],"A",6,"B",5,"C",4,"D",3,"E",2,"F",1)</f>
        <v>4</v>
      </c>
    </row>
    <row r="208" spans="1:12" x14ac:dyDescent="0.3">
      <c r="A208" t="s">
        <v>18</v>
      </c>
      <c r="B208">
        <v>40</v>
      </c>
      <c r="C208" s="1">
        <v>60000</v>
      </c>
      <c r="D208" t="s">
        <v>19</v>
      </c>
      <c r="E208" t="s">
        <v>13</v>
      </c>
      <c r="F208" t="s">
        <v>14</v>
      </c>
      <c r="G208" s="11">
        <v>43477</v>
      </c>
      <c r="H208" t="s">
        <v>15</v>
      </c>
      <c r="I208" t="s">
        <v>23</v>
      </c>
      <c r="J208" t="s">
        <v>24</v>
      </c>
      <c r="K208" s="11" t="str">
        <f t="shared" ca="1" si="3"/>
        <v>6 Years</v>
      </c>
      <c r="L208" s="3" cm="1">
        <f t="array" ref="L208">_xlfn.SWITCH(Table13_24[[#This Row],[Performance Score]],"A",6,"B",5,"C",4,"D",3,"E",2,"F",1)</f>
        <v>3</v>
      </c>
    </row>
    <row r="209" spans="1:12" x14ac:dyDescent="0.3">
      <c r="A209" t="s">
        <v>36</v>
      </c>
      <c r="B209">
        <v>30</v>
      </c>
      <c r="C209" s="1">
        <v>55000</v>
      </c>
      <c r="D209" t="s">
        <v>12</v>
      </c>
      <c r="E209" t="s">
        <v>20</v>
      </c>
      <c r="F209" t="s">
        <v>40</v>
      </c>
      <c r="G209" s="11">
        <v>43845</v>
      </c>
      <c r="H209" t="s">
        <v>38</v>
      </c>
      <c r="I209" t="s">
        <v>32</v>
      </c>
      <c r="J209" t="s">
        <v>24</v>
      </c>
      <c r="K209" s="11" t="str">
        <f t="shared" ca="1" si="3"/>
        <v>5 Years</v>
      </c>
      <c r="L209" s="3" cm="1">
        <f t="array" ref="L209">_xlfn.SWITCH(Table13_24[[#This Row],[Performance Score]],"A",6,"B",5,"C",4,"D",3,"E",2,"F",1)</f>
        <v>5</v>
      </c>
    </row>
    <row r="210" spans="1:12" x14ac:dyDescent="0.3">
      <c r="A210" t="s">
        <v>33</v>
      </c>
      <c r="B210">
        <v>40</v>
      </c>
      <c r="C210" s="1">
        <v>50777.202072538857</v>
      </c>
      <c r="D210" t="s">
        <v>12</v>
      </c>
      <c r="E210" t="s">
        <v>30</v>
      </c>
      <c r="F210" t="s">
        <v>21</v>
      </c>
      <c r="G210" s="11">
        <v>43549</v>
      </c>
      <c r="H210" t="s">
        <v>31</v>
      </c>
      <c r="I210" t="s">
        <v>16</v>
      </c>
      <c r="J210" t="s">
        <v>17</v>
      </c>
      <c r="K210" s="11" t="str">
        <f t="shared" ca="1" si="3"/>
        <v>6 Years</v>
      </c>
      <c r="L210" s="3" cm="1">
        <f t="array" ref="L210">_xlfn.SWITCH(Table13_24[[#This Row],[Performance Score]],"A",6,"B",5,"C",4,"D",3,"E",2,"F",1)</f>
        <v>6</v>
      </c>
    </row>
    <row r="211" spans="1:12" x14ac:dyDescent="0.3">
      <c r="A211" t="s">
        <v>36</v>
      </c>
      <c r="B211">
        <v>35</v>
      </c>
      <c r="C211" s="1">
        <v>70000</v>
      </c>
      <c r="D211" t="s">
        <v>34</v>
      </c>
      <c r="E211" t="s">
        <v>13</v>
      </c>
      <c r="F211" t="s">
        <v>21</v>
      </c>
      <c r="G211" s="11">
        <v>43845</v>
      </c>
      <c r="H211" t="s">
        <v>27</v>
      </c>
      <c r="I211" t="s">
        <v>32</v>
      </c>
      <c r="J211" t="s">
        <v>42</v>
      </c>
      <c r="K211" s="11" t="str">
        <f t="shared" ca="1" si="3"/>
        <v>5 Years</v>
      </c>
      <c r="L211" s="3" cm="1">
        <f t="array" ref="L211">_xlfn.SWITCH(Table13_24[[#This Row],[Performance Score]],"A",6,"B",5,"C",4,"D",3,"E",2,"F",1)</f>
        <v>4</v>
      </c>
    </row>
    <row r="212" spans="1:12" x14ac:dyDescent="0.3">
      <c r="A212" t="s">
        <v>36</v>
      </c>
      <c r="B212">
        <v>50</v>
      </c>
      <c r="C212" s="1">
        <v>50000</v>
      </c>
      <c r="D212" t="s">
        <v>34</v>
      </c>
      <c r="E212" t="s">
        <v>13</v>
      </c>
      <c r="F212" t="s">
        <v>14</v>
      </c>
      <c r="G212" s="11">
        <v>43477</v>
      </c>
      <c r="H212" t="s">
        <v>27</v>
      </c>
      <c r="I212" t="s">
        <v>32</v>
      </c>
      <c r="J212" t="s">
        <v>28</v>
      </c>
      <c r="K212" s="11" t="str">
        <f t="shared" ca="1" si="3"/>
        <v>6 Years</v>
      </c>
      <c r="L212" s="3" cm="1">
        <f t="array" ref="L212">_xlfn.SWITCH(Table13_24[[#This Row],[Performance Score]],"A",6,"B",5,"C",4,"D",3,"E",2,"F",1)</f>
        <v>4</v>
      </c>
    </row>
    <row r="213" spans="1:12" x14ac:dyDescent="0.3">
      <c r="A213" t="s">
        <v>18</v>
      </c>
      <c r="B213">
        <v>30</v>
      </c>
      <c r="C213" s="1">
        <v>50000</v>
      </c>
      <c r="D213" t="s">
        <v>19</v>
      </c>
      <c r="E213" t="s">
        <v>35</v>
      </c>
      <c r="F213" t="s">
        <v>40</v>
      </c>
      <c r="G213" s="11">
        <v>43549</v>
      </c>
      <c r="H213" t="s">
        <v>31</v>
      </c>
      <c r="I213" t="s">
        <v>39</v>
      </c>
      <c r="J213" t="s">
        <v>24</v>
      </c>
      <c r="K213" s="11" t="str">
        <f t="shared" ca="1" si="3"/>
        <v>6 Years</v>
      </c>
      <c r="L213" s="3" cm="1">
        <f t="array" ref="L213">_xlfn.SWITCH(Table13_24[[#This Row],[Performance Score]],"A",6,"B",5,"C",4,"D",3,"E",2,"F",1)</f>
        <v>6</v>
      </c>
    </row>
    <row r="214" spans="1:12" x14ac:dyDescent="0.3">
      <c r="A214" t="s">
        <v>11</v>
      </c>
      <c r="B214">
        <v>40</v>
      </c>
      <c r="C214" s="1">
        <v>60000</v>
      </c>
      <c r="D214" t="s">
        <v>19</v>
      </c>
      <c r="E214" t="s">
        <v>35</v>
      </c>
      <c r="F214" t="s">
        <v>21</v>
      </c>
      <c r="G214" s="11">
        <v>43549</v>
      </c>
      <c r="H214" t="s">
        <v>31</v>
      </c>
      <c r="I214" t="s">
        <v>39</v>
      </c>
      <c r="J214" t="s">
        <v>42</v>
      </c>
      <c r="K214" s="11" t="str">
        <f t="shared" ca="1" si="3"/>
        <v>6 Years</v>
      </c>
      <c r="L214" s="3" cm="1">
        <f t="array" ref="L214">_xlfn.SWITCH(Table13_24[[#This Row],[Performance Score]],"A",6,"B",5,"C",4,"D",3,"E",2,"F",1)</f>
        <v>6</v>
      </c>
    </row>
    <row r="215" spans="1:12" x14ac:dyDescent="0.3">
      <c r="A215" t="s">
        <v>18</v>
      </c>
      <c r="B215">
        <v>30</v>
      </c>
      <c r="C215" s="1">
        <v>65000</v>
      </c>
      <c r="D215" t="s">
        <v>34</v>
      </c>
      <c r="E215" t="s">
        <v>13</v>
      </c>
      <c r="F215" t="s">
        <v>41</v>
      </c>
      <c r="G215" s="11">
        <v>43477</v>
      </c>
      <c r="H215" t="s">
        <v>15</v>
      </c>
      <c r="I215" t="s">
        <v>32</v>
      </c>
      <c r="J215" t="s">
        <v>17</v>
      </c>
      <c r="K215" s="11" t="str">
        <f t="shared" ca="1" si="3"/>
        <v>6 Years</v>
      </c>
      <c r="L215" s="3" cm="1">
        <f t="array" ref="L215">_xlfn.SWITCH(Table13_24[[#This Row],[Performance Score]],"A",6,"B",5,"C",4,"D",3,"E",2,"F",1)</f>
        <v>3</v>
      </c>
    </row>
    <row r="216" spans="1:12" x14ac:dyDescent="0.3">
      <c r="A216" t="s">
        <v>46</v>
      </c>
      <c r="B216">
        <v>36</v>
      </c>
      <c r="C216" s="1">
        <v>48417.431192660551</v>
      </c>
      <c r="D216" t="s">
        <v>34</v>
      </c>
      <c r="E216" t="s">
        <v>20</v>
      </c>
      <c r="F216" t="s">
        <v>41</v>
      </c>
      <c r="G216" s="11">
        <v>43477</v>
      </c>
      <c r="H216" t="s">
        <v>31</v>
      </c>
      <c r="I216" t="s">
        <v>39</v>
      </c>
      <c r="J216" t="s">
        <v>42</v>
      </c>
      <c r="K216" s="11" t="str">
        <f t="shared" ca="1" si="3"/>
        <v>6 Years</v>
      </c>
      <c r="L216" s="3" cm="1">
        <f t="array" ref="L216">_xlfn.SWITCH(Table13_24[[#This Row],[Performance Score]],"A",6,"B",5,"C",4,"D",3,"E",2,"F",1)</f>
        <v>6</v>
      </c>
    </row>
    <row r="217" spans="1:12" x14ac:dyDescent="0.3">
      <c r="A217" t="s">
        <v>45</v>
      </c>
      <c r="B217">
        <v>25</v>
      </c>
      <c r="C217" s="1">
        <v>60000</v>
      </c>
      <c r="D217" t="s">
        <v>12</v>
      </c>
      <c r="E217" t="s">
        <v>26</v>
      </c>
      <c r="F217" t="s">
        <v>40</v>
      </c>
      <c r="G217" s="11">
        <v>43881</v>
      </c>
      <c r="H217" t="s">
        <v>15</v>
      </c>
      <c r="I217" t="s">
        <v>39</v>
      </c>
      <c r="J217" t="s">
        <v>17</v>
      </c>
      <c r="K217" s="11" t="str">
        <f t="shared" ca="1" si="3"/>
        <v>5 Years</v>
      </c>
      <c r="L217" s="3" cm="1">
        <f t="array" ref="L217">_xlfn.SWITCH(Table13_24[[#This Row],[Performance Score]],"A",6,"B",5,"C",4,"D",3,"E",2,"F",1)</f>
        <v>3</v>
      </c>
    </row>
    <row r="218" spans="1:12" x14ac:dyDescent="0.3">
      <c r="A218" t="s">
        <v>25</v>
      </c>
      <c r="B218">
        <v>50</v>
      </c>
      <c r="C218" s="1">
        <v>65000</v>
      </c>
      <c r="D218" t="s">
        <v>34</v>
      </c>
      <c r="E218" t="s">
        <v>26</v>
      </c>
      <c r="F218" t="s">
        <v>14</v>
      </c>
      <c r="G218" s="11">
        <v>43477</v>
      </c>
      <c r="H218" t="s">
        <v>15</v>
      </c>
      <c r="I218" t="s">
        <v>32</v>
      </c>
      <c r="J218" t="s">
        <v>17</v>
      </c>
      <c r="K218" s="11" t="str">
        <f t="shared" ca="1" si="3"/>
        <v>6 Years</v>
      </c>
      <c r="L218" s="3" cm="1">
        <f t="array" ref="L218">_xlfn.SWITCH(Table13_24[[#This Row],[Performance Score]],"A",6,"B",5,"C",4,"D",3,"E",2,"F",1)</f>
        <v>3</v>
      </c>
    </row>
    <row r="219" spans="1:12" x14ac:dyDescent="0.3">
      <c r="A219" t="s">
        <v>11</v>
      </c>
      <c r="B219">
        <v>30</v>
      </c>
      <c r="C219" s="1">
        <v>55000</v>
      </c>
      <c r="D219" t="s">
        <v>19</v>
      </c>
      <c r="E219" t="s">
        <v>13</v>
      </c>
      <c r="F219" t="s">
        <v>21</v>
      </c>
      <c r="G219" s="11">
        <v>43195</v>
      </c>
      <c r="H219" t="s">
        <v>22</v>
      </c>
      <c r="I219" t="s">
        <v>16</v>
      </c>
      <c r="J219" t="s">
        <v>17</v>
      </c>
      <c r="K219" s="11" t="str">
        <f t="shared" ca="1" si="3"/>
        <v>7 Years</v>
      </c>
      <c r="L219" s="3" cm="1">
        <f t="array" ref="L219">_xlfn.SWITCH(Table13_24[[#This Row],[Performance Score]],"A",6,"B",5,"C",4,"D",3,"E",2,"F",1)</f>
        <v>1</v>
      </c>
    </row>
    <row r="220" spans="1:12" x14ac:dyDescent="0.3">
      <c r="A220" t="s">
        <v>44</v>
      </c>
      <c r="B220">
        <v>25</v>
      </c>
      <c r="C220" s="1">
        <v>51825</v>
      </c>
      <c r="D220" t="s">
        <v>12</v>
      </c>
      <c r="E220" t="s">
        <v>13</v>
      </c>
      <c r="F220" t="s">
        <v>14</v>
      </c>
      <c r="G220" s="11">
        <v>43477</v>
      </c>
      <c r="H220" t="s">
        <v>27</v>
      </c>
      <c r="I220" t="s">
        <v>39</v>
      </c>
      <c r="J220" t="s">
        <v>42</v>
      </c>
      <c r="K220" s="11" t="str">
        <f t="shared" ca="1" si="3"/>
        <v>6 Years</v>
      </c>
      <c r="L220" s="3" cm="1">
        <f t="array" ref="L220">_xlfn.SWITCH(Table13_24[[#This Row],[Performance Score]],"A",6,"B",5,"C",4,"D",3,"E",2,"F",1)</f>
        <v>4</v>
      </c>
    </row>
    <row r="221" spans="1:12" x14ac:dyDescent="0.3">
      <c r="A221" t="s">
        <v>25</v>
      </c>
      <c r="B221">
        <v>40</v>
      </c>
      <c r="C221" s="1">
        <v>55000</v>
      </c>
      <c r="D221" t="s">
        <v>19</v>
      </c>
      <c r="E221" t="s">
        <v>13</v>
      </c>
      <c r="F221" t="s">
        <v>41</v>
      </c>
      <c r="G221" s="11">
        <v>43195</v>
      </c>
      <c r="H221" t="s">
        <v>27</v>
      </c>
      <c r="I221" t="s">
        <v>23</v>
      </c>
      <c r="J221" t="s">
        <v>17</v>
      </c>
      <c r="K221" s="11" t="str">
        <f t="shared" ca="1" si="3"/>
        <v>7 Years</v>
      </c>
      <c r="L221" s="3" cm="1">
        <f t="array" ref="L221">_xlfn.SWITCH(Table13_24[[#This Row],[Performance Score]],"A",6,"B",5,"C",4,"D",3,"E",2,"F",1)</f>
        <v>4</v>
      </c>
    </row>
    <row r="222" spans="1:12" x14ac:dyDescent="0.3">
      <c r="A222" t="s">
        <v>45</v>
      </c>
      <c r="B222">
        <v>25</v>
      </c>
      <c r="C222" s="1">
        <v>70000</v>
      </c>
      <c r="D222" t="s">
        <v>12</v>
      </c>
      <c r="E222" t="s">
        <v>20</v>
      </c>
      <c r="F222" t="s">
        <v>21</v>
      </c>
      <c r="G222" s="11">
        <v>43477</v>
      </c>
      <c r="H222" t="s">
        <v>27</v>
      </c>
      <c r="I222" t="s">
        <v>32</v>
      </c>
      <c r="J222" t="s">
        <v>24</v>
      </c>
      <c r="K222" s="11" t="str">
        <f t="shared" ca="1" si="3"/>
        <v>6 Years</v>
      </c>
      <c r="L222" s="3" cm="1">
        <f t="array" ref="L222">_xlfn.SWITCH(Table13_24[[#This Row],[Performance Score]],"A",6,"B",5,"C",4,"D",3,"E",2,"F",1)</f>
        <v>4</v>
      </c>
    </row>
    <row r="223" spans="1:12" x14ac:dyDescent="0.3">
      <c r="A223" t="s">
        <v>46</v>
      </c>
      <c r="B223">
        <v>50</v>
      </c>
      <c r="C223" s="1">
        <v>49144.385026737968</v>
      </c>
      <c r="D223" t="s">
        <v>34</v>
      </c>
      <c r="E223" t="s">
        <v>35</v>
      </c>
      <c r="F223" t="s">
        <v>14</v>
      </c>
      <c r="G223" s="11">
        <v>43881</v>
      </c>
      <c r="H223" t="s">
        <v>22</v>
      </c>
      <c r="I223" t="s">
        <v>32</v>
      </c>
      <c r="J223" t="s">
        <v>42</v>
      </c>
      <c r="K223" s="11" t="str">
        <f t="shared" ca="1" si="3"/>
        <v>5 Years</v>
      </c>
      <c r="L223" s="3" cm="1">
        <f t="array" ref="L223">_xlfn.SWITCH(Table13_24[[#This Row],[Performance Score]],"A",6,"B",5,"C",4,"D",3,"E",2,"F",1)</f>
        <v>1</v>
      </c>
    </row>
    <row r="224" spans="1:12" x14ac:dyDescent="0.3">
      <c r="A224" t="s">
        <v>46</v>
      </c>
      <c r="B224">
        <v>30</v>
      </c>
      <c r="C224" s="1">
        <v>65000</v>
      </c>
      <c r="D224" t="s">
        <v>19</v>
      </c>
      <c r="E224" t="s">
        <v>13</v>
      </c>
      <c r="F224" t="s">
        <v>37</v>
      </c>
      <c r="G224" s="11">
        <v>43195</v>
      </c>
      <c r="H224" t="s">
        <v>15</v>
      </c>
      <c r="I224" t="s">
        <v>39</v>
      </c>
      <c r="J224" t="s">
        <v>24</v>
      </c>
      <c r="K224" s="11" t="str">
        <f t="shared" ca="1" si="3"/>
        <v>7 Years</v>
      </c>
      <c r="L224" s="3" cm="1">
        <f t="array" ref="L224">_xlfn.SWITCH(Table13_24[[#This Row],[Performance Score]],"A",6,"B",5,"C",4,"D",3,"E",2,"F",1)</f>
        <v>3</v>
      </c>
    </row>
    <row r="225" spans="1:12" x14ac:dyDescent="0.3">
      <c r="A225" t="s">
        <v>44</v>
      </c>
      <c r="B225">
        <v>36</v>
      </c>
      <c r="C225" s="1">
        <v>70000</v>
      </c>
      <c r="D225" t="s">
        <v>12</v>
      </c>
      <c r="E225" t="s">
        <v>13</v>
      </c>
      <c r="F225" t="s">
        <v>40</v>
      </c>
      <c r="G225" s="11">
        <v>43845</v>
      </c>
      <c r="H225" t="s">
        <v>15</v>
      </c>
      <c r="I225" t="s">
        <v>39</v>
      </c>
      <c r="J225" t="s">
        <v>42</v>
      </c>
      <c r="K225" s="11" t="str">
        <f t="shared" ca="1" si="3"/>
        <v>5 Years</v>
      </c>
      <c r="L225" s="3" cm="1">
        <f t="array" ref="L225">_xlfn.SWITCH(Table13_24[[#This Row],[Performance Score]],"A",6,"B",5,"C",4,"D",3,"E",2,"F",1)</f>
        <v>3</v>
      </c>
    </row>
    <row r="226" spans="1:12" x14ac:dyDescent="0.3">
      <c r="A226" t="s">
        <v>11</v>
      </c>
      <c r="B226">
        <v>40</v>
      </c>
      <c r="C226" s="1">
        <v>50000</v>
      </c>
      <c r="D226" t="s">
        <v>12</v>
      </c>
      <c r="E226" t="s">
        <v>30</v>
      </c>
      <c r="F226" t="s">
        <v>40</v>
      </c>
      <c r="G226" s="11">
        <v>43195</v>
      </c>
      <c r="H226" t="s">
        <v>31</v>
      </c>
      <c r="I226" t="s">
        <v>39</v>
      </c>
      <c r="J226" t="s">
        <v>24</v>
      </c>
      <c r="K226" s="11" t="str">
        <f t="shared" ca="1" si="3"/>
        <v>7 Years</v>
      </c>
      <c r="L226" s="3" cm="1">
        <f t="array" ref="L226">_xlfn.SWITCH(Table13_24[[#This Row],[Performance Score]],"A",6,"B",5,"C",4,"D",3,"E",2,"F",1)</f>
        <v>6</v>
      </c>
    </row>
    <row r="227" spans="1:12" x14ac:dyDescent="0.3">
      <c r="A227" t="s">
        <v>33</v>
      </c>
      <c r="B227">
        <v>30</v>
      </c>
      <c r="C227" s="1">
        <v>65000</v>
      </c>
      <c r="D227" t="s">
        <v>34</v>
      </c>
      <c r="E227" t="s">
        <v>20</v>
      </c>
      <c r="F227" t="s">
        <v>37</v>
      </c>
      <c r="G227" s="11">
        <v>43881</v>
      </c>
      <c r="H227" t="s">
        <v>22</v>
      </c>
      <c r="I227" t="s">
        <v>39</v>
      </c>
      <c r="J227" t="s">
        <v>42</v>
      </c>
      <c r="K227" s="11" t="str">
        <f t="shared" ca="1" si="3"/>
        <v>5 Years</v>
      </c>
      <c r="L227" s="3" cm="1">
        <f t="array" ref="L227">_xlfn.SWITCH(Table13_24[[#This Row],[Performance Score]],"A",6,"B",5,"C",4,"D",3,"E",2,"F",1)</f>
        <v>1</v>
      </c>
    </row>
    <row r="228" spans="1:12" x14ac:dyDescent="0.3">
      <c r="A228" t="s">
        <v>36</v>
      </c>
      <c r="B228">
        <v>50</v>
      </c>
      <c r="C228" s="1">
        <v>60000</v>
      </c>
      <c r="D228" t="s">
        <v>34</v>
      </c>
      <c r="E228" t="s">
        <v>13</v>
      </c>
      <c r="F228" t="s">
        <v>41</v>
      </c>
      <c r="G228" s="11">
        <v>43195</v>
      </c>
      <c r="H228" t="s">
        <v>31</v>
      </c>
      <c r="I228" t="s">
        <v>23</v>
      </c>
      <c r="J228" t="s">
        <v>17</v>
      </c>
      <c r="K228" s="11" t="str">
        <f t="shared" ca="1" si="3"/>
        <v>7 Years</v>
      </c>
      <c r="L228" s="3" cm="1">
        <f t="array" ref="L228">_xlfn.SWITCH(Table13_24[[#This Row],[Performance Score]],"A",6,"B",5,"C",4,"D",3,"E",2,"F",1)</f>
        <v>6</v>
      </c>
    </row>
    <row r="229" spans="1:12" x14ac:dyDescent="0.3">
      <c r="A229" t="s">
        <v>11</v>
      </c>
      <c r="B229">
        <v>40</v>
      </c>
      <c r="C229" s="1">
        <v>50000</v>
      </c>
      <c r="D229" t="s">
        <v>34</v>
      </c>
      <c r="E229" t="s">
        <v>30</v>
      </c>
      <c r="F229" t="s">
        <v>21</v>
      </c>
      <c r="G229" s="11">
        <v>43477</v>
      </c>
      <c r="H229" t="s">
        <v>22</v>
      </c>
      <c r="I229" t="s">
        <v>39</v>
      </c>
      <c r="J229" t="s">
        <v>28</v>
      </c>
      <c r="K229" s="11" t="str">
        <f t="shared" ca="1" si="3"/>
        <v>6 Years</v>
      </c>
      <c r="L229" s="3" cm="1">
        <f t="array" ref="L229">_xlfn.SWITCH(Table13_24[[#This Row],[Performance Score]],"A",6,"B",5,"C",4,"D",3,"E",2,"F",1)</f>
        <v>1</v>
      </c>
    </row>
    <row r="230" spans="1:12" x14ac:dyDescent="0.3">
      <c r="A230" t="s">
        <v>33</v>
      </c>
      <c r="B230">
        <v>35</v>
      </c>
      <c r="C230" s="1">
        <v>50000</v>
      </c>
      <c r="D230" t="s">
        <v>19</v>
      </c>
      <c r="E230" t="s">
        <v>26</v>
      </c>
      <c r="F230" t="s">
        <v>40</v>
      </c>
      <c r="G230" s="11">
        <v>43477</v>
      </c>
      <c r="H230" t="s">
        <v>31</v>
      </c>
      <c r="I230" t="s">
        <v>39</v>
      </c>
      <c r="J230" t="s">
        <v>17</v>
      </c>
      <c r="K230" s="11" t="str">
        <f t="shared" ca="1" si="3"/>
        <v>6 Years</v>
      </c>
      <c r="L230" s="3" cm="1">
        <f t="array" ref="L230">_xlfn.SWITCH(Table13_24[[#This Row],[Performance Score]],"A",6,"B",5,"C",4,"D",3,"E",2,"F",1)</f>
        <v>6</v>
      </c>
    </row>
    <row r="231" spans="1:12" x14ac:dyDescent="0.3">
      <c r="A231" t="s">
        <v>46</v>
      </c>
      <c r="B231">
        <v>25</v>
      </c>
      <c r="C231" s="1">
        <v>60000</v>
      </c>
      <c r="D231" t="s">
        <v>12</v>
      </c>
      <c r="E231" t="s">
        <v>13</v>
      </c>
      <c r="F231" t="s">
        <v>37</v>
      </c>
      <c r="G231" s="11">
        <v>43881</v>
      </c>
      <c r="H231" t="s">
        <v>38</v>
      </c>
      <c r="I231" t="s">
        <v>39</v>
      </c>
      <c r="J231" t="s">
        <v>24</v>
      </c>
      <c r="K231" s="11" t="str">
        <f t="shared" ca="1" si="3"/>
        <v>5 Years</v>
      </c>
      <c r="L231" s="3" cm="1">
        <f t="array" ref="L231">_xlfn.SWITCH(Table13_24[[#This Row],[Performance Score]],"A",6,"B",5,"C",4,"D",3,"E",2,"F",1)</f>
        <v>5</v>
      </c>
    </row>
    <row r="232" spans="1:12" x14ac:dyDescent="0.3">
      <c r="A232" t="s">
        <v>18</v>
      </c>
      <c r="B232">
        <v>50</v>
      </c>
      <c r="C232" s="1">
        <v>51825</v>
      </c>
      <c r="D232" t="s">
        <v>34</v>
      </c>
      <c r="E232" t="s">
        <v>13</v>
      </c>
      <c r="F232" t="s">
        <v>37</v>
      </c>
      <c r="G232" s="11">
        <v>43549</v>
      </c>
      <c r="H232" t="s">
        <v>27</v>
      </c>
      <c r="I232" t="s">
        <v>39</v>
      </c>
      <c r="J232" t="s">
        <v>17</v>
      </c>
      <c r="K232" s="11" t="str">
        <f t="shared" ca="1" si="3"/>
        <v>6 Years</v>
      </c>
      <c r="L232" s="3" cm="1">
        <f t="array" ref="L232">_xlfn.SWITCH(Table13_24[[#This Row],[Performance Score]],"A",6,"B",5,"C",4,"D",3,"E",2,"F",1)</f>
        <v>4</v>
      </c>
    </row>
    <row r="233" spans="1:12" x14ac:dyDescent="0.3">
      <c r="A233" t="s">
        <v>45</v>
      </c>
      <c r="B233">
        <v>35</v>
      </c>
      <c r="C233" s="1">
        <v>50000</v>
      </c>
      <c r="D233" t="s">
        <v>19</v>
      </c>
      <c r="E233" t="s">
        <v>30</v>
      </c>
      <c r="F233" t="s">
        <v>41</v>
      </c>
      <c r="G233" s="11">
        <v>43477</v>
      </c>
      <c r="H233" t="s">
        <v>27</v>
      </c>
      <c r="I233" t="s">
        <v>16</v>
      </c>
      <c r="J233" t="s">
        <v>17</v>
      </c>
      <c r="K233" s="11" t="str">
        <f t="shared" ca="1" si="3"/>
        <v>6 Years</v>
      </c>
      <c r="L233" s="3" cm="1">
        <f t="array" ref="L233">_xlfn.SWITCH(Table13_24[[#This Row],[Performance Score]],"A",6,"B",5,"C",4,"D",3,"E",2,"F",1)</f>
        <v>4</v>
      </c>
    </row>
    <row r="234" spans="1:12" x14ac:dyDescent="0.3">
      <c r="A234" t="s">
        <v>44</v>
      </c>
      <c r="B234">
        <v>30</v>
      </c>
      <c r="C234" s="1">
        <v>65000</v>
      </c>
      <c r="D234" t="s">
        <v>19</v>
      </c>
      <c r="E234" t="s">
        <v>20</v>
      </c>
      <c r="F234" t="s">
        <v>41</v>
      </c>
      <c r="G234" s="11">
        <v>43845</v>
      </c>
      <c r="H234" t="s">
        <v>15</v>
      </c>
      <c r="I234" t="s">
        <v>16</v>
      </c>
      <c r="J234" t="s">
        <v>28</v>
      </c>
      <c r="K234" s="11" t="str">
        <f t="shared" ca="1" si="3"/>
        <v>5 Years</v>
      </c>
      <c r="L234" s="3" cm="1">
        <f t="array" ref="L234">_xlfn.SWITCH(Table13_24[[#This Row],[Performance Score]],"A",6,"B",5,"C",4,"D",3,"E",2,"F",1)</f>
        <v>3</v>
      </c>
    </row>
    <row r="235" spans="1:12" x14ac:dyDescent="0.3">
      <c r="A235" t="s">
        <v>45</v>
      </c>
      <c r="B235">
        <v>36</v>
      </c>
      <c r="C235" s="1">
        <v>70000</v>
      </c>
      <c r="D235" t="s">
        <v>19</v>
      </c>
      <c r="E235" t="s">
        <v>13</v>
      </c>
      <c r="F235" t="s">
        <v>14</v>
      </c>
      <c r="G235" s="11">
        <v>43881</v>
      </c>
      <c r="H235" t="s">
        <v>38</v>
      </c>
      <c r="I235" t="s">
        <v>32</v>
      </c>
      <c r="J235" t="s">
        <v>24</v>
      </c>
      <c r="K235" s="11" t="str">
        <f t="shared" ca="1" si="3"/>
        <v>5 Years</v>
      </c>
      <c r="L235" s="3" cm="1">
        <f t="array" ref="L235">_xlfn.SWITCH(Table13_24[[#This Row],[Performance Score]],"A",6,"B",5,"C",4,"D",3,"E",2,"F",1)</f>
        <v>5</v>
      </c>
    </row>
    <row r="236" spans="1:12" x14ac:dyDescent="0.3">
      <c r="A236" t="s">
        <v>29</v>
      </c>
      <c r="B236">
        <v>40</v>
      </c>
      <c r="C236" s="1">
        <v>50000</v>
      </c>
      <c r="D236" t="s">
        <v>34</v>
      </c>
      <c r="E236" t="s">
        <v>26</v>
      </c>
      <c r="F236" t="s">
        <v>40</v>
      </c>
      <c r="G236" s="11">
        <v>43195</v>
      </c>
      <c r="H236" t="s">
        <v>27</v>
      </c>
      <c r="I236" t="s">
        <v>32</v>
      </c>
      <c r="J236" t="s">
        <v>17</v>
      </c>
      <c r="K236" s="11" t="str">
        <f t="shared" ca="1" si="3"/>
        <v>7 Years</v>
      </c>
      <c r="L236" s="3" cm="1">
        <f t="array" ref="L236">_xlfn.SWITCH(Table13_24[[#This Row],[Performance Score]],"A",6,"B",5,"C",4,"D",3,"E",2,"F",1)</f>
        <v>4</v>
      </c>
    </row>
    <row r="237" spans="1:12" x14ac:dyDescent="0.3">
      <c r="A237" t="s">
        <v>29</v>
      </c>
      <c r="B237">
        <v>25</v>
      </c>
      <c r="C237" s="1">
        <v>65000</v>
      </c>
      <c r="D237" t="s">
        <v>34</v>
      </c>
      <c r="E237" t="s">
        <v>13</v>
      </c>
      <c r="F237" t="s">
        <v>14</v>
      </c>
      <c r="G237" s="11">
        <v>43195</v>
      </c>
      <c r="H237" t="s">
        <v>15</v>
      </c>
      <c r="I237" t="s">
        <v>39</v>
      </c>
      <c r="J237" t="s">
        <v>42</v>
      </c>
      <c r="K237" s="11" t="str">
        <f t="shared" ca="1" si="3"/>
        <v>7 Years</v>
      </c>
      <c r="L237" s="3" cm="1">
        <f t="array" ref="L237">_xlfn.SWITCH(Table13_24[[#This Row],[Performance Score]],"A",6,"B",5,"C",4,"D",3,"E",2,"F",1)</f>
        <v>3</v>
      </c>
    </row>
    <row r="238" spans="1:12" x14ac:dyDescent="0.3">
      <c r="A238" t="s">
        <v>11</v>
      </c>
      <c r="B238">
        <v>40</v>
      </c>
      <c r="C238" s="1">
        <v>55000</v>
      </c>
      <c r="D238" t="s">
        <v>12</v>
      </c>
      <c r="E238" t="s">
        <v>26</v>
      </c>
      <c r="F238" t="s">
        <v>37</v>
      </c>
      <c r="G238" s="11">
        <v>43845</v>
      </c>
      <c r="H238" t="s">
        <v>38</v>
      </c>
      <c r="I238" t="s">
        <v>39</v>
      </c>
      <c r="J238" t="s">
        <v>17</v>
      </c>
      <c r="K238" s="11" t="str">
        <f t="shared" ca="1" si="3"/>
        <v>5 Years</v>
      </c>
      <c r="L238" s="3" cm="1">
        <f t="array" ref="L238">_xlfn.SWITCH(Table13_24[[#This Row],[Performance Score]],"A",6,"B",5,"C",4,"D",3,"E",2,"F",1)</f>
        <v>5</v>
      </c>
    </row>
    <row r="239" spans="1:12" x14ac:dyDescent="0.3">
      <c r="A239" t="s">
        <v>46</v>
      </c>
      <c r="B239">
        <v>30</v>
      </c>
      <c r="C239" s="1">
        <v>65000</v>
      </c>
      <c r="D239" t="s">
        <v>12</v>
      </c>
      <c r="E239" t="s">
        <v>35</v>
      </c>
      <c r="F239" t="s">
        <v>21</v>
      </c>
      <c r="G239" s="11">
        <v>43477</v>
      </c>
      <c r="H239" t="s">
        <v>27</v>
      </c>
      <c r="I239" t="s">
        <v>23</v>
      </c>
      <c r="J239" t="s">
        <v>24</v>
      </c>
      <c r="K239" s="11" t="str">
        <f t="shared" ca="1" si="3"/>
        <v>6 Years</v>
      </c>
      <c r="L239" s="3" cm="1">
        <f t="array" ref="L239">_xlfn.SWITCH(Table13_24[[#This Row],[Performance Score]],"A",6,"B",5,"C",4,"D",3,"E",2,"F",1)</f>
        <v>4</v>
      </c>
    </row>
    <row r="240" spans="1:12" x14ac:dyDescent="0.3">
      <c r="A240" t="s">
        <v>46</v>
      </c>
      <c r="B240">
        <v>40</v>
      </c>
      <c r="C240" s="1">
        <v>70000</v>
      </c>
      <c r="D240" t="s">
        <v>34</v>
      </c>
      <c r="E240" t="s">
        <v>35</v>
      </c>
      <c r="F240" t="s">
        <v>21</v>
      </c>
      <c r="G240" s="11">
        <v>43881</v>
      </c>
      <c r="H240" t="s">
        <v>31</v>
      </c>
      <c r="I240" t="s">
        <v>23</v>
      </c>
      <c r="J240" t="s">
        <v>17</v>
      </c>
      <c r="K240" s="11" t="str">
        <f t="shared" ca="1" si="3"/>
        <v>5 Years</v>
      </c>
      <c r="L240" s="3" cm="1">
        <f t="array" ref="L240">_xlfn.SWITCH(Table13_24[[#This Row],[Performance Score]],"A",6,"B",5,"C",4,"D",3,"E",2,"F",1)</f>
        <v>6</v>
      </c>
    </row>
    <row r="241" spans="1:12" x14ac:dyDescent="0.3">
      <c r="A241" t="s">
        <v>36</v>
      </c>
      <c r="B241">
        <v>25</v>
      </c>
      <c r="C241" s="1">
        <v>65000</v>
      </c>
      <c r="D241" t="s">
        <v>19</v>
      </c>
      <c r="E241" t="s">
        <v>26</v>
      </c>
      <c r="F241" t="s">
        <v>41</v>
      </c>
      <c r="G241" s="11">
        <v>43845</v>
      </c>
      <c r="H241" t="s">
        <v>22</v>
      </c>
      <c r="I241" t="s">
        <v>16</v>
      </c>
      <c r="J241" t="s">
        <v>24</v>
      </c>
      <c r="K241" s="11" t="str">
        <f t="shared" ca="1" si="3"/>
        <v>5 Years</v>
      </c>
      <c r="L241" s="3" cm="1">
        <f t="array" ref="L241">_xlfn.SWITCH(Table13_24[[#This Row],[Performance Score]],"A",6,"B",5,"C",4,"D",3,"E",2,"F",1)</f>
        <v>1</v>
      </c>
    </row>
    <row r="242" spans="1:12" x14ac:dyDescent="0.3">
      <c r="A242" t="s">
        <v>36</v>
      </c>
      <c r="B242">
        <v>30</v>
      </c>
      <c r="C242" s="1">
        <v>60000</v>
      </c>
      <c r="D242" t="s">
        <v>19</v>
      </c>
      <c r="E242" t="s">
        <v>20</v>
      </c>
      <c r="F242" t="s">
        <v>21</v>
      </c>
      <c r="G242" s="11">
        <v>43477</v>
      </c>
      <c r="H242" t="s">
        <v>38</v>
      </c>
      <c r="I242" t="s">
        <v>32</v>
      </c>
      <c r="J242" t="s">
        <v>42</v>
      </c>
      <c r="K242" s="11" t="str">
        <f t="shared" ca="1" si="3"/>
        <v>6 Years</v>
      </c>
      <c r="L242" s="3" cm="1">
        <f t="array" ref="L242">_xlfn.SWITCH(Table13_24[[#This Row],[Performance Score]],"A",6,"B",5,"C",4,"D",3,"E",2,"F",1)</f>
        <v>5</v>
      </c>
    </row>
    <row r="243" spans="1:12" x14ac:dyDescent="0.3">
      <c r="A243" t="s">
        <v>36</v>
      </c>
      <c r="B243">
        <v>40</v>
      </c>
      <c r="C243" s="1">
        <v>70000</v>
      </c>
      <c r="D243" t="s">
        <v>19</v>
      </c>
      <c r="E243" t="s">
        <v>13</v>
      </c>
      <c r="F243" t="s">
        <v>21</v>
      </c>
      <c r="G243" s="11">
        <v>43881</v>
      </c>
      <c r="H243" t="s">
        <v>15</v>
      </c>
      <c r="I243" t="s">
        <v>16</v>
      </c>
      <c r="J243" t="s">
        <v>28</v>
      </c>
      <c r="K243" s="11" t="str">
        <f t="shared" ca="1" si="3"/>
        <v>5 Years</v>
      </c>
      <c r="L243" s="3" cm="1">
        <f t="array" ref="L243">_xlfn.SWITCH(Table13_24[[#This Row],[Performance Score]],"A",6,"B",5,"C",4,"D",3,"E",2,"F",1)</f>
        <v>3</v>
      </c>
    </row>
    <row r="244" spans="1:12" x14ac:dyDescent="0.3">
      <c r="A244" t="s">
        <v>18</v>
      </c>
      <c r="B244">
        <v>36</v>
      </c>
      <c r="C244" s="1">
        <v>51825</v>
      </c>
      <c r="D244" t="s">
        <v>12</v>
      </c>
      <c r="E244" t="s">
        <v>13</v>
      </c>
      <c r="F244" t="s">
        <v>21</v>
      </c>
      <c r="G244" s="11">
        <v>43195</v>
      </c>
      <c r="H244" t="s">
        <v>38</v>
      </c>
      <c r="I244" t="s">
        <v>16</v>
      </c>
      <c r="J244" t="s">
        <v>17</v>
      </c>
      <c r="K244" s="11" t="str">
        <f t="shared" ca="1" si="3"/>
        <v>7 Years</v>
      </c>
      <c r="L244" s="3" cm="1">
        <f t="array" ref="L244">_xlfn.SWITCH(Table13_24[[#This Row],[Performance Score]],"A",6,"B",5,"C",4,"D",3,"E",2,"F",1)</f>
        <v>5</v>
      </c>
    </row>
    <row r="245" spans="1:12" x14ac:dyDescent="0.3">
      <c r="A245" t="s">
        <v>25</v>
      </c>
      <c r="B245">
        <v>50</v>
      </c>
      <c r="C245" s="1">
        <v>55000</v>
      </c>
      <c r="D245" t="s">
        <v>19</v>
      </c>
      <c r="E245" t="s">
        <v>35</v>
      </c>
      <c r="F245" t="s">
        <v>37</v>
      </c>
      <c r="G245" s="11">
        <v>43881</v>
      </c>
      <c r="H245" t="s">
        <v>15</v>
      </c>
      <c r="I245" t="s">
        <v>32</v>
      </c>
      <c r="J245" t="s">
        <v>24</v>
      </c>
      <c r="K245" s="11" t="str">
        <f t="shared" ca="1" si="3"/>
        <v>5 Years</v>
      </c>
      <c r="L245" s="3" cm="1">
        <f t="array" ref="L245">_xlfn.SWITCH(Table13_24[[#This Row],[Performance Score]],"A",6,"B",5,"C",4,"D",3,"E",2,"F",1)</f>
        <v>3</v>
      </c>
    </row>
    <row r="246" spans="1:12" x14ac:dyDescent="0.3">
      <c r="A246" t="s">
        <v>43</v>
      </c>
      <c r="B246">
        <v>30</v>
      </c>
      <c r="C246" s="1">
        <v>60000</v>
      </c>
      <c r="D246" t="s">
        <v>12</v>
      </c>
      <c r="E246" t="s">
        <v>26</v>
      </c>
      <c r="F246" t="s">
        <v>21</v>
      </c>
      <c r="G246" s="11">
        <v>43549</v>
      </c>
      <c r="H246" t="s">
        <v>38</v>
      </c>
      <c r="I246" t="s">
        <v>23</v>
      </c>
      <c r="J246" t="s">
        <v>24</v>
      </c>
      <c r="K246" s="11" t="str">
        <f t="shared" ca="1" si="3"/>
        <v>6 Years</v>
      </c>
      <c r="L246" s="3" cm="1">
        <f t="array" ref="L246">_xlfn.SWITCH(Table13_24[[#This Row],[Performance Score]],"A",6,"B",5,"C",4,"D",3,"E",2,"F",1)</f>
        <v>5</v>
      </c>
    </row>
    <row r="247" spans="1:12" x14ac:dyDescent="0.3">
      <c r="A247" t="s">
        <v>25</v>
      </c>
      <c r="B247">
        <v>50</v>
      </c>
      <c r="C247" s="1">
        <v>51825</v>
      </c>
      <c r="D247" t="s">
        <v>12</v>
      </c>
      <c r="E247" t="s">
        <v>13</v>
      </c>
      <c r="F247" t="s">
        <v>21</v>
      </c>
      <c r="G247" s="11">
        <v>43881</v>
      </c>
      <c r="H247" t="s">
        <v>15</v>
      </c>
      <c r="I247" t="s">
        <v>32</v>
      </c>
      <c r="J247" t="s">
        <v>24</v>
      </c>
      <c r="K247" s="11" t="str">
        <f t="shared" ca="1" si="3"/>
        <v>5 Years</v>
      </c>
      <c r="L247" s="3" cm="1">
        <f t="array" ref="L247">_xlfn.SWITCH(Table13_24[[#This Row],[Performance Score]],"A",6,"B",5,"C",4,"D",3,"E",2,"F",1)</f>
        <v>3</v>
      </c>
    </row>
    <row r="248" spans="1:12" x14ac:dyDescent="0.3">
      <c r="A248" t="s">
        <v>45</v>
      </c>
      <c r="B248">
        <v>30</v>
      </c>
      <c r="C248" s="1">
        <v>65000</v>
      </c>
      <c r="D248" t="s">
        <v>19</v>
      </c>
      <c r="E248" t="s">
        <v>13</v>
      </c>
      <c r="F248" t="s">
        <v>21</v>
      </c>
      <c r="G248" s="11">
        <v>43549</v>
      </c>
      <c r="H248" t="s">
        <v>27</v>
      </c>
      <c r="I248" t="s">
        <v>39</v>
      </c>
      <c r="J248" t="s">
        <v>28</v>
      </c>
      <c r="K248" s="11" t="str">
        <f t="shared" ca="1" si="3"/>
        <v>6 Years</v>
      </c>
      <c r="L248" s="3" cm="1">
        <f t="array" ref="L248">_xlfn.SWITCH(Table13_24[[#This Row],[Performance Score]],"A",6,"B",5,"C",4,"D",3,"E",2,"F",1)</f>
        <v>4</v>
      </c>
    </row>
    <row r="249" spans="1:12" x14ac:dyDescent="0.3">
      <c r="A249" t="s">
        <v>25</v>
      </c>
      <c r="B249">
        <v>36</v>
      </c>
      <c r="C249" s="1">
        <v>70000</v>
      </c>
      <c r="D249" t="s">
        <v>19</v>
      </c>
      <c r="E249" t="s">
        <v>20</v>
      </c>
      <c r="F249" t="s">
        <v>14</v>
      </c>
      <c r="G249" s="11">
        <v>43881</v>
      </c>
      <c r="H249" t="s">
        <v>31</v>
      </c>
      <c r="I249" t="s">
        <v>39</v>
      </c>
      <c r="J249" t="s">
        <v>24</v>
      </c>
      <c r="K249" s="11" t="str">
        <f t="shared" ca="1" si="3"/>
        <v>5 Years</v>
      </c>
      <c r="L249" s="3" cm="1">
        <f t="array" ref="L249">_xlfn.SWITCH(Table13_24[[#This Row],[Performance Score]],"A",6,"B",5,"C",4,"D",3,"E",2,"F",1)</f>
        <v>6</v>
      </c>
    </row>
    <row r="250" spans="1:12" x14ac:dyDescent="0.3">
      <c r="A250" t="s">
        <v>18</v>
      </c>
      <c r="B250">
        <v>50</v>
      </c>
      <c r="C250" s="1">
        <v>55000</v>
      </c>
      <c r="D250" t="s">
        <v>34</v>
      </c>
      <c r="E250" t="s">
        <v>30</v>
      </c>
      <c r="F250" t="s">
        <v>37</v>
      </c>
      <c r="G250" s="11">
        <v>43549</v>
      </c>
      <c r="H250" t="s">
        <v>27</v>
      </c>
      <c r="I250" t="s">
        <v>39</v>
      </c>
      <c r="J250" t="s">
        <v>17</v>
      </c>
      <c r="K250" s="11" t="str">
        <f t="shared" ca="1" si="3"/>
        <v>6 Years</v>
      </c>
      <c r="L250" s="3" cm="1">
        <f t="array" ref="L250">_xlfn.SWITCH(Table13_24[[#This Row],[Performance Score]],"A",6,"B",5,"C",4,"D",3,"E",2,"F",1)</f>
        <v>4</v>
      </c>
    </row>
    <row r="251" spans="1:12" x14ac:dyDescent="0.3">
      <c r="A251" t="s">
        <v>45</v>
      </c>
      <c r="B251">
        <v>35</v>
      </c>
      <c r="C251" s="1">
        <v>60000</v>
      </c>
      <c r="D251" t="s">
        <v>34</v>
      </c>
      <c r="E251" t="s">
        <v>35</v>
      </c>
      <c r="F251" t="s">
        <v>41</v>
      </c>
      <c r="G251" s="11">
        <v>43195</v>
      </c>
      <c r="H251" t="s">
        <v>31</v>
      </c>
      <c r="I251" t="s">
        <v>39</v>
      </c>
      <c r="J251" t="s">
        <v>17</v>
      </c>
      <c r="K251" s="11" t="str">
        <f t="shared" ca="1" si="3"/>
        <v>7 Years</v>
      </c>
      <c r="L251" s="3" cm="1">
        <f t="array" ref="L251">_xlfn.SWITCH(Table13_24[[#This Row],[Performance Score]],"A",6,"B",5,"C",4,"D",3,"E",2,"F",1)</f>
        <v>6</v>
      </c>
    </row>
    <row r="252" spans="1:12" x14ac:dyDescent="0.3">
      <c r="A252" t="s">
        <v>25</v>
      </c>
      <c r="B252">
        <v>25</v>
      </c>
      <c r="C252" s="1">
        <v>49144.385026737968</v>
      </c>
      <c r="D252" t="s">
        <v>19</v>
      </c>
      <c r="E252" t="s">
        <v>35</v>
      </c>
      <c r="F252" t="s">
        <v>14</v>
      </c>
      <c r="G252" s="11">
        <v>43477</v>
      </c>
      <c r="H252" t="s">
        <v>27</v>
      </c>
      <c r="I252" t="s">
        <v>23</v>
      </c>
      <c r="J252" t="s">
        <v>24</v>
      </c>
      <c r="K252" s="11" t="str">
        <f t="shared" ca="1" si="3"/>
        <v>6 Years</v>
      </c>
      <c r="L252" s="3" cm="1">
        <f t="array" ref="L252">_xlfn.SWITCH(Table13_24[[#This Row],[Performance Score]],"A",6,"B",5,"C",4,"D",3,"E",2,"F",1)</f>
        <v>4</v>
      </c>
    </row>
    <row r="253" spans="1:12" x14ac:dyDescent="0.3">
      <c r="A253" t="s">
        <v>18</v>
      </c>
      <c r="B253">
        <v>35</v>
      </c>
      <c r="C253" s="1">
        <v>50777.202072538857</v>
      </c>
      <c r="D253" t="s">
        <v>12</v>
      </c>
      <c r="E253" t="s">
        <v>30</v>
      </c>
      <c r="F253" t="s">
        <v>40</v>
      </c>
      <c r="G253" s="11">
        <v>43549</v>
      </c>
      <c r="H253" t="s">
        <v>27</v>
      </c>
      <c r="I253" t="s">
        <v>23</v>
      </c>
      <c r="J253" t="s">
        <v>17</v>
      </c>
      <c r="K253" s="11" t="str">
        <f t="shared" ca="1" si="3"/>
        <v>6 Years</v>
      </c>
      <c r="L253" s="3" cm="1">
        <f t="array" ref="L253">_xlfn.SWITCH(Table13_24[[#This Row],[Performance Score]],"A",6,"B",5,"C",4,"D",3,"E",2,"F",1)</f>
        <v>4</v>
      </c>
    </row>
    <row r="254" spans="1:12" x14ac:dyDescent="0.3">
      <c r="A254" t="s">
        <v>43</v>
      </c>
      <c r="B254">
        <v>40</v>
      </c>
      <c r="C254" s="1">
        <v>55000</v>
      </c>
      <c r="D254" t="s">
        <v>12</v>
      </c>
      <c r="E254" t="s">
        <v>13</v>
      </c>
      <c r="F254" t="s">
        <v>37</v>
      </c>
      <c r="G254" s="11">
        <v>43549</v>
      </c>
      <c r="H254" t="s">
        <v>38</v>
      </c>
      <c r="I254" t="s">
        <v>39</v>
      </c>
      <c r="J254" t="s">
        <v>17</v>
      </c>
      <c r="K254" s="11" t="str">
        <f t="shared" ca="1" si="3"/>
        <v>6 Years</v>
      </c>
      <c r="L254" s="3" cm="1">
        <f t="array" ref="L254">_xlfn.SWITCH(Table13_24[[#This Row],[Performance Score]],"A",6,"B",5,"C",4,"D",3,"E",2,"F",1)</f>
        <v>5</v>
      </c>
    </row>
    <row r="255" spans="1:12" x14ac:dyDescent="0.3">
      <c r="A255" t="s">
        <v>25</v>
      </c>
      <c r="B255">
        <v>36</v>
      </c>
      <c r="C255" s="1">
        <v>65000</v>
      </c>
      <c r="D255" t="s">
        <v>12</v>
      </c>
      <c r="E255" t="s">
        <v>20</v>
      </c>
      <c r="F255" t="s">
        <v>37</v>
      </c>
      <c r="G255" s="11">
        <v>43195</v>
      </c>
      <c r="H255" t="s">
        <v>22</v>
      </c>
      <c r="I255" t="s">
        <v>16</v>
      </c>
      <c r="J255" t="s">
        <v>17</v>
      </c>
      <c r="K255" s="11" t="str">
        <f t="shared" ca="1" si="3"/>
        <v>7 Years</v>
      </c>
      <c r="L255" s="3" cm="1">
        <f t="array" ref="L255">_xlfn.SWITCH(Table13_24[[#This Row],[Performance Score]],"A",6,"B",5,"C",4,"D",3,"E",2,"F",1)</f>
        <v>1</v>
      </c>
    </row>
    <row r="256" spans="1:12" x14ac:dyDescent="0.3">
      <c r="A256" t="s">
        <v>18</v>
      </c>
      <c r="B256">
        <v>35</v>
      </c>
      <c r="C256" s="1">
        <v>55000</v>
      </c>
      <c r="D256" t="s">
        <v>12</v>
      </c>
      <c r="E256" t="s">
        <v>20</v>
      </c>
      <c r="F256" t="s">
        <v>40</v>
      </c>
      <c r="G256" s="11">
        <v>43549</v>
      </c>
      <c r="H256" t="s">
        <v>15</v>
      </c>
      <c r="I256" t="s">
        <v>39</v>
      </c>
      <c r="J256" t="s">
        <v>24</v>
      </c>
      <c r="K256" s="11" t="str">
        <f t="shared" ca="1" si="3"/>
        <v>6 Years</v>
      </c>
      <c r="L256" s="3" cm="1">
        <f t="array" ref="L256">_xlfn.SWITCH(Table13_24[[#This Row],[Performance Score]],"A",6,"B",5,"C",4,"D",3,"E",2,"F",1)</f>
        <v>3</v>
      </c>
    </row>
    <row r="257" spans="1:12" x14ac:dyDescent="0.3">
      <c r="A257" t="s">
        <v>36</v>
      </c>
      <c r="B257">
        <v>30</v>
      </c>
      <c r="C257" s="1">
        <v>49144.385026737968</v>
      </c>
      <c r="D257" t="s">
        <v>12</v>
      </c>
      <c r="E257" t="s">
        <v>35</v>
      </c>
      <c r="F257" t="s">
        <v>40</v>
      </c>
      <c r="G257" s="11">
        <v>43845</v>
      </c>
      <c r="H257" t="s">
        <v>15</v>
      </c>
      <c r="I257" t="s">
        <v>39</v>
      </c>
      <c r="J257" t="s">
        <v>42</v>
      </c>
      <c r="K257" s="11" t="str">
        <f t="shared" ca="1" si="3"/>
        <v>5 Years</v>
      </c>
      <c r="L257" s="3" cm="1">
        <f t="array" ref="L257">_xlfn.SWITCH(Table13_24[[#This Row],[Performance Score]],"A",6,"B",5,"C",4,"D",3,"E",2,"F",1)</f>
        <v>3</v>
      </c>
    </row>
    <row r="258" spans="1:12" x14ac:dyDescent="0.3">
      <c r="A258" t="s">
        <v>46</v>
      </c>
      <c r="B258">
        <v>40</v>
      </c>
      <c r="C258" s="1">
        <v>50000</v>
      </c>
      <c r="D258" t="s">
        <v>34</v>
      </c>
      <c r="E258" t="s">
        <v>20</v>
      </c>
      <c r="F258" t="s">
        <v>40</v>
      </c>
      <c r="G258" s="11">
        <v>43195</v>
      </c>
      <c r="H258" t="s">
        <v>15</v>
      </c>
      <c r="I258" t="s">
        <v>16</v>
      </c>
      <c r="J258" t="s">
        <v>17</v>
      </c>
      <c r="K258" s="11" t="str">
        <f t="shared" ca="1" si="3"/>
        <v>7 Years</v>
      </c>
      <c r="L258" s="3" cm="1">
        <f t="array" ref="L258">_xlfn.SWITCH(Table13_24[[#This Row],[Performance Score]],"A",6,"B",5,"C",4,"D",3,"E",2,"F",1)</f>
        <v>3</v>
      </c>
    </row>
    <row r="259" spans="1:12" x14ac:dyDescent="0.3">
      <c r="A259" t="s">
        <v>36</v>
      </c>
      <c r="B259">
        <v>40</v>
      </c>
      <c r="C259" s="1">
        <v>60000</v>
      </c>
      <c r="D259" t="s">
        <v>19</v>
      </c>
      <c r="E259" t="s">
        <v>30</v>
      </c>
      <c r="F259" t="s">
        <v>41</v>
      </c>
      <c r="G259" s="11">
        <v>43845</v>
      </c>
      <c r="H259" t="s">
        <v>31</v>
      </c>
      <c r="I259" t="s">
        <v>32</v>
      </c>
      <c r="J259" t="s">
        <v>28</v>
      </c>
      <c r="K259" s="11" t="str">
        <f t="shared" ref="K259:K322" ca="1" si="4">DATEDIF(G259,TODAY(),"Y") &amp; " Years"</f>
        <v>5 Years</v>
      </c>
      <c r="L259" s="3" cm="1">
        <f t="array" ref="L259">_xlfn.SWITCH(Table13_24[[#This Row],[Performance Score]],"A",6,"B",5,"C",4,"D",3,"E",2,"F",1)</f>
        <v>6</v>
      </c>
    </row>
    <row r="260" spans="1:12" x14ac:dyDescent="0.3">
      <c r="A260" t="s">
        <v>46</v>
      </c>
      <c r="B260">
        <v>35</v>
      </c>
      <c r="C260" s="1">
        <v>55000</v>
      </c>
      <c r="D260" t="s">
        <v>34</v>
      </c>
      <c r="E260" t="s">
        <v>13</v>
      </c>
      <c r="F260" t="s">
        <v>21</v>
      </c>
      <c r="G260" s="11">
        <v>43195</v>
      </c>
      <c r="H260" t="s">
        <v>15</v>
      </c>
      <c r="I260" t="s">
        <v>32</v>
      </c>
      <c r="J260" t="s">
        <v>24</v>
      </c>
      <c r="K260" s="11" t="str">
        <f t="shared" ca="1" si="4"/>
        <v>7 Years</v>
      </c>
      <c r="L260" s="3" cm="1">
        <f t="array" ref="L260">_xlfn.SWITCH(Table13_24[[#This Row],[Performance Score]],"A",6,"B",5,"C",4,"D",3,"E",2,"F",1)</f>
        <v>3</v>
      </c>
    </row>
    <row r="261" spans="1:12" x14ac:dyDescent="0.3">
      <c r="A261" t="s">
        <v>44</v>
      </c>
      <c r="B261">
        <v>35</v>
      </c>
      <c r="C261" s="1">
        <v>50777.202072538857</v>
      </c>
      <c r="D261" t="s">
        <v>12</v>
      </c>
      <c r="E261" t="s">
        <v>30</v>
      </c>
      <c r="F261" t="s">
        <v>37</v>
      </c>
      <c r="G261" s="11">
        <v>43549</v>
      </c>
      <c r="H261" t="s">
        <v>15</v>
      </c>
      <c r="I261" t="s">
        <v>23</v>
      </c>
      <c r="J261" t="s">
        <v>28</v>
      </c>
      <c r="K261" s="11" t="str">
        <f t="shared" ca="1" si="4"/>
        <v>6 Years</v>
      </c>
      <c r="L261" s="3" cm="1">
        <f t="array" ref="L261">_xlfn.SWITCH(Table13_24[[#This Row],[Performance Score]],"A",6,"B",5,"C",4,"D",3,"E",2,"F",1)</f>
        <v>3</v>
      </c>
    </row>
    <row r="262" spans="1:12" x14ac:dyDescent="0.3">
      <c r="A262" t="s">
        <v>44</v>
      </c>
      <c r="B262">
        <v>36</v>
      </c>
      <c r="C262" s="1">
        <v>65000</v>
      </c>
      <c r="D262" t="s">
        <v>12</v>
      </c>
      <c r="E262" t="s">
        <v>26</v>
      </c>
      <c r="F262" t="s">
        <v>21</v>
      </c>
      <c r="G262" s="11">
        <v>43845</v>
      </c>
      <c r="H262" t="s">
        <v>38</v>
      </c>
      <c r="I262" t="s">
        <v>39</v>
      </c>
      <c r="J262" t="s">
        <v>42</v>
      </c>
      <c r="K262" s="11" t="str">
        <f t="shared" ca="1" si="4"/>
        <v>5 Years</v>
      </c>
      <c r="L262" s="3" cm="1">
        <f t="array" ref="L262">_xlfn.SWITCH(Table13_24[[#This Row],[Performance Score]],"A",6,"B",5,"C",4,"D",3,"E",2,"F",1)</f>
        <v>5</v>
      </c>
    </row>
    <row r="263" spans="1:12" x14ac:dyDescent="0.3">
      <c r="A263" t="s">
        <v>44</v>
      </c>
      <c r="B263">
        <v>25</v>
      </c>
      <c r="C263" s="1">
        <v>49144.385026737968</v>
      </c>
      <c r="D263" t="s">
        <v>12</v>
      </c>
      <c r="E263" t="s">
        <v>35</v>
      </c>
      <c r="F263" t="s">
        <v>21</v>
      </c>
      <c r="G263" s="11">
        <v>43549</v>
      </c>
      <c r="H263" t="s">
        <v>27</v>
      </c>
      <c r="I263" t="s">
        <v>23</v>
      </c>
      <c r="J263" t="s">
        <v>28</v>
      </c>
      <c r="K263" s="11" t="str">
        <f t="shared" ca="1" si="4"/>
        <v>6 Years</v>
      </c>
      <c r="L263" s="3" cm="1">
        <f t="array" ref="L263">_xlfn.SWITCH(Table13_24[[#This Row],[Performance Score]],"A",6,"B",5,"C",4,"D",3,"E",2,"F",1)</f>
        <v>4</v>
      </c>
    </row>
    <row r="264" spans="1:12" x14ac:dyDescent="0.3">
      <c r="A264" t="s">
        <v>43</v>
      </c>
      <c r="B264">
        <v>35</v>
      </c>
      <c r="C264" s="1">
        <v>65000</v>
      </c>
      <c r="D264" t="s">
        <v>12</v>
      </c>
      <c r="E264" t="s">
        <v>20</v>
      </c>
      <c r="F264" t="s">
        <v>40</v>
      </c>
      <c r="G264" s="11">
        <v>43195</v>
      </c>
      <c r="H264" t="s">
        <v>15</v>
      </c>
      <c r="I264" t="s">
        <v>32</v>
      </c>
      <c r="J264" t="s">
        <v>24</v>
      </c>
      <c r="K264" s="11" t="str">
        <f t="shared" ca="1" si="4"/>
        <v>7 Years</v>
      </c>
      <c r="L264" s="3" cm="1">
        <f t="array" ref="L264">_xlfn.SWITCH(Table13_24[[#This Row],[Performance Score]],"A",6,"B",5,"C",4,"D",3,"E",2,"F",1)</f>
        <v>3</v>
      </c>
    </row>
    <row r="265" spans="1:12" x14ac:dyDescent="0.3">
      <c r="A265" t="s">
        <v>36</v>
      </c>
      <c r="B265">
        <v>35</v>
      </c>
      <c r="C265" s="1">
        <v>55000</v>
      </c>
      <c r="D265" t="s">
        <v>19</v>
      </c>
      <c r="E265" t="s">
        <v>26</v>
      </c>
      <c r="F265" t="s">
        <v>41</v>
      </c>
      <c r="G265" s="11">
        <v>43549</v>
      </c>
      <c r="H265" t="s">
        <v>22</v>
      </c>
      <c r="I265" t="s">
        <v>16</v>
      </c>
      <c r="J265" t="s">
        <v>24</v>
      </c>
      <c r="K265" s="11" t="str">
        <f t="shared" ca="1" si="4"/>
        <v>6 Years</v>
      </c>
      <c r="L265" s="3" cm="1">
        <f t="array" ref="L265">_xlfn.SWITCH(Table13_24[[#This Row],[Performance Score]],"A",6,"B",5,"C",4,"D",3,"E",2,"F",1)</f>
        <v>1</v>
      </c>
    </row>
    <row r="266" spans="1:12" x14ac:dyDescent="0.3">
      <c r="A266" t="s">
        <v>46</v>
      </c>
      <c r="B266">
        <v>50</v>
      </c>
      <c r="C266" s="1">
        <v>65000</v>
      </c>
      <c r="D266" t="s">
        <v>12</v>
      </c>
      <c r="E266" t="s">
        <v>20</v>
      </c>
      <c r="F266" t="s">
        <v>14</v>
      </c>
      <c r="G266" s="11">
        <v>43845</v>
      </c>
      <c r="H266" t="s">
        <v>15</v>
      </c>
      <c r="I266" t="s">
        <v>23</v>
      </c>
      <c r="J266" t="s">
        <v>42</v>
      </c>
      <c r="K266" s="11" t="str">
        <f t="shared" ca="1" si="4"/>
        <v>5 Years</v>
      </c>
      <c r="L266" s="3" cm="1">
        <f t="array" ref="L266">_xlfn.SWITCH(Table13_24[[#This Row],[Performance Score]],"A",6,"B",5,"C",4,"D",3,"E",2,"F",1)</f>
        <v>3</v>
      </c>
    </row>
    <row r="267" spans="1:12" x14ac:dyDescent="0.3">
      <c r="A267" t="s">
        <v>18</v>
      </c>
      <c r="B267">
        <v>30</v>
      </c>
      <c r="C267" s="1">
        <v>70000</v>
      </c>
      <c r="D267" t="s">
        <v>19</v>
      </c>
      <c r="E267" t="s">
        <v>13</v>
      </c>
      <c r="F267" t="s">
        <v>41</v>
      </c>
      <c r="G267" s="11">
        <v>43845</v>
      </c>
      <c r="H267" t="s">
        <v>31</v>
      </c>
      <c r="I267" t="s">
        <v>39</v>
      </c>
      <c r="J267" t="s">
        <v>24</v>
      </c>
      <c r="K267" s="11" t="str">
        <f t="shared" ca="1" si="4"/>
        <v>5 Years</v>
      </c>
      <c r="L267" s="3" cm="1">
        <f t="array" ref="L267">_xlfn.SWITCH(Table13_24[[#This Row],[Performance Score]],"A",6,"B",5,"C",4,"D",3,"E",2,"F",1)</f>
        <v>6</v>
      </c>
    </row>
    <row r="268" spans="1:12" x14ac:dyDescent="0.3">
      <c r="A268" t="s">
        <v>45</v>
      </c>
      <c r="B268">
        <v>50</v>
      </c>
      <c r="C268" s="1">
        <v>70000</v>
      </c>
      <c r="D268" t="s">
        <v>12</v>
      </c>
      <c r="E268" t="s">
        <v>13</v>
      </c>
      <c r="F268" t="s">
        <v>21</v>
      </c>
      <c r="G268" s="11">
        <v>43549</v>
      </c>
      <c r="H268" t="s">
        <v>31</v>
      </c>
      <c r="I268" t="s">
        <v>39</v>
      </c>
      <c r="J268" t="s">
        <v>42</v>
      </c>
      <c r="K268" s="11" t="str">
        <f t="shared" ca="1" si="4"/>
        <v>6 Years</v>
      </c>
      <c r="L268" s="3" cm="1">
        <f t="array" ref="L268">_xlfn.SWITCH(Table13_24[[#This Row],[Performance Score]],"A",6,"B",5,"C",4,"D",3,"E",2,"F",1)</f>
        <v>6</v>
      </c>
    </row>
    <row r="269" spans="1:12" x14ac:dyDescent="0.3">
      <c r="A269" t="s">
        <v>18</v>
      </c>
      <c r="B269">
        <v>50</v>
      </c>
      <c r="C269" s="1">
        <v>70000</v>
      </c>
      <c r="D269" t="s">
        <v>19</v>
      </c>
      <c r="E269" t="s">
        <v>13</v>
      </c>
      <c r="F269" t="s">
        <v>41</v>
      </c>
      <c r="G269" s="11">
        <v>43881</v>
      </c>
      <c r="H269" t="s">
        <v>31</v>
      </c>
      <c r="I269" t="s">
        <v>16</v>
      </c>
      <c r="J269" t="s">
        <v>42</v>
      </c>
      <c r="K269" s="11" t="str">
        <f t="shared" ca="1" si="4"/>
        <v>5 Years</v>
      </c>
      <c r="L269" s="3" cm="1">
        <f t="array" ref="L269">_xlfn.SWITCH(Table13_24[[#This Row],[Performance Score]],"A",6,"B",5,"C",4,"D",3,"E",2,"F",1)</f>
        <v>6</v>
      </c>
    </row>
    <row r="270" spans="1:12" x14ac:dyDescent="0.3">
      <c r="A270" t="s">
        <v>45</v>
      </c>
      <c r="B270">
        <v>40</v>
      </c>
      <c r="C270" s="1">
        <v>50000</v>
      </c>
      <c r="D270" t="s">
        <v>34</v>
      </c>
      <c r="E270" t="s">
        <v>20</v>
      </c>
      <c r="F270" t="s">
        <v>40</v>
      </c>
      <c r="G270" s="11">
        <v>43195</v>
      </c>
      <c r="H270" t="s">
        <v>15</v>
      </c>
      <c r="I270" t="s">
        <v>32</v>
      </c>
      <c r="J270" t="s">
        <v>24</v>
      </c>
      <c r="K270" s="11" t="str">
        <f t="shared" ca="1" si="4"/>
        <v>7 Years</v>
      </c>
      <c r="L270" s="3" cm="1">
        <f t="array" ref="L270">_xlfn.SWITCH(Table13_24[[#This Row],[Performance Score]],"A",6,"B",5,"C",4,"D",3,"E",2,"F",1)</f>
        <v>3</v>
      </c>
    </row>
    <row r="271" spans="1:12" x14ac:dyDescent="0.3">
      <c r="A271" t="s">
        <v>29</v>
      </c>
      <c r="B271">
        <v>25</v>
      </c>
      <c r="C271" s="1">
        <v>55000</v>
      </c>
      <c r="D271" t="s">
        <v>12</v>
      </c>
      <c r="E271" t="s">
        <v>26</v>
      </c>
      <c r="F271" t="s">
        <v>14</v>
      </c>
      <c r="G271" s="11">
        <v>43195</v>
      </c>
      <c r="H271" t="s">
        <v>38</v>
      </c>
      <c r="I271" t="s">
        <v>39</v>
      </c>
      <c r="J271" t="s">
        <v>17</v>
      </c>
      <c r="K271" s="11" t="str">
        <f t="shared" ca="1" si="4"/>
        <v>7 Years</v>
      </c>
      <c r="L271" s="3" cm="1">
        <f t="array" ref="L271">_xlfn.SWITCH(Table13_24[[#This Row],[Performance Score]],"A",6,"B",5,"C",4,"D",3,"E",2,"F",1)</f>
        <v>5</v>
      </c>
    </row>
    <row r="272" spans="1:12" x14ac:dyDescent="0.3">
      <c r="A272" t="s">
        <v>18</v>
      </c>
      <c r="B272">
        <v>30</v>
      </c>
      <c r="C272" s="1">
        <v>51825</v>
      </c>
      <c r="D272" t="s">
        <v>19</v>
      </c>
      <c r="E272" t="s">
        <v>13</v>
      </c>
      <c r="F272" t="s">
        <v>40</v>
      </c>
      <c r="G272" s="11">
        <v>43549</v>
      </c>
      <c r="H272" t="s">
        <v>22</v>
      </c>
      <c r="I272" t="s">
        <v>39</v>
      </c>
      <c r="J272" t="s">
        <v>42</v>
      </c>
      <c r="K272" s="11" t="str">
        <f t="shared" ca="1" si="4"/>
        <v>6 Years</v>
      </c>
      <c r="L272" s="3" cm="1">
        <f t="array" ref="L272">_xlfn.SWITCH(Table13_24[[#This Row],[Performance Score]],"A",6,"B",5,"C",4,"D",3,"E",2,"F",1)</f>
        <v>1</v>
      </c>
    </row>
    <row r="273" spans="1:12" x14ac:dyDescent="0.3">
      <c r="A273" t="s">
        <v>25</v>
      </c>
      <c r="B273">
        <v>36</v>
      </c>
      <c r="C273" s="1">
        <v>50742.574257425746</v>
      </c>
      <c r="D273" t="s">
        <v>34</v>
      </c>
      <c r="E273" t="s">
        <v>26</v>
      </c>
      <c r="F273" t="s">
        <v>14</v>
      </c>
      <c r="G273" s="11">
        <v>43881</v>
      </c>
      <c r="H273" t="s">
        <v>15</v>
      </c>
      <c r="I273" t="s">
        <v>39</v>
      </c>
      <c r="J273" t="s">
        <v>24</v>
      </c>
      <c r="K273" s="11" t="str">
        <f t="shared" ca="1" si="4"/>
        <v>5 Years</v>
      </c>
      <c r="L273" s="3" cm="1">
        <f t="array" ref="L273">_xlfn.SWITCH(Table13_24[[#This Row],[Performance Score]],"A",6,"B",5,"C",4,"D",3,"E",2,"F",1)</f>
        <v>3</v>
      </c>
    </row>
    <row r="274" spans="1:12" x14ac:dyDescent="0.3">
      <c r="A274" t="s">
        <v>25</v>
      </c>
      <c r="B274">
        <v>36</v>
      </c>
      <c r="C274" s="1">
        <v>50000</v>
      </c>
      <c r="D274" t="s">
        <v>12</v>
      </c>
      <c r="E274" t="s">
        <v>20</v>
      </c>
      <c r="F274" t="s">
        <v>21</v>
      </c>
      <c r="G274" s="11">
        <v>43845</v>
      </c>
      <c r="H274" t="s">
        <v>38</v>
      </c>
      <c r="I274" t="s">
        <v>23</v>
      </c>
      <c r="J274" t="s">
        <v>17</v>
      </c>
      <c r="K274" s="11" t="str">
        <f t="shared" ca="1" si="4"/>
        <v>5 Years</v>
      </c>
      <c r="L274" s="3" cm="1">
        <f t="array" ref="L274">_xlfn.SWITCH(Table13_24[[#This Row],[Performance Score]],"A",6,"B",5,"C",4,"D",3,"E",2,"F",1)</f>
        <v>5</v>
      </c>
    </row>
    <row r="275" spans="1:12" x14ac:dyDescent="0.3">
      <c r="A275" t="s">
        <v>11</v>
      </c>
      <c r="B275">
        <v>35</v>
      </c>
      <c r="C275" s="1">
        <v>65000</v>
      </c>
      <c r="D275" t="s">
        <v>12</v>
      </c>
      <c r="E275" t="s">
        <v>26</v>
      </c>
      <c r="F275" t="s">
        <v>14</v>
      </c>
      <c r="G275" s="11">
        <v>43477</v>
      </c>
      <c r="H275" t="s">
        <v>38</v>
      </c>
      <c r="I275" t="s">
        <v>32</v>
      </c>
      <c r="J275" t="s">
        <v>42</v>
      </c>
      <c r="K275" s="11" t="str">
        <f t="shared" ca="1" si="4"/>
        <v>6 Years</v>
      </c>
      <c r="L275" s="3" cm="1">
        <f t="array" ref="L275">_xlfn.SWITCH(Table13_24[[#This Row],[Performance Score]],"A",6,"B",5,"C",4,"D",3,"E",2,"F",1)</f>
        <v>5</v>
      </c>
    </row>
    <row r="276" spans="1:12" x14ac:dyDescent="0.3">
      <c r="A276" t="s">
        <v>36</v>
      </c>
      <c r="B276">
        <v>35</v>
      </c>
      <c r="C276" s="1">
        <v>50000</v>
      </c>
      <c r="D276" t="s">
        <v>12</v>
      </c>
      <c r="E276" t="s">
        <v>20</v>
      </c>
      <c r="F276" t="s">
        <v>14</v>
      </c>
      <c r="G276" s="11">
        <v>43477</v>
      </c>
      <c r="H276" t="s">
        <v>15</v>
      </c>
      <c r="I276" t="s">
        <v>23</v>
      </c>
      <c r="J276" t="s">
        <v>17</v>
      </c>
      <c r="K276" s="11" t="str">
        <f t="shared" ca="1" si="4"/>
        <v>6 Years</v>
      </c>
      <c r="L276" s="3" cm="1">
        <f t="array" ref="L276">_xlfn.SWITCH(Table13_24[[#This Row],[Performance Score]],"A",6,"B",5,"C",4,"D",3,"E",2,"F",1)</f>
        <v>3</v>
      </c>
    </row>
    <row r="277" spans="1:12" x14ac:dyDescent="0.3">
      <c r="A277" t="s">
        <v>45</v>
      </c>
      <c r="B277">
        <v>36</v>
      </c>
      <c r="C277" s="1">
        <v>65000</v>
      </c>
      <c r="D277" t="s">
        <v>19</v>
      </c>
      <c r="E277" t="s">
        <v>20</v>
      </c>
      <c r="F277" t="s">
        <v>14</v>
      </c>
      <c r="G277" s="11">
        <v>43549</v>
      </c>
      <c r="H277" t="s">
        <v>15</v>
      </c>
      <c r="I277" t="s">
        <v>32</v>
      </c>
      <c r="J277" t="s">
        <v>17</v>
      </c>
      <c r="K277" s="11" t="str">
        <f t="shared" ca="1" si="4"/>
        <v>6 Years</v>
      </c>
      <c r="L277" s="3" cm="1">
        <f t="array" ref="L277">_xlfn.SWITCH(Table13_24[[#This Row],[Performance Score]],"A",6,"B",5,"C",4,"D",3,"E",2,"F",1)</f>
        <v>3</v>
      </c>
    </row>
    <row r="278" spans="1:12" x14ac:dyDescent="0.3">
      <c r="A278" t="s">
        <v>45</v>
      </c>
      <c r="B278">
        <v>35</v>
      </c>
      <c r="C278" s="1">
        <v>65000</v>
      </c>
      <c r="D278" t="s">
        <v>19</v>
      </c>
      <c r="E278" t="s">
        <v>35</v>
      </c>
      <c r="F278" t="s">
        <v>41</v>
      </c>
      <c r="G278" s="11">
        <v>43881</v>
      </c>
      <c r="H278" t="s">
        <v>38</v>
      </c>
      <c r="I278" t="s">
        <v>39</v>
      </c>
      <c r="J278" t="s">
        <v>17</v>
      </c>
      <c r="K278" s="11" t="str">
        <f t="shared" ca="1" si="4"/>
        <v>5 Years</v>
      </c>
      <c r="L278" s="3" cm="1">
        <f t="array" ref="L278">_xlfn.SWITCH(Table13_24[[#This Row],[Performance Score]],"A",6,"B",5,"C",4,"D",3,"E",2,"F",1)</f>
        <v>5</v>
      </c>
    </row>
    <row r="279" spans="1:12" x14ac:dyDescent="0.3">
      <c r="A279" t="s">
        <v>36</v>
      </c>
      <c r="B279">
        <v>25</v>
      </c>
      <c r="C279" s="1">
        <v>60000</v>
      </c>
      <c r="D279" t="s">
        <v>34</v>
      </c>
      <c r="E279" t="s">
        <v>20</v>
      </c>
      <c r="F279" t="s">
        <v>41</v>
      </c>
      <c r="G279" s="11">
        <v>43881</v>
      </c>
      <c r="H279" t="s">
        <v>38</v>
      </c>
      <c r="I279" t="s">
        <v>39</v>
      </c>
      <c r="J279" t="s">
        <v>17</v>
      </c>
      <c r="K279" s="11" t="str">
        <f t="shared" ca="1" si="4"/>
        <v>5 Years</v>
      </c>
      <c r="L279" s="3" cm="1">
        <f t="array" ref="L279">_xlfn.SWITCH(Table13_24[[#This Row],[Performance Score]],"A",6,"B",5,"C",4,"D",3,"E",2,"F",1)</f>
        <v>5</v>
      </c>
    </row>
    <row r="280" spans="1:12" x14ac:dyDescent="0.3">
      <c r="A280" t="s">
        <v>43</v>
      </c>
      <c r="B280">
        <v>50</v>
      </c>
      <c r="C280" s="1">
        <v>48417.431192660551</v>
      </c>
      <c r="D280" t="s">
        <v>19</v>
      </c>
      <c r="E280" t="s">
        <v>20</v>
      </c>
      <c r="F280" t="s">
        <v>21</v>
      </c>
      <c r="G280" s="11">
        <v>43195</v>
      </c>
      <c r="H280" t="s">
        <v>38</v>
      </c>
      <c r="I280" t="s">
        <v>23</v>
      </c>
      <c r="J280" t="s">
        <v>42</v>
      </c>
      <c r="K280" s="11" t="str">
        <f t="shared" ca="1" si="4"/>
        <v>7 Years</v>
      </c>
      <c r="L280" s="3" cm="1">
        <f t="array" ref="L280">_xlfn.SWITCH(Table13_24[[#This Row],[Performance Score]],"A",6,"B",5,"C",4,"D",3,"E",2,"F",1)</f>
        <v>5</v>
      </c>
    </row>
    <row r="281" spans="1:12" x14ac:dyDescent="0.3">
      <c r="A281" t="s">
        <v>11</v>
      </c>
      <c r="B281">
        <v>35</v>
      </c>
      <c r="C281" s="1">
        <v>70000</v>
      </c>
      <c r="D281" t="s">
        <v>19</v>
      </c>
      <c r="E281" t="s">
        <v>30</v>
      </c>
      <c r="F281" t="s">
        <v>14</v>
      </c>
      <c r="G281" s="11">
        <v>43845</v>
      </c>
      <c r="H281" t="s">
        <v>15</v>
      </c>
      <c r="I281" t="s">
        <v>39</v>
      </c>
      <c r="J281" t="s">
        <v>24</v>
      </c>
      <c r="K281" s="11" t="str">
        <f t="shared" ca="1" si="4"/>
        <v>5 Years</v>
      </c>
      <c r="L281" s="3" cm="1">
        <f t="array" ref="L281">_xlfn.SWITCH(Table13_24[[#This Row],[Performance Score]],"A",6,"B",5,"C",4,"D",3,"E",2,"F",1)</f>
        <v>3</v>
      </c>
    </row>
    <row r="282" spans="1:12" x14ac:dyDescent="0.3">
      <c r="A282" t="s">
        <v>43</v>
      </c>
      <c r="B282">
        <v>40</v>
      </c>
      <c r="C282" s="1">
        <v>65000</v>
      </c>
      <c r="D282" t="s">
        <v>12</v>
      </c>
      <c r="E282" t="s">
        <v>13</v>
      </c>
      <c r="F282" t="s">
        <v>37</v>
      </c>
      <c r="G282" s="11">
        <v>43881</v>
      </c>
      <c r="H282" t="s">
        <v>38</v>
      </c>
      <c r="I282" t="s">
        <v>32</v>
      </c>
      <c r="J282" t="s">
        <v>28</v>
      </c>
      <c r="K282" s="11" t="str">
        <f t="shared" ca="1" si="4"/>
        <v>5 Years</v>
      </c>
      <c r="L282" s="3" cm="1">
        <f t="array" ref="L282">_xlfn.SWITCH(Table13_24[[#This Row],[Performance Score]],"A",6,"B",5,"C",4,"D",3,"E",2,"F",1)</f>
        <v>5</v>
      </c>
    </row>
    <row r="283" spans="1:12" x14ac:dyDescent="0.3">
      <c r="A283" t="s">
        <v>43</v>
      </c>
      <c r="B283">
        <v>35</v>
      </c>
      <c r="C283" s="1">
        <v>60000</v>
      </c>
      <c r="D283" t="s">
        <v>12</v>
      </c>
      <c r="E283" t="s">
        <v>35</v>
      </c>
      <c r="F283" t="s">
        <v>21</v>
      </c>
      <c r="G283" s="11">
        <v>43477</v>
      </c>
      <c r="H283" t="s">
        <v>31</v>
      </c>
      <c r="I283" t="s">
        <v>23</v>
      </c>
      <c r="J283" t="s">
        <v>24</v>
      </c>
      <c r="K283" s="11" t="str">
        <f t="shared" ca="1" si="4"/>
        <v>6 Years</v>
      </c>
      <c r="L283" s="3" cm="1">
        <f t="array" ref="L283">_xlfn.SWITCH(Table13_24[[#This Row],[Performance Score]],"A",6,"B",5,"C",4,"D",3,"E",2,"F",1)</f>
        <v>6</v>
      </c>
    </row>
    <row r="284" spans="1:12" x14ac:dyDescent="0.3">
      <c r="A284" t="s">
        <v>43</v>
      </c>
      <c r="B284">
        <v>30</v>
      </c>
      <c r="C284" s="1">
        <v>49144.385026737968</v>
      </c>
      <c r="D284" t="s">
        <v>12</v>
      </c>
      <c r="E284" t="s">
        <v>35</v>
      </c>
      <c r="F284" t="s">
        <v>14</v>
      </c>
      <c r="G284" s="11">
        <v>43845</v>
      </c>
      <c r="H284" t="s">
        <v>15</v>
      </c>
      <c r="I284" t="s">
        <v>23</v>
      </c>
      <c r="J284" t="s">
        <v>28</v>
      </c>
      <c r="K284" s="11" t="str">
        <f t="shared" ca="1" si="4"/>
        <v>5 Years</v>
      </c>
      <c r="L284" s="3" cm="1">
        <f t="array" ref="L284">_xlfn.SWITCH(Table13_24[[#This Row],[Performance Score]],"A",6,"B",5,"C",4,"D",3,"E",2,"F",1)</f>
        <v>3</v>
      </c>
    </row>
    <row r="285" spans="1:12" x14ac:dyDescent="0.3">
      <c r="A285" t="s">
        <v>36</v>
      </c>
      <c r="B285">
        <v>25</v>
      </c>
      <c r="C285" s="1">
        <v>70000</v>
      </c>
      <c r="D285" t="s">
        <v>12</v>
      </c>
      <c r="E285" t="s">
        <v>35</v>
      </c>
      <c r="F285" t="s">
        <v>14</v>
      </c>
      <c r="G285" s="11">
        <v>43845</v>
      </c>
      <c r="H285" t="s">
        <v>31</v>
      </c>
      <c r="I285" t="s">
        <v>39</v>
      </c>
      <c r="J285" t="s">
        <v>28</v>
      </c>
      <c r="K285" s="11" t="str">
        <f t="shared" ca="1" si="4"/>
        <v>5 Years</v>
      </c>
      <c r="L285" s="3" cm="1">
        <f t="array" ref="L285">_xlfn.SWITCH(Table13_24[[#This Row],[Performance Score]],"A",6,"B",5,"C",4,"D",3,"E",2,"F",1)</f>
        <v>6</v>
      </c>
    </row>
    <row r="286" spans="1:12" x14ac:dyDescent="0.3">
      <c r="A286" t="s">
        <v>43</v>
      </c>
      <c r="B286">
        <v>30</v>
      </c>
      <c r="C286" s="1">
        <v>65000</v>
      </c>
      <c r="D286" t="s">
        <v>12</v>
      </c>
      <c r="E286" t="s">
        <v>30</v>
      </c>
      <c r="F286" t="s">
        <v>41</v>
      </c>
      <c r="G286" s="11">
        <v>43549</v>
      </c>
      <c r="H286" t="s">
        <v>27</v>
      </c>
      <c r="I286" t="s">
        <v>23</v>
      </c>
      <c r="J286" t="s">
        <v>42</v>
      </c>
      <c r="K286" s="11" t="str">
        <f t="shared" ca="1" si="4"/>
        <v>6 Years</v>
      </c>
      <c r="L286" s="3" cm="1">
        <f t="array" ref="L286">_xlfn.SWITCH(Table13_24[[#This Row],[Performance Score]],"A",6,"B",5,"C",4,"D",3,"E",2,"F",1)</f>
        <v>4</v>
      </c>
    </row>
    <row r="287" spans="1:12" x14ac:dyDescent="0.3">
      <c r="A287" t="s">
        <v>25</v>
      </c>
      <c r="B287">
        <v>30</v>
      </c>
      <c r="C287" s="1">
        <v>65000</v>
      </c>
      <c r="D287" t="s">
        <v>12</v>
      </c>
      <c r="E287" t="s">
        <v>20</v>
      </c>
      <c r="F287" t="s">
        <v>21</v>
      </c>
      <c r="G287" s="11">
        <v>43881</v>
      </c>
      <c r="H287" t="s">
        <v>15</v>
      </c>
      <c r="I287" t="s">
        <v>39</v>
      </c>
      <c r="J287" t="s">
        <v>17</v>
      </c>
      <c r="K287" s="11" t="str">
        <f t="shared" ca="1" si="4"/>
        <v>5 Years</v>
      </c>
      <c r="L287" s="3" cm="1">
        <f t="array" ref="L287">_xlfn.SWITCH(Table13_24[[#This Row],[Performance Score]],"A",6,"B",5,"C",4,"D",3,"E",2,"F",1)</f>
        <v>3</v>
      </c>
    </row>
    <row r="288" spans="1:12" x14ac:dyDescent="0.3">
      <c r="A288" t="s">
        <v>44</v>
      </c>
      <c r="B288">
        <v>40</v>
      </c>
      <c r="C288" s="1">
        <v>50000</v>
      </c>
      <c r="D288" t="s">
        <v>12</v>
      </c>
      <c r="E288" t="s">
        <v>13</v>
      </c>
      <c r="F288" t="s">
        <v>14</v>
      </c>
      <c r="G288" s="11">
        <v>43549</v>
      </c>
      <c r="H288" t="s">
        <v>27</v>
      </c>
      <c r="I288" t="s">
        <v>39</v>
      </c>
      <c r="J288" t="s">
        <v>24</v>
      </c>
      <c r="K288" s="11" t="str">
        <f t="shared" ca="1" si="4"/>
        <v>6 Years</v>
      </c>
      <c r="L288" s="3" cm="1">
        <f t="array" ref="L288">_xlfn.SWITCH(Table13_24[[#This Row],[Performance Score]],"A",6,"B",5,"C",4,"D",3,"E",2,"F",1)</f>
        <v>4</v>
      </c>
    </row>
    <row r="289" spans="1:12" x14ac:dyDescent="0.3">
      <c r="A289" t="s">
        <v>29</v>
      </c>
      <c r="B289">
        <v>25</v>
      </c>
      <c r="C289" s="1">
        <v>50000</v>
      </c>
      <c r="D289" t="s">
        <v>34</v>
      </c>
      <c r="E289" t="s">
        <v>26</v>
      </c>
      <c r="F289" t="s">
        <v>14</v>
      </c>
      <c r="G289" s="11">
        <v>43881</v>
      </c>
      <c r="H289" t="s">
        <v>38</v>
      </c>
      <c r="I289" t="s">
        <v>39</v>
      </c>
      <c r="J289" t="s">
        <v>17</v>
      </c>
      <c r="K289" s="11" t="str">
        <f t="shared" ca="1" si="4"/>
        <v>5 Years</v>
      </c>
      <c r="L289" s="3" cm="1">
        <f t="array" ref="L289">_xlfn.SWITCH(Table13_24[[#This Row],[Performance Score]],"A",6,"B",5,"C",4,"D",3,"E",2,"F",1)</f>
        <v>5</v>
      </c>
    </row>
    <row r="290" spans="1:12" x14ac:dyDescent="0.3">
      <c r="A290" t="s">
        <v>45</v>
      </c>
      <c r="B290">
        <v>25</v>
      </c>
      <c r="C290" s="1">
        <v>48417.431192660551</v>
      </c>
      <c r="D290" t="s">
        <v>34</v>
      </c>
      <c r="E290" t="s">
        <v>20</v>
      </c>
      <c r="F290" t="s">
        <v>21</v>
      </c>
      <c r="G290" s="11">
        <v>43195</v>
      </c>
      <c r="H290" t="s">
        <v>38</v>
      </c>
      <c r="I290" t="s">
        <v>32</v>
      </c>
      <c r="J290" t="s">
        <v>17</v>
      </c>
      <c r="K290" s="11" t="str">
        <f t="shared" ca="1" si="4"/>
        <v>7 Years</v>
      </c>
      <c r="L290" s="3" cm="1">
        <f t="array" ref="L290">_xlfn.SWITCH(Table13_24[[#This Row],[Performance Score]],"A",6,"B",5,"C",4,"D",3,"E",2,"F",1)</f>
        <v>5</v>
      </c>
    </row>
    <row r="291" spans="1:12" x14ac:dyDescent="0.3">
      <c r="A291" t="s">
        <v>45</v>
      </c>
      <c r="B291">
        <v>25</v>
      </c>
      <c r="C291" s="1">
        <v>70000</v>
      </c>
      <c r="D291" t="s">
        <v>34</v>
      </c>
      <c r="E291" t="s">
        <v>30</v>
      </c>
      <c r="F291" t="s">
        <v>37</v>
      </c>
      <c r="G291" s="11">
        <v>43549</v>
      </c>
      <c r="H291" t="s">
        <v>22</v>
      </c>
      <c r="I291" t="s">
        <v>39</v>
      </c>
      <c r="J291" t="s">
        <v>42</v>
      </c>
      <c r="K291" s="11" t="str">
        <f t="shared" ca="1" si="4"/>
        <v>6 Years</v>
      </c>
      <c r="L291" s="3" cm="1">
        <f t="array" ref="L291">_xlfn.SWITCH(Table13_24[[#This Row],[Performance Score]],"A",6,"B",5,"C",4,"D",3,"E",2,"F",1)</f>
        <v>1</v>
      </c>
    </row>
    <row r="292" spans="1:12" x14ac:dyDescent="0.3">
      <c r="A292" t="s">
        <v>29</v>
      </c>
      <c r="B292">
        <v>25</v>
      </c>
      <c r="C292" s="1">
        <v>65000</v>
      </c>
      <c r="D292" t="s">
        <v>34</v>
      </c>
      <c r="E292" t="s">
        <v>20</v>
      </c>
      <c r="F292" t="s">
        <v>21</v>
      </c>
      <c r="G292" s="11">
        <v>43549</v>
      </c>
      <c r="H292" t="s">
        <v>38</v>
      </c>
      <c r="I292" t="s">
        <v>39</v>
      </c>
      <c r="J292" t="s">
        <v>42</v>
      </c>
      <c r="K292" s="11" t="str">
        <f t="shared" ca="1" si="4"/>
        <v>6 Years</v>
      </c>
      <c r="L292" s="3" cm="1">
        <f t="array" ref="L292">_xlfn.SWITCH(Table13_24[[#This Row],[Performance Score]],"A",6,"B",5,"C",4,"D",3,"E",2,"F",1)</f>
        <v>5</v>
      </c>
    </row>
    <row r="293" spans="1:12" x14ac:dyDescent="0.3">
      <c r="A293" t="s">
        <v>36</v>
      </c>
      <c r="B293">
        <v>25</v>
      </c>
      <c r="C293" s="1">
        <v>48417.431192660551</v>
      </c>
      <c r="D293" t="s">
        <v>12</v>
      </c>
      <c r="E293" t="s">
        <v>20</v>
      </c>
      <c r="F293" t="s">
        <v>21</v>
      </c>
      <c r="G293" s="11">
        <v>43477</v>
      </c>
      <c r="H293" t="s">
        <v>27</v>
      </c>
      <c r="I293" t="s">
        <v>16</v>
      </c>
      <c r="J293" t="s">
        <v>17</v>
      </c>
      <c r="K293" s="11" t="str">
        <f t="shared" ca="1" si="4"/>
        <v>6 Years</v>
      </c>
      <c r="L293" s="3" cm="1">
        <f t="array" ref="L293">_xlfn.SWITCH(Table13_24[[#This Row],[Performance Score]],"A",6,"B",5,"C",4,"D",3,"E",2,"F",1)</f>
        <v>4</v>
      </c>
    </row>
    <row r="294" spans="1:12" x14ac:dyDescent="0.3">
      <c r="A294" t="s">
        <v>18</v>
      </c>
      <c r="B294">
        <v>40</v>
      </c>
      <c r="C294" s="1">
        <v>50777.202072538857</v>
      </c>
      <c r="D294" t="s">
        <v>34</v>
      </c>
      <c r="E294" t="s">
        <v>30</v>
      </c>
      <c r="F294" t="s">
        <v>37</v>
      </c>
      <c r="G294" s="11">
        <v>43549</v>
      </c>
      <c r="H294" t="s">
        <v>38</v>
      </c>
      <c r="I294" t="s">
        <v>16</v>
      </c>
      <c r="J294" t="s">
        <v>24</v>
      </c>
      <c r="K294" s="11" t="str">
        <f t="shared" ca="1" si="4"/>
        <v>6 Years</v>
      </c>
      <c r="L294" s="3" cm="1">
        <f t="array" ref="L294">_xlfn.SWITCH(Table13_24[[#This Row],[Performance Score]],"A",6,"B",5,"C",4,"D",3,"E",2,"F",1)</f>
        <v>5</v>
      </c>
    </row>
    <row r="295" spans="1:12" x14ac:dyDescent="0.3">
      <c r="A295" t="s">
        <v>36</v>
      </c>
      <c r="B295">
        <v>35</v>
      </c>
      <c r="C295" s="1">
        <v>55000</v>
      </c>
      <c r="D295" t="s">
        <v>12</v>
      </c>
      <c r="E295" t="s">
        <v>35</v>
      </c>
      <c r="F295" t="s">
        <v>21</v>
      </c>
      <c r="G295" s="11">
        <v>43881</v>
      </c>
      <c r="H295" t="s">
        <v>15</v>
      </c>
      <c r="I295" t="s">
        <v>23</v>
      </c>
      <c r="J295" t="s">
        <v>17</v>
      </c>
      <c r="K295" s="11" t="str">
        <f t="shared" ca="1" si="4"/>
        <v>5 Years</v>
      </c>
      <c r="L295" s="3" cm="1">
        <f t="array" ref="L295">_xlfn.SWITCH(Table13_24[[#This Row],[Performance Score]],"A",6,"B",5,"C",4,"D",3,"E",2,"F",1)</f>
        <v>3</v>
      </c>
    </row>
    <row r="296" spans="1:12" x14ac:dyDescent="0.3">
      <c r="A296" t="s">
        <v>45</v>
      </c>
      <c r="B296">
        <v>30</v>
      </c>
      <c r="C296" s="1">
        <v>50000</v>
      </c>
      <c r="D296" t="s">
        <v>34</v>
      </c>
      <c r="E296" t="s">
        <v>35</v>
      </c>
      <c r="F296" t="s">
        <v>14</v>
      </c>
      <c r="G296" s="11">
        <v>43477</v>
      </c>
      <c r="H296" t="s">
        <v>38</v>
      </c>
      <c r="I296" t="s">
        <v>23</v>
      </c>
      <c r="J296" t="s">
        <v>24</v>
      </c>
      <c r="K296" s="11" t="str">
        <f t="shared" ca="1" si="4"/>
        <v>6 Years</v>
      </c>
      <c r="L296" s="3" cm="1">
        <f t="array" ref="L296">_xlfn.SWITCH(Table13_24[[#This Row],[Performance Score]],"A",6,"B",5,"C",4,"D",3,"E",2,"F",1)</f>
        <v>5</v>
      </c>
    </row>
    <row r="297" spans="1:12" x14ac:dyDescent="0.3">
      <c r="A297" t="s">
        <v>45</v>
      </c>
      <c r="B297">
        <v>25</v>
      </c>
      <c r="C297" s="1">
        <v>70000</v>
      </c>
      <c r="D297" t="s">
        <v>19</v>
      </c>
      <c r="E297" t="s">
        <v>13</v>
      </c>
      <c r="F297" t="s">
        <v>21</v>
      </c>
      <c r="G297" s="11">
        <v>43549</v>
      </c>
      <c r="H297" t="s">
        <v>22</v>
      </c>
      <c r="I297" t="s">
        <v>16</v>
      </c>
      <c r="J297" t="s">
        <v>28</v>
      </c>
      <c r="K297" s="11" t="str">
        <f t="shared" ca="1" si="4"/>
        <v>6 Years</v>
      </c>
      <c r="L297" s="3" cm="1">
        <f t="array" ref="L297">_xlfn.SWITCH(Table13_24[[#This Row],[Performance Score]],"A",6,"B",5,"C",4,"D",3,"E",2,"F",1)</f>
        <v>1</v>
      </c>
    </row>
    <row r="298" spans="1:12" x14ac:dyDescent="0.3">
      <c r="A298" t="s">
        <v>29</v>
      </c>
      <c r="B298">
        <v>35</v>
      </c>
      <c r="C298" s="1">
        <v>65000</v>
      </c>
      <c r="D298" t="s">
        <v>34</v>
      </c>
      <c r="E298" t="s">
        <v>13</v>
      </c>
      <c r="F298" t="s">
        <v>37</v>
      </c>
      <c r="G298" s="11">
        <v>43549</v>
      </c>
      <c r="H298" t="s">
        <v>38</v>
      </c>
      <c r="I298" t="s">
        <v>39</v>
      </c>
      <c r="J298" t="s">
        <v>42</v>
      </c>
      <c r="K298" s="11" t="str">
        <f t="shared" ca="1" si="4"/>
        <v>6 Years</v>
      </c>
      <c r="L298" s="3" cm="1">
        <f t="array" ref="L298">_xlfn.SWITCH(Table13_24[[#This Row],[Performance Score]],"A",6,"B",5,"C",4,"D",3,"E",2,"F",1)</f>
        <v>5</v>
      </c>
    </row>
    <row r="299" spans="1:12" x14ac:dyDescent="0.3">
      <c r="A299" t="s">
        <v>43</v>
      </c>
      <c r="B299">
        <v>35</v>
      </c>
      <c r="C299" s="1">
        <v>49144.385026737968</v>
      </c>
      <c r="D299" t="s">
        <v>34</v>
      </c>
      <c r="E299" t="s">
        <v>35</v>
      </c>
      <c r="F299" t="s">
        <v>40</v>
      </c>
      <c r="G299" s="11">
        <v>43195</v>
      </c>
      <c r="H299" t="s">
        <v>27</v>
      </c>
      <c r="I299" t="s">
        <v>23</v>
      </c>
      <c r="J299" t="s">
        <v>24</v>
      </c>
      <c r="K299" s="11" t="str">
        <f t="shared" ca="1" si="4"/>
        <v>7 Years</v>
      </c>
      <c r="L299" s="3" cm="1">
        <f t="array" ref="L299">_xlfn.SWITCH(Table13_24[[#This Row],[Performance Score]],"A",6,"B",5,"C",4,"D",3,"E",2,"F",1)</f>
        <v>4</v>
      </c>
    </row>
    <row r="300" spans="1:12" x14ac:dyDescent="0.3">
      <c r="A300" t="s">
        <v>36</v>
      </c>
      <c r="B300">
        <v>30</v>
      </c>
      <c r="C300" s="1">
        <v>65000</v>
      </c>
      <c r="D300" t="s">
        <v>12</v>
      </c>
      <c r="E300" t="s">
        <v>26</v>
      </c>
      <c r="F300" t="s">
        <v>21</v>
      </c>
      <c r="G300" s="11">
        <v>43549</v>
      </c>
      <c r="H300" t="s">
        <v>27</v>
      </c>
      <c r="I300" t="s">
        <v>39</v>
      </c>
      <c r="J300" t="s">
        <v>17</v>
      </c>
      <c r="K300" s="11" t="str">
        <f t="shared" ca="1" si="4"/>
        <v>6 Years</v>
      </c>
      <c r="L300" s="3" cm="1">
        <f t="array" ref="L300">_xlfn.SWITCH(Table13_24[[#This Row],[Performance Score]],"A",6,"B",5,"C",4,"D",3,"E",2,"F",1)</f>
        <v>4</v>
      </c>
    </row>
    <row r="301" spans="1:12" x14ac:dyDescent="0.3">
      <c r="A301" t="s">
        <v>46</v>
      </c>
      <c r="B301">
        <v>40</v>
      </c>
      <c r="C301" s="1">
        <v>55000</v>
      </c>
      <c r="D301" t="s">
        <v>34</v>
      </c>
      <c r="E301" t="s">
        <v>20</v>
      </c>
      <c r="F301" t="s">
        <v>41</v>
      </c>
      <c r="G301" s="11">
        <v>43845</v>
      </c>
      <c r="H301" t="s">
        <v>38</v>
      </c>
      <c r="I301" t="s">
        <v>39</v>
      </c>
      <c r="J301" t="s">
        <v>17</v>
      </c>
      <c r="K301" s="11" t="str">
        <f t="shared" ca="1" si="4"/>
        <v>5 Years</v>
      </c>
      <c r="L301" s="3" cm="1">
        <f t="array" ref="L301">_xlfn.SWITCH(Table13_24[[#This Row],[Performance Score]],"A",6,"B",5,"C",4,"D",3,"E",2,"F",1)</f>
        <v>5</v>
      </c>
    </row>
    <row r="302" spans="1:12" x14ac:dyDescent="0.3">
      <c r="A302" t="s">
        <v>29</v>
      </c>
      <c r="B302">
        <v>36</v>
      </c>
      <c r="C302" s="1">
        <v>70000</v>
      </c>
      <c r="D302" t="s">
        <v>19</v>
      </c>
      <c r="E302" t="s">
        <v>26</v>
      </c>
      <c r="F302" t="s">
        <v>14</v>
      </c>
      <c r="G302" s="11">
        <v>43477</v>
      </c>
      <c r="H302" t="s">
        <v>27</v>
      </c>
      <c r="I302" t="s">
        <v>39</v>
      </c>
      <c r="J302" t="s">
        <v>42</v>
      </c>
      <c r="K302" s="11" t="str">
        <f t="shared" ca="1" si="4"/>
        <v>6 Years</v>
      </c>
      <c r="L302" s="3" cm="1">
        <f t="array" ref="L302">_xlfn.SWITCH(Table13_24[[#This Row],[Performance Score]],"A",6,"B",5,"C",4,"D",3,"E",2,"F",1)</f>
        <v>4</v>
      </c>
    </row>
    <row r="303" spans="1:12" x14ac:dyDescent="0.3">
      <c r="A303" t="s">
        <v>25</v>
      </c>
      <c r="B303">
        <v>36</v>
      </c>
      <c r="C303" s="1">
        <v>48417.431192660551</v>
      </c>
      <c r="D303" t="s">
        <v>12</v>
      </c>
      <c r="E303" t="s">
        <v>20</v>
      </c>
      <c r="F303" t="s">
        <v>14</v>
      </c>
      <c r="G303" s="11">
        <v>43845</v>
      </c>
      <c r="H303" t="s">
        <v>27</v>
      </c>
      <c r="I303" t="s">
        <v>23</v>
      </c>
      <c r="J303" t="s">
        <v>17</v>
      </c>
      <c r="K303" s="11" t="str">
        <f t="shared" ca="1" si="4"/>
        <v>5 Years</v>
      </c>
      <c r="L303" s="3" cm="1">
        <f t="array" ref="L303">_xlfn.SWITCH(Table13_24[[#This Row],[Performance Score]],"A",6,"B",5,"C",4,"D",3,"E",2,"F",1)</f>
        <v>4</v>
      </c>
    </row>
    <row r="304" spans="1:12" x14ac:dyDescent="0.3">
      <c r="A304" t="s">
        <v>45</v>
      </c>
      <c r="B304">
        <v>35</v>
      </c>
      <c r="C304" s="1">
        <v>65000</v>
      </c>
      <c r="D304" t="s">
        <v>12</v>
      </c>
      <c r="E304" t="s">
        <v>35</v>
      </c>
      <c r="F304" t="s">
        <v>41</v>
      </c>
      <c r="G304" s="11">
        <v>43477</v>
      </c>
      <c r="H304" t="s">
        <v>22</v>
      </c>
      <c r="I304" t="s">
        <v>39</v>
      </c>
      <c r="J304" t="s">
        <v>17</v>
      </c>
      <c r="K304" s="11" t="str">
        <f t="shared" ca="1" si="4"/>
        <v>6 Years</v>
      </c>
      <c r="L304" s="3" cm="1">
        <f t="array" ref="L304">_xlfn.SWITCH(Table13_24[[#This Row],[Performance Score]],"A",6,"B",5,"C",4,"D",3,"E",2,"F",1)</f>
        <v>1</v>
      </c>
    </row>
    <row r="305" spans="1:12" x14ac:dyDescent="0.3">
      <c r="A305" t="s">
        <v>29</v>
      </c>
      <c r="B305">
        <v>50</v>
      </c>
      <c r="C305" s="1">
        <v>50000</v>
      </c>
      <c r="D305" t="s">
        <v>34</v>
      </c>
      <c r="E305" t="s">
        <v>13</v>
      </c>
      <c r="F305" t="s">
        <v>41</v>
      </c>
      <c r="G305" s="11">
        <v>43195</v>
      </c>
      <c r="H305" t="s">
        <v>15</v>
      </c>
      <c r="I305" t="s">
        <v>23</v>
      </c>
      <c r="J305" t="s">
        <v>24</v>
      </c>
      <c r="K305" s="11" t="str">
        <f t="shared" ca="1" si="4"/>
        <v>7 Years</v>
      </c>
      <c r="L305" s="3" cm="1">
        <f t="array" ref="L305">_xlfn.SWITCH(Table13_24[[#This Row],[Performance Score]],"A",6,"B",5,"C",4,"D",3,"E",2,"F",1)</f>
        <v>3</v>
      </c>
    </row>
    <row r="306" spans="1:12" x14ac:dyDescent="0.3">
      <c r="A306" t="s">
        <v>36</v>
      </c>
      <c r="B306">
        <v>50</v>
      </c>
      <c r="C306" s="1">
        <v>55000</v>
      </c>
      <c r="D306" t="s">
        <v>12</v>
      </c>
      <c r="E306" t="s">
        <v>13</v>
      </c>
      <c r="F306" t="s">
        <v>21</v>
      </c>
      <c r="G306" s="11">
        <v>43549</v>
      </c>
      <c r="H306" t="s">
        <v>22</v>
      </c>
      <c r="I306" t="s">
        <v>23</v>
      </c>
      <c r="J306" t="s">
        <v>17</v>
      </c>
      <c r="K306" s="11" t="str">
        <f t="shared" ca="1" si="4"/>
        <v>6 Years</v>
      </c>
      <c r="L306" s="3" cm="1">
        <f t="array" ref="L306">_xlfn.SWITCH(Table13_24[[#This Row],[Performance Score]],"A",6,"B",5,"C",4,"D",3,"E",2,"F",1)</f>
        <v>1</v>
      </c>
    </row>
    <row r="307" spans="1:12" x14ac:dyDescent="0.3">
      <c r="A307" t="s">
        <v>45</v>
      </c>
      <c r="B307">
        <v>30</v>
      </c>
      <c r="C307" s="1">
        <v>70000</v>
      </c>
      <c r="D307" t="s">
        <v>12</v>
      </c>
      <c r="E307" t="s">
        <v>26</v>
      </c>
      <c r="F307" t="s">
        <v>41</v>
      </c>
      <c r="G307" s="11">
        <v>43549</v>
      </c>
      <c r="H307" t="s">
        <v>31</v>
      </c>
      <c r="I307" t="s">
        <v>39</v>
      </c>
      <c r="J307" t="s">
        <v>42</v>
      </c>
      <c r="K307" s="11" t="str">
        <f t="shared" ca="1" si="4"/>
        <v>6 Years</v>
      </c>
      <c r="L307" s="3" cm="1">
        <f t="array" ref="L307">_xlfn.SWITCH(Table13_24[[#This Row],[Performance Score]],"A",6,"B",5,"C",4,"D",3,"E",2,"F",1)</f>
        <v>6</v>
      </c>
    </row>
    <row r="308" spans="1:12" x14ac:dyDescent="0.3">
      <c r="A308" t="s">
        <v>18</v>
      </c>
      <c r="B308">
        <v>36</v>
      </c>
      <c r="C308" s="1">
        <v>55000</v>
      </c>
      <c r="D308" t="s">
        <v>12</v>
      </c>
      <c r="E308" t="s">
        <v>13</v>
      </c>
      <c r="F308" t="s">
        <v>40</v>
      </c>
      <c r="G308" s="11">
        <v>43549</v>
      </c>
      <c r="H308" t="s">
        <v>22</v>
      </c>
      <c r="I308" t="s">
        <v>16</v>
      </c>
      <c r="J308" t="s">
        <v>24</v>
      </c>
      <c r="K308" s="11" t="str">
        <f t="shared" ca="1" si="4"/>
        <v>6 Years</v>
      </c>
      <c r="L308" s="3" cm="1">
        <f t="array" ref="L308">_xlfn.SWITCH(Table13_24[[#This Row],[Performance Score]],"A",6,"B",5,"C",4,"D",3,"E",2,"F",1)</f>
        <v>1</v>
      </c>
    </row>
    <row r="309" spans="1:12" x14ac:dyDescent="0.3">
      <c r="A309" t="s">
        <v>29</v>
      </c>
      <c r="B309">
        <v>35</v>
      </c>
      <c r="C309" s="1">
        <v>50000</v>
      </c>
      <c r="D309" t="s">
        <v>12</v>
      </c>
      <c r="E309" t="s">
        <v>35</v>
      </c>
      <c r="F309" t="s">
        <v>37</v>
      </c>
      <c r="G309" s="11">
        <v>43477</v>
      </c>
      <c r="H309" t="s">
        <v>38</v>
      </c>
      <c r="I309" t="s">
        <v>39</v>
      </c>
      <c r="J309" t="s">
        <v>28</v>
      </c>
      <c r="K309" s="11" t="str">
        <f t="shared" ca="1" si="4"/>
        <v>6 Years</v>
      </c>
      <c r="L309" s="3" cm="1">
        <f t="array" ref="L309">_xlfn.SWITCH(Table13_24[[#This Row],[Performance Score]],"A",6,"B",5,"C",4,"D",3,"E",2,"F",1)</f>
        <v>5</v>
      </c>
    </row>
    <row r="310" spans="1:12" x14ac:dyDescent="0.3">
      <c r="A310" t="s">
        <v>11</v>
      </c>
      <c r="B310">
        <v>40</v>
      </c>
      <c r="C310" s="1">
        <v>70000</v>
      </c>
      <c r="D310" t="s">
        <v>12</v>
      </c>
      <c r="E310" t="s">
        <v>26</v>
      </c>
      <c r="F310" t="s">
        <v>41</v>
      </c>
      <c r="G310" s="11">
        <v>43549</v>
      </c>
      <c r="H310" t="s">
        <v>15</v>
      </c>
      <c r="I310" t="s">
        <v>39</v>
      </c>
      <c r="J310" t="s">
        <v>17</v>
      </c>
      <c r="K310" s="11" t="str">
        <f t="shared" ca="1" si="4"/>
        <v>6 Years</v>
      </c>
      <c r="L310" s="3" cm="1">
        <f t="array" ref="L310">_xlfn.SWITCH(Table13_24[[#This Row],[Performance Score]],"A",6,"B",5,"C",4,"D",3,"E",2,"F",1)</f>
        <v>3</v>
      </c>
    </row>
    <row r="311" spans="1:12" x14ac:dyDescent="0.3">
      <c r="A311" t="s">
        <v>45</v>
      </c>
      <c r="B311">
        <v>36</v>
      </c>
      <c r="C311" s="1">
        <v>55000</v>
      </c>
      <c r="D311" t="s">
        <v>12</v>
      </c>
      <c r="E311" t="s">
        <v>20</v>
      </c>
      <c r="F311" t="s">
        <v>41</v>
      </c>
      <c r="G311" s="11">
        <v>43845</v>
      </c>
      <c r="H311" t="s">
        <v>38</v>
      </c>
      <c r="I311" t="s">
        <v>32</v>
      </c>
      <c r="J311" t="s">
        <v>17</v>
      </c>
      <c r="K311" s="11" t="str">
        <f t="shared" ca="1" si="4"/>
        <v>5 Years</v>
      </c>
      <c r="L311" s="3" cm="1">
        <f t="array" ref="L311">_xlfn.SWITCH(Table13_24[[#This Row],[Performance Score]],"A",6,"B",5,"C",4,"D",3,"E",2,"F",1)</f>
        <v>5</v>
      </c>
    </row>
    <row r="312" spans="1:12" x14ac:dyDescent="0.3">
      <c r="A312" t="s">
        <v>36</v>
      </c>
      <c r="B312">
        <v>35</v>
      </c>
      <c r="C312" s="1">
        <v>60000</v>
      </c>
      <c r="D312" t="s">
        <v>19</v>
      </c>
      <c r="E312" t="s">
        <v>13</v>
      </c>
      <c r="F312" t="s">
        <v>40</v>
      </c>
      <c r="G312" s="11">
        <v>43549</v>
      </c>
      <c r="H312" t="s">
        <v>31</v>
      </c>
      <c r="I312" t="s">
        <v>39</v>
      </c>
      <c r="J312" t="s">
        <v>24</v>
      </c>
      <c r="K312" s="11" t="str">
        <f t="shared" ca="1" si="4"/>
        <v>6 Years</v>
      </c>
      <c r="L312" s="3" cm="1">
        <f t="array" ref="L312">_xlfn.SWITCH(Table13_24[[#This Row],[Performance Score]],"A",6,"B",5,"C",4,"D",3,"E",2,"F",1)</f>
        <v>6</v>
      </c>
    </row>
    <row r="313" spans="1:12" x14ac:dyDescent="0.3">
      <c r="A313" t="s">
        <v>44</v>
      </c>
      <c r="B313">
        <v>35</v>
      </c>
      <c r="C313" s="1">
        <v>50000</v>
      </c>
      <c r="D313" t="s">
        <v>34</v>
      </c>
      <c r="E313" t="s">
        <v>30</v>
      </c>
      <c r="F313" t="s">
        <v>14</v>
      </c>
      <c r="G313" s="11">
        <v>43195</v>
      </c>
      <c r="H313" t="s">
        <v>15</v>
      </c>
      <c r="I313" t="s">
        <v>23</v>
      </c>
      <c r="J313" t="s">
        <v>17</v>
      </c>
      <c r="K313" s="11" t="str">
        <f t="shared" ca="1" si="4"/>
        <v>7 Years</v>
      </c>
      <c r="L313" s="3" cm="1">
        <f t="array" ref="L313">_xlfn.SWITCH(Table13_24[[#This Row],[Performance Score]],"A",6,"B",5,"C",4,"D",3,"E",2,"F",1)</f>
        <v>3</v>
      </c>
    </row>
    <row r="314" spans="1:12" x14ac:dyDescent="0.3">
      <c r="A314" t="s">
        <v>46</v>
      </c>
      <c r="B314">
        <v>25</v>
      </c>
      <c r="C314" s="1">
        <v>50000</v>
      </c>
      <c r="D314" t="s">
        <v>19</v>
      </c>
      <c r="E314" t="s">
        <v>13</v>
      </c>
      <c r="F314" t="s">
        <v>14</v>
      </c>
      <c r="G314" s="11">
        <v>43845</v>
      </c>
      <c r="H314" t="s">
        <v>27</v>
      </c>
      <c r="I314" t="s">
        <v>23</v>
      </c>
      <c r="J314" t="s">
        <v>17</v>
      </c>
      <c r="K314" s="11" t="str">
        <f t="shared" ca="1" si="4"/>
        <v>5 Years</v>
      </c>
      <c r="L314" s="3" cm="1">
        <f t="array" ref="L314">_xlfn.SWITCH(Table13_24[[#This Row],[Performance Score]],"A",6,"B",5,"C",4,"D",3,"E",2,"F",1)</f>
        <v>4</v>
      </c>
    </row>
    <row r="315" spans="1:12" x14ac:dyDescent="0.3">
      <c r="A315" t="s">
        <v>33</v>
      </c>
      <c r="B315">
        <v>40</v>
      </c>
      <c r="C315" s="1">
        <v>50000</v>
      </c>
      <c r="D315" t="s">
        <v>12</v>
      </c>
      <c r="E315" t="s">
        <v>20</v>
      </c>
      <c r="F315" t="s">
        <v>21</v>
      </c>
      <c r="G315" s="11">
        <v>43549</v>
      </c>
      <c r="H315" t="s">
        <v>22</v>
      </c>
      <c r="I315" t="s">
        <v>39</v>
      </c>
      <c r="J315" t="s">
        <v>42</v>
      </c>
      <c r="K315" s="11" t="str">
        <f t="shared" ca="1" si="4"/>
        <v>6 Years</v>
      </c>
      <c r="L315" s="3" cm="1">
        <f t="array" ref="L315">_xlfn.SWITCH(Table13_24[[#This Row],[Performance Score]],"A",6,"B",5,"C",4,"D",3,"E",2,"F",1)</f>
        <v>1</v>
      </c>
    </row>
    <row r="316" spans="1:12" x14ac:dyDescent="0.3">
      <c r="A316" t="s">
        <v>43</v>
      </c>
      <c r="B316">
        <v>25</v>
      </c>
      <c r="C316" s="1">
        <v>60000</v>
      </c>
      <c r="D316" t="s">
        <v>12</v>
      </c>
      <c r="E316" t="s">
        <v>26</v>
      </c>
      <c r="F316" t="s">
        <v>40</v>
      </c>
      <c r="G316" s="11">
        <v>43549</v>
      </c>
      <c r="H316" t="s">
        <v>38</v>
      </c>
      <c r="I316" t="s">
        <v>32</v>
      </c>
      <c r="J316" t="s">
        <v>17</v>
      </c>
      <c r="K316" s="11" t="str">
        <f t="shared" ca="1" si="4"/>
        <v>6 Years</v>
      </c>
      <c r="L316" s="3" cm="1">
        <f t="array" ref="L316">_xlfn.SWITCH(Table13_24[[#This Row],[Performance Score]],"A",6,"B",5,"C",4,"D",3,"E",2,"F",1)</f>
        <v>5</v>
      </c>
    </row>
    <row r="317" spans="1:12" x14ac:dyDescent="0.3">
      <c r="A317" t="s">
        <v>33</v>
      </c>
      <c r="B317">
        <v>30</v>
      </c>
      <c r="C317" s="1">
        <v>60000</v>
      </c>
      <c r="D317" t="s">
        <v>34</v>
      </c>
      <c r="E317" t="s">
        <v>20</v>
      </c>
      <c r="F317" t="s">
        <v>37</v>
      </c>
      <c r="G317" s="11">
        <v>43881</v>
      </c>
      <c r="H317" t="s">
        <v>31</v>
      </c>
      <c r="I317" t="s">
        <v>39</v>
      </c>
      <c r="J317" t="s">
        <v>28</v>
      </c>
      <c r="K317" s="11" t="str">
        <f t="shared" ca="1" si="4"/>
        <v>5 Years</v>
      </c>
      <c r="L317" s="3" cm="1">
        <f t="array" ref="L317">_xlfn.SWITCH(Table13_24[[#This Row],[Performance Score]],"A",6,"B",5,"C",4,"D",3,"E",2,"F",1)</f>
        <v>6</v>
      </c>
    </row>
    <row r="318" spans="1:12" x14ac:dyDescent="0.3">
      <c r="A318" t="s">
        <v>36</v>
      </c>
      <c r="B318">
        <v>25</v>
      </c>
      <c r="C318" s="1">
        <v>65000</v>
      </c>
      <c r="D318" t="s">
        <v>19</v>
      </c>
      <c r="E318" t="s">
        <v>30</v>
      </c>
      <c r="F318" t="s">
        <v>37</v>
      </c>
      <c r="G318" s="11">
        <v>43477</v>
      </c>
      <c r="H318" t="s">
        <v>27</v>
      </c>
      <c r="I318" t="s">
        <v>32</v>
      </c>
      <c r="J318" t="s">
        <v>17</v>
      </c>
      <c r="K318" s="11" t="str">
        <f t="shared" ca="1" si="4"/>
        <v>6 Years</v>
      </c>
      <c r="L318" s="3" cm="1">
        <f t="array" ref="L318">_xlfn.SWITCH(Table13_24[[#This Row],[Performance Score]],"A",6,"B",5,"C",4,"D",3,"E",2,"F",1)</f>
        <v>4</v>
      </c>
    </row>
    <row r="319" spans="1:12" x14ac:dyDescent="0.3">
      <c r="A319" t="s">
        <v>25</v>
      </c>
      <c r="B319">
        <v>25</v>
      </c>
      <c r="C319" s="1">
        <v>49144.385026737968</v>
      </c>
      <c r="D319" t="s">
        <v>34</v>
      </c>
      <c r="E319" t="s">
        <v>35</v>
      </c>
      <c r="F319" t="s">
        <v>40</v>
      </c>
      <c r="G319" s="11">
        <v>43845</v>
      </c>
      <c r="H319" t="s">
        <v>22</v>
      </c>
      <c r="I319" t="s">
        <v>32</v>
      </c>
      <c r="J319" t="s">
        <v>17</v>
      </c>
      <c r="K319" s="11" t="str">
        <f t="shared" ca="1" si="4"/>
        <v>5 Years</v>
      </c>
      <c r="L319" s="3" cm="1">
        <f t="array" ref="L319">_xlfn.SWITCH(Table13_24[[#This Row],[Performance Score]],"A",6,"B",5,"C",4,"D",3,"E",2,"F",1)</f>
        <v>1</v>
      </c>
    </row>
    <row r="320" spans="1:12" x14ac:dyDescent="0.3">
      <c r="A320" t="s">
        <v>25</v>
      </c>
      <c r="B320">
        <v>36</v>
      </c>
      <c r="C320" s="1">
        <v>55000</v>
      </c>
      <c r="D320" t="s">
        <v>19</v>
      </c>
      <c r="E320" t="s">
        <v>13</v>
      </c>
      <c r="F320" t="s">
        <v>37</v>
      </c>
      <c r="G320" s="11">
        <v>43881</v>
      </c>
      <c r="H320" t="s">
        <v>27</v>
      </c>
      <c r="I320" t="s">
        <v>39</v>
      </c>
      <c r="J320" t="s">
        <v>17</v>
      </c>
      <c r="K320" s="11" t="str">
        <f t="shared" ca="1" si="4"/>
        <v>5 Years</v>
      </c>
      <c r="L320" s="3" cm="1">
        <f t="array" ref="L320">_xlfn.SWITCH(Table13_24[[#This Row],[Performance Score]],"A",6,"B",5,"C",4,"D",3,"E",2,"F",1)</f>
        <v>4</v>
      </c>
    </row>
    <row r="321" spans="1:12" x14ac:dyDescent="0.3">
      <c r="A321" t="s">
        <v>44</v>
      </c>
      <c r="B321">
        <v>50</v>
      </c>
      <c r="C321" s="1">
        <v>65000</v>
      </c>
      <c r="D321" t="s">
        <v>12</v>
      </c>
      <c r="E321" t="s">
        <v>26</v>
      </c>
      <c r="F321" t="s">
        <v>14</v>
      </c>
      <c r="G321" s="11">
        <v>43195</v>
      </c>
      <c r="H321" t="s">
        <v>22</v>
      </c>
      <c r="I321" t="s">
        <v>23</v>
      </c>
      <c r="J321" t="s">
        <v>24</v>
      </c>
      <c r="K321" s="11" t="str">
        <f t="shared" ca="1" si="4"/>
        <v>7 Years</v>
      </c>
      <c r="L321" s="3" cm="1">
        <f t="array" ref="L321">_xlfn.SWITCH(Table13_24[[#This Row],[Performance Score]],"A",6,"B",5,"C",4,"D",3,"E",2,"F",1)</f>
        <v>1</v>
      </c>
    </row>
    <row r="322" spans="1:12" x14ac:dyDescent="0.3">
      <c r="A322" t="s">
        <v>43</v>
      </c>
      <c r="B322">
        <v>35</v>
      </c>
      <c r="C322" s="1">
        <v>55000</v>
      </c>
      <c r="D322" t="s">
        <v>34</v>
      </c>
      <c r="E322" t="s">
        <v>35</v>
      </c>
      <c r="F322" t="s">
        <v>37</v>
      </c>
      <c r="G322" s="11">
        <v>43477</v>
      </c>
      <c r="H322" t="s">
        <v>15</v>
      </c>
      <c r="I322" t="s">
        <v>23</v>
      </c>
      <c r="J322" t="s">
        <v>17</v>
      </c>
      <c r="K322" s="11" t="str">
        <f t="shared" ca="1" si="4"/>
        <v>6 Years</v>
      </c>
      <c r="L322" s="3" cm="1">
        <f t="array" ref="L322">_xlfn.SWITCH(Table13_24[[#This Row],[Performance Score]],"A",6,"B",5,"C",4,"D",3,"E",2,"F",1)</f>
        <v>3</v>
      </c>
    </row>
    <row r="323" spans="1:12" x14ac:dyDescent="0.3">
      <c r="A323" t="s">
        <v>11</v>
      </c>
      <c r="B323">
        <v>40</v>
      </c>
      <c r="C323" s="1">
        <v>48417.431192660551</v>
      </c>
      <c r="D323" t="s">
        <v>34</v>
      </c>
      <c r="E323" t="s">
        <v>20</v>
      </c>
      <c r="F323" t="s">
        <v>37</v>
      </c>
      <c r="G323" s="11">
        <v>43845</v>
      </c>
      <c r="H323" t="s">
        <v>27</v>
      </c>
      <c r="I323" t="s">
        <v>32</v>
      </c>
      <c r="J323" t="s">
        <v>17</v>
      </c>
      <c r="K323" s="11" t="str">
        <f t="shared" ref="K323:K386" ca="1" si="5">DATEDIF(G323,TODAY(),"Y") &amp; " Years"</f>
        <v>5 Years</v>
      </c>
      <c r="L323" s="3" cm="1">
        <f t="array" ref="L323">_xlfn.SWITCH(Table13_24[[#This Row],[Performance Score]],"A",6,"B",5,"C",4,"D",3,"E",2,"F",1)</f>
        <v>4</v>
      </c>
    </row>
    <row r="324" spans="1:12" x14ac:dyDescent="0.3">
      <c r="A324" t="s">
        <v>44</v>
      </c>
      <c r="B324">
        <v>25</v>
      </c>
      <c r="C324" s="1">
        <v>60000</v>
      </c>
      <c r="D324" t="s">
        <v>12</v>
      </c>
      <c r="E324" t="s">
        <v>26</v>
      </c>
      <c r="F324" t="s">
        <v>40</v>
      </c>
      <c r="G324" s="11">
        <v>43549</v>
      </c>
      <c r="H324" t="s">
        <v>27</v>
      </c>
      <c r="I324" t="s">
        <v>23</v>
      </c>
      <c r="J324" t="s">
        <v>24</v>
      </c>
      <c r="K324" s="11" t="str">
        <f t="shared" ca="1" si="5"/>
        <v>6 Years</v>
      </c>
      <c r="L324" s="3" cm="1">
        <f t="array" ref="L324">_xlfn.SWITCH(Table13_24[[#This Row],[Performance Score]],"A",6,"B",5,"C",4,"D",3,"E",2,"F",1)</f>
        <v>4</v>
      </c>
    </row>
    <row r="325" spans="1:12" x14ac:dyDescent="0.3">
      <c r="A325" t="s">
        <v>33</v>
      </c>
      <c r="B325">
        <v>40</v>
      </c>
      <c r="C325" s="1">
        <v>49144.385026737968</v>
      </c>
      <c r="D325" t="s">
        <v>34</v>
      </c>
      <c r="E325" t="s">
        <v>35</v>
      </c>
      <c r="F325" t="s">
        <v>40</v>
      </c>
      <c r="G325" s="11">
        <v>43845</v>
      </c>
      <c r="H325" t="s">
        <v>27</v>
      </c>
      <c r="I325" t="s">
        <v>16</v>
      </c>
      <c r="J325" t="s">
        <v>42</v>
      </c>
      <c r="K325" s="11" t="str">
        <f t="shared" ca="1" si="5"/>
        <v>5 Years</v>
      </c>
      <c r="L325" s="3" cm="1">
        <f t="array" ref="L325">_xlfn.SWITCH(Table13_24[[#This Row],[Performance Score]],"A",6,"B",5,"C",4,"D",3,"E",2,"F",1)</f>
        <v>4</v>
      </c>
    </row>
    <row r="326" spans="1:12" x14ac:dyDescent="0.3">
      <c r="A326" t="s">
        <v>44</v>
      </c>
      <c r="B326">
        <v>50</v>
      </c>
      <c r="C326" s="1">
        <v>60000</v>
      </c>
      <c r="D326" t="s">
        <v>19</v>
      </c>
      <c r="E326" t="s">
        <v>26</v>
      </c>
      <c r="F326" t="s">
        <v>37</v>
      </c>
      <c r="G326" s="11">
        <v>43549</v>
      </c>
      <c r="H326" t="s">
        <v>15</v>
      </c>
      <c r="I326" t="s">
        <v>32</v>
      </c>
      <c r="J326" t="s">
        <v>24</v>
      </c>
      <c r="K326" s="11" t="str">
        <f t="shared" ca="1" si="5"/>
        <v>6 Years</v>
      </c>
      <c r="L326" s="3" cm="1">
        <f t="array" ref="L326">_xlfn.SWITCH(Table13_24[[#This Row],[Performance Score]],"A",6,"B",5,"C",4,"D",3,"E",2,"F",1)</f>
        <v>3</v>
      </c>
    </row>
    <row r="327" spans="1:12" x14ac:dyDescent="0.3">
      <c r="A327" t="s">
        <v>33</v>
      </c>
      <c r="B327">
        <v>50</v>
      </c>
      <c r="C327" s="1">
        <v>50777.202072538857</v>
      </c>
      <c r="D327" t="s">
        <v>19</v>
      </c>
      <c r="E327" t="s">
        <v>30</v>
      </c>
      <c r="F327" t="s">
        <v>41</v>
      </c>
      <c r="G327" s="11">
        <v>43477</v>
      </c>
      <c r="H327" t="s">
        <v>31</v>
      </c>
      <c r="I327" t="s">
        <v>23</v>
      </c>
      <c r="J327" t="s">
        <v>28</v>
      </c>
      <c r="K327" s="11" t="str">
        <f t="shared" ca="1" si="5"/>
        <v>6 Years</v>
      </c>
      <c r="L327" s="3" cm="1">
        <f t="array" ref="L327">_xlfn.SWITCH(Table13_24[[#This Row],[Performance Score]],"A",6,"B",5,"C",4,"D",3,"E",2,"F",1)</f>
        <v>6</v>
      </c>
    </row>
    <row r="328" spans="1:12" x14ac:dyDescent="0.3">
      <c r="A328" t="s">
        <v>45</v>
      </c>
      <c r="B328">
        <v>25</v>
      </c>
      <c r="C328" s="1">
        <v>65000</v>
      </c>
      <c r="D328" t="s">
        <v>19</v>
      </c>
      <c r="E328" t="s">
        <v>30</v>
      </c>
      <c r="F328" t="s">
        <v>40</v>
      </c>
      <c r="G328" s="11">
        <v>43549</v>
      </c>
      <c r="H328" t="s">
        <v>22</v>
      </c>
      <c r="I328" t="s">
        <v>16</v>
      </c>
      <c r="J328" t="s">
        <v>24</v>
      </c>
      <c r="K328" s="11" t="str">
        <f t="shared" ca="1" si="5"/>
        <v>6 Years</v>
      </c>
      <c r="L328" s="3" cm="1">
        <f t="array" ref="L328">_xlfn.SWITCH(Table13_24[[#This Row],[Performance Score]],"A",6,"B",5,"C",4,"D",3,"E",2,"F",1)</f>
        <v>1</v>
      </c>
    </row>
    <row r="329" spans="1:12" x14ac:dyDescent="0.3">
      <c r="A329" t="s">
        <v>25</v>
      </c>
      <c r="B329">
        <v>30</v>
      </c>
      <c r="C329" s="1">
        <v>70000</v>
      </c>
      <c r="D329" t="s">
        <v>19</v>
      </c>
      <c r="E329" t="s">
        <v>13</v>
      </c>
      <c r="F329" t="s">
        <v>21</v>
      </c>
      <c r="G329" s="11">
        <v>43195</v>
      </c>
      <c r="H329" t="s">
        <v>27</v>
      </c>
      <c r="I329" t="s">
        <v>39</v>
      </c>
      <c r="J329" t="s">
        <v>42</v>
      </c>
      <c r="K329" s="11" t="str">
        <f t="shared" ca="1" si="5"/>
        <v>7 Years</v>
      </c>
      <c r="L329" s="3" cm="1">
        <f t="array" ref="L329">_xlfn.SWITCH(Table13_24[[#This Row],[Performance Score]],"A",6,"B",5,"C",4,"D",3,"E",2,"F",1)</f>
        <v>4</v>
      </c>
    </row>
    <row r="330" spans="1:12" x14ac:dyDescent="0.3">
      <c r="A330" t="s">
        <v>45</v>
      </c>
      <c r="B330">
        <v>25</v>
      </c>
      <c r="C330" s="1">
        <v>65000</v>
      </c>
      <c r="D330" t="s">
        <v>12</v>
      </c>
      <c r="E330" t="s">
        <v>13</v>
      </c>
      <c r="F330" t="s">
        <v>21</v>
      </c>
      <c r="G330" s="11">
        <v>43549</v>
      </c>
      <c r="H330" t="s">
        <v>15</v>
      </c>
      <c r="I330" t="s">
        <v>23</v>
      </c>
      <c r="J330" t="s">
        <v>17</v>
      </c>
      <c r="K330" s="11" t="str">
        <f t="shared" ca="1" si="5"/>
        <v>6 Years</v>
      </c>
      <c r="L330" s="3" cm="1">
        <f t="array" ref="L330">_xlfn.SWITCH(Table13_24[[#This Row],[Performance Score]],"A",6,"B",5,"C",4,"D",3,"E",2,"F",1)</f>
        <v>3</v>
      </c>
    </row>
    <row r="331" spans="1:12" x14ac:dyDescent="0.3">
      <c r="A331" t="s">
        <v>46</v>
      </c>
      <c r="B331">
        <v>36</v>
      </c>
      <c r="C331" s="1">
        <v>55000</v>
      </c>
      <c r="D331" t="s">
        <v>34</v>
      </c>
      <c r="E331" t="s">
        <v>30</v>
      </c>
      <c r="F331" t="s">
        <v>14</v>
      </c>
      <c r="G331" s="11">
        <v>43195</v>
      </c>
      <c r="H331" t="s">
        <v>31</v>
      </c>
      <c r="I331" t="s">
        <v>16</v>
      </c>
      <c r="J331" t="s">
        <v>24</v>
      </c>
      <c r="K331" s="11" t="str">
        <f t="shared" ca="1" si="5"/>
        <v>7 Years</v>
      </c>
      <c r="L331" s="3" cm="1">
        <f t="array" ref="L331">_xlfn.SWITCH(Table13_24[[#This Row],[Performance Score]],"A",6,"B",5,"C",4,"D",3,"E",2,"F",1)</f>
        <v>6</v>
      </c>
    </row>
    <row r="332" spans="1:12" x14ac:dyDescent="0.3">
      <c r="A332" t="s">
        <v>43</v>
      </c>
      <c r="B332">
        <v>35</v>
      </c>
      <c r="C332" s="1">
        <v>65000</v>
      </c>
      <c r="D332" t="s">
        <v>19</v>
      </c>
      <c r="E332" t="s">
        <v>26</v>
      </c>
      <c r="F332" t="s">
        <v>37</v>
      </c>
      <c r="G332" s="11">
        <v>43477</v>
      </c>
      <c r="H332" t="s">
        <v>22</v>
      </c>
      <c r="I332" t="s">
        <v>39</v>
      </c>
      <c r="J332" t="s">
        <v>24</v>
      </c>
      <c r="K332" s="11" t="str">
        <f t="shared" ca="1" si="5"/>
        <v>6 Years</v>
      </c>
      <c r="L332" s="3" cm="1">
        <f t="array" ref="L332">_xlfn.SWITCH(Table13_24[[#This Row],[Performance Score]],"A",6,"B",5,"C",4,"D",3,"E",2,"F",1)</f>
        <v>1</v>
      </c>
    </row>
    <row r="333" spans="1:12" x14ac:dyDescent="0.3">
      <c r="A333" t="s">
        <v>11</v>
      </c>
      <c r="B333">
        <v>30</v>
      </c>
      <c r="C333" s="1">
        <v>50000</v>
      </c>
      <c r="D333" t="s">
        <v>12</v>
      </c>
      <c r="E333" t="s">
        <v>30</v>
      </c>
      <c r="F333" t="s">
        <v>41</v>
      </c>
      <c r="G333" s="11">
        <v>43477</v>
      </c>
      <c r="H333" t="s">
        <v>15</v>
      </c>
      <c r="I333" t="s">
        <v>39</v>
      </c>
      <c r="J333" t="s">
        <v>24</v>
      </c>
      <c r="K333" s="11" t="str">
        <f t="shared" ca="1" si="5"/>
        <v>6 Years</v>
      </c>
      <c r="L333" s="3" cm="1">
        <f t="array" ref="L333">_xlfn.SWITCH(Table13_24[[#This Row],[Performance Score]],"A",6,"B",5,"C",4,"D",3,"E",2,"F",1)</f>
        <v>3</v>
      </c>
    </row>
    <row r="334" spans="1:12" x14ac:dyDescent="0.3">
      <c r="A334" t="s">
        <v>33</v>
      </c>
      <c r="B334">
        <v>25</v>
      </c>
      <c r="C334" s="1">
        <v>55000</v>
      </c>
      <c r="D334" t="s">
        <v>34</v>
      </c>
      <c r="E334" t="s">
        <v>13</v>
      </c>
      <c r="F334" t="s">
        <v>14</v>
      </c>
      <c r="G334" s="11">
        <v>43845</v>
      </c>
      <c r="H334" t="s">
        <v>22</v>
      </c>
      <c r="I334" t="s">
        <v>16</v>
      </c>
      <c r="J334" t="s">
        <v>24</v>
      </c>
      <c r="K334" s="11" t="str">
        <f t="shared" ca="1" si="5"/>
        <v>5 Years</v>
      </c>
      <c r="L334" s="3" cm="1">
        <f t="array" ref="L334">_xlfn.SWITCH(Table13_24[[#This Row],[Performance Score]],"A",6,"B",5,"C",4,"D",3,"E",2,"F",1)</f>
        <v>1</v>
      </c>
    </row>
    <row r="335" spans="1:12" x14ac:dyDescent="0.3">
      <c r="A335" t="s">
        <v>11</v>
      </c>
      <c r="B335">
        <v>40</v>
      </c>
      <c r="C335" s="1">
        <v>50777.202072538857</v>
      </c>
      <c r="D335" t="s">
        <v>34</v>
      </c>
      <c r="E335" t="s">
        <v>30</v>
      </c>
      <c r="F335" t="s">
        <v>37</v>
      </c>
      <c r="G335" s="11">
        <v>43195</v>
      </c>
      <c r="H335" t="s">
        <v>27</v>
      </c>
      <c r="I335" t="s">
        <v>32</v>
      </c>
      <c r="J335" t="s">
        <v>42</v>
      </c>
      <c r="K335" s="11" t="str">
        <f t="shared" ca="1" si="5"/>
        <v>7 Years</v>
      </c>
      <c r="L335" s="3" cm="1">
        <f t="array" ref="L335">_xlfn.SWITCH(Table13_24[[#This Row],[Performance Score]],"A",6,"B",5,"C",4,"D",3,"E",2,"F",1)</f>
        <v>4</v>
      </c>
    </row>
    <row r="336" spans="1:12" x14ac:dyDescent="0.3">
      <c r="A336" t="s">
        <v>33</v>
      </c>
      <c r="B336">
        <v>30</v>
      </c>
      <c r="C336" s="1">
        <v>55000</v>
      </c>
      <c r="D336" t="s">
        <v>12</v>
      </c>
      <c r="E336" t="s">
        <v>30</v>
      </c>
      <c r="F336" t="s">
        <v>40</v>
      </c>
      <c r="G336" s="11">
        <v>43195</v>
      </c>
      <c r="H336" t="s">
        <v>31</v>
      </c>
      <c r="I336" t="s">
        <v>32</v>
      </c>
      <c r="J336" t="s">
        <v>17</v>
      </c>
      <c r="K336" s="11" t="str">
        <f t="shared" ca="1" si="5"/>
        <v>7 Years</v>
      </c>
      <c r="L336" s="3" cm="1">
        <f t="array" ref="L336">_xlfn.SWITCH(Table13_24[[#This Row],[Performance Score]],"A",6,"B",5,"C",4,"D",3,"E",2,"F",1)</f>
        <v>6</v>
      </c>
    </row>
    <row r="337" spans="1:12" x14ac:dyDescent="0.3">
      <c r="A337" t="s">
        <v>36</v>
      </c>
      <c r="B337">
        <v>30</v>
      </c>
      <c r="C337" s="1">
        <v>70000</v>
      </c>
      <c r="D337" t="s">
        <v>12</v>
      </c>
      <c r="E337" t="s">
        <v>26</v>
      </c>
      <c r="F337" t="s">
        <v>21</v>
      </c>
      <c r="G337" s="11">
        <v>43881</v>
      </c>
      <c r="H337" t="s">
        <v>15</v>
      </c>
      <c r="I337" t="s">
        <v>23</v>
      </c>
      <c r="J337" t="s">
        <v>17</v>
      </c>
      <c r="K337" s="11" t="str">
        <f t="shared" ca="1" si="5"/>
        <v>5 Years</v>
      </c>
      <c r="L337" s="3" cm="1">
        <f t="array" ref="L337">_xlfn.SWITCH(Table13_24[[#This Row],[Performance Score]],"A",6,"B",5,"C",4,"D",3,"E",2,"F",1)</f>
        <v>3</v>
      </c>
    </row>
    <row r="338" spans="1:12" x14ac:dyDescent="0.3">
      <c r="A338" t="s">
        <v>44</v>
      </c>
      <c r="B338">
        <v>25</v>
      </c>
      <c r="C338" s="1">
        <v>60000</v>
      </c>
      <c r="D338" t="s">
        <v>19</v>
      </c>
      <c r="E338" t="s">
        <v>35</v>
      </c>
      <c r="F338" t="s">
        <v>41</v>
      </c>
      <c r="G338" s="11">
        <v>43881</v>
      </c>
      <c r="H338" t="s">
        <v>31</v>
      </c>
      <c r="I338" t="s">
        <v>39</v>
      </c>
      <c r="J338" t="s">
        <v>24</v>
      </c>
      <c r="K338" s="11" t="str">
        <f t="shared" ca="1" si="5"/>
        <v>5 Years</v>
      </c>
      <c r="L338" s="3" cm="1">
        <f t="array" ref="L338">_xlfn.SWITCH(Table13_24[[#This Row],[Performance Score]],"A",6,"B",5,"C",4,"D",3,"E",2,"F",1)</f>
        <v>6</v>
      </c>
    </row>
    <row r="339" spans="1:12" x14ac:dyDescent="0.3">
      <c r="A339" t="s">
        <v>46</v>
      </c>
      <c r="B339">
        <v>30</v>
      </c>
      <c r="C339" s="1">
        <v>51825</v>
      </c>
      <c r="D339" t="s">
        <v>34</v>
      </c>
      <c r="E339" t="s">
        <v>13</v>
      </c>
      <c r="F339" t="s">
        <v>21</v>
      </c>
      <c r="G339" s="11">
        <v>43881</v>
      </c>
      <c r="H339" t="s">
        <v>27</v>
      </c>
      <c r="I339" t="s">
        <v>32</v>
      </c>
      <c r="J339" t="s">
        <v>42</v>
      </c>
      <c r="K339" s="11" t="str">
        <f t="shared" ca="1" si="5"/>
        <v>5 Years</v>
      </c>
      <c r="L339" s="3" cm="1">
        <f t="array" ref="L339">_xlfn.SWITCH(Table13_24[[#This Row],[Performance Score]],"A",6,"B",5,"C",4,"D",3,"E",2,"F",1)</f>
        <v>4</v>
      </c>
    </row>
    <row r="340" spans="1:12" x14ac:dyDescent="0.3">
      <c r="A340" t="s">
        <v>25</v>
      </c>
      <c r="B340">
        <v>40</v>
      </c>
      <c r="C340" s="1">
        <v>55000</v>
      </c>
      <c r="D340" t="s">
        <v>34</v>
      </c>
      <c r="E340" t="s">
        <v>26</v>
      </c>
      <c r="F340" t="s">
        <v>40</v>
      </c>
      <c r="G340" s="11">
        <v>43549</v>
      </c>
      <c r="H340" t="s">
        <v>31</v>
      </c>
      <c r="I340" t="s">
        <v>32</v>
      </c>
      <c r="J340" t="s">
        <v>42</v>
      </c>
      <c r="K340" s="11" t="str">
        <f t="shared" ca="1" si="5"/>
        <v>6 Years</v>
      </c>
      <c r="L340" s="3" cm="1">
        <f t="array" ref="L340">_xlfn.SWITCH(Table13_24[[#This Row],[Performance Score]],"A",6,"B",5,"C",4,"D",3,"E",2,"F",1)</f>
        <v>6</v>
      </c>
    </row>
    <row r="341" spans="1:12" x14ac:dyDescent="0.3">
      <c r="A341" t="s">
        <v>33</v>
      </c>
      <c r="B341">
        <v>50</v>
      </c>
      <c r="C341" s="1">
        <v>50777.202072538857</v>
      </c>
      <c r="D341" t="s">
        <v>12</v>
      </c>
      <c r="E341" t="s">
        <v>30</v>
      </c>
      <c r="F341" t="s">
        <v>37</v>
      </c>
      <c r="G341" s="11">
        <v>43881</v>
      </c>
      <c r="H341" t="s">
        <v>31</v>
      </c>
      <c r="I341" t="s">
        <v>39</v>
      </c>
      <c r="J341" t="s">
        <v>24</v>
      </c>
      <c r="K341" s="11" t="str">
        <f t="shared" ca="1" si="5"/>
        <v>5 Years</v>
      </c>
      <c r="L341" s="3" cm="1">
        <f t="array" ref="L341">_xlfn.SWITCH(Table13_24[[#This Row],[Performance Score]],"A",6,"B",5,"C",4,"D",3,"E",2,"F",1)</f>
        <v>6</v>
      </c>
    </row>
    <row r="342" spans="1:12" x14ac:dyDescent="0.3">
      <c r="A342" t="s">
        <v>11</v>
      </c>
      <c r="B342">
        <v>30</v>
      </c>
      <c r="C342" s="1">
        <v>50777.202072538857</v>
      </c>
      <c r="D342" t="s">
        <v>34</v>
      </c>
      <c r="E342" t="s">
        <v>30</v>
      </c>
      <c r="F342" t="s">
        <v>40</v>
      </c>
      <c r="G342" s="11">
        <v>43195</v>
      </c>
      <c r="H342" t="s">
        <v>38</v>
      </c>
      <c r="I342" t="s">
        <v>39</v>
      </c>
      <c r="J342" t="s">
        <v>28</v>
      </c>
      <c r="K342" s="11" t="str">
        <f t="shared" ca="1" si="5"/>
        <v>7 Years</v>
      </c>
      <c r="L342" s="3" cm="1">
        <f t="array" ref="L342">_xlfn.SWITCH(Table13_24[[#This Row],[Performance Score]],"A",6,"B",5,"C",4,"D",3,"E",2,"F",1)</f>
        <v>5</v>
      </c>
    </row>
    <row r="343" spans="1:12" x14ac:dyDescent="0.3">
      <c r="A343" t="s">
        <v>46</v>
      </c>
      <c r="B343">
        <v>50</v>
      </c>
      <c r="C343" s="1">
        <v>49144.385026737968</v>
      </c>
      <c r="D343" t="s">
        <v>19</v>
      </c>
      <c r="E343" t="s">
        <v>35</v>
      </c>
      <c r="F343" t="s">
        <v>40</v>
      </c>
      <c r="G343" s="11">
        <v>43549</v>
      </c>
      <c r="H343" t="s">
        <v>31</v>
      </c>
      <c r="I343" t="s">
        <v>32</v>
      </c>
      <c r="J343" t="s">
        <v>24</v>
      </c>
      <c r="K343" s="11" t="str">
        <f t="shared" ca="1" si="5"/>
        <v>6 Years</v>
      </c>
      <c r="L343" s="3" cm="1">
        <f t="array" ref="L343">_xlfn.SWITCH(Table13_24[[#This Row],[Performance Score]],"A",6,"B",5,"C",4,"D",3,"E",2,"F",1)</f>
        <v>6</v>
      </c>
    </row>
    <row r="344" spans="1:12" x14ac:dyDescent="0.3">
      <c r="A344" t="s">
        <v>18</v>
      </c>
      <c r="B344">
        <v>40</v>
      </c>
      <c r="C344" s="1">
        <v>60000</v>
      </c>
      <c r="D344" t="s">
        <v>34</v>
      </c>
      <c r="E344" t="s">
        <v>13</v>
      </c>
      <c r="F344" t="s">
        <v>21</v>
      </c>
      <c r="G344" s="11">
        <v>43477</v>
      </c>
      <c r="H344" t="s">
        <v>22</v>
      </c>
      <c r="I344" t="s">
        <v>16</v>
      </c>
      <c r="J344" t="s">
        <v>28</v>
      </c>
      <c r="K344" s="11" t="str">
        <f t="shared" ca="1" si="5"/>
        <v>6 Years</v>
      </c>
      <c r="L344" s="3" cm="1">
        <f t="array" ref="L344">_xlfn.SWITCH(Table13_24[[#This Row],[Performance Score]],"A",6,"B",5,"C",4,"D",3,"E",2,"F",1)</f>
        <v>1</v>
      </c>
    </row>
    <row r="345" spans="1:12" x14ac:dyDescent="0.3">
      <c r="A345" t="s">
        <v>18</v>
      </c>
      <c r="B345">
        <v>25</v>
      </c>
      <c r="C345" s="1">
        <v>65000</v>
      </c>
      <c r="D345" t="s">
        <v>12</v>
      </c>
      <c r="E345" t="s">
        <v>13</v>
      </c>
      <c r="F345" t="s">
        <v>41</v>
      </c>
      <c r="G345" s="11">
        <v>43845</v>
      </c>
      <c r="H345" t="s">
        <v>15</v>
      </c>
      <c r="I345" t="s">
        <v>23</v>
      </c>
      <c r="J345" t="s">
        <v>24</v>
      </c>
      <c r="K345" s="11" t="str">
        <f t="shared" ca="1" si="5"/>
        <v>5 Years</v>
      </c>
      <c r="L345" s="3" cm="1">
        <f t="array" ref="L345">_xlfn.SWITCH(Table13_24[[#This Row],[Performance Score]],"A",6,"B",5,"C",4,"D",3,"E",2,"F",1)</f>
        <v>3</v>
      </c>
    </row>
    <row r="346" spans="1:12" x14ac:dyDescent="0.3">
      <c r="A346" t="s">
        <v>45</v>
      </c>
      <c r="B346">
        <v>35</v>
      </c>
      <c r="C346" s="1">
        <v>48417.431192660551</v>
      </c>
      <c r="D346" t="s">
        <v>12</v>
      </c>
      <c r="E346" t="s">
        <v>20</v>
      </c>
      <c r="F346" t="s">
        <v>40</v>
      </c>
      <c r="G346" s="11">
        <v>43881</v>
      </c>
      <c r="H346" t="s">
        <v>38</v>
      </c>
      <c r="I346" t="s">
        <v>32</v>
      </c>
      <c r="J346" t="s">
        <v>28</v>
      </c>
      <c r="K346" s="11" t="str">
        <f t="shared" ca="1" si="5"/>
        <v>5 Years</v>
      </c>
      <c r="L346" s="3" cm="1">
        <f t="array" ref="L346">_xlfn.SWITCH(Table13_24[[#This Row],[Performance Score]],"A",6,"B",5,"C",4,"D",3,"E",2,"F",1)</f>
        <v>5</v>
      </c>
    </row>
    <row r="347" spans="1:12" x14ac:dyDescent="0.3">
      <c r="A347" t="s">
        <v>25</v>
      </c>
      <c r="B347">
        <v>30</v>
      </c>
      <c r="C347" s="1">
        <v>50000</v>
      </c>
      <c r="D347" t="s">
        <v>19</v>
      </c>
      <c r="E347" t="s">
        <v>13</v>
      </c>
      <c r="F347" t="s">
        <v>21</v>
      </c>
      <c r="G347" s="11">
        <v>43477</v>
      </c>
      <c r="H347" t="s">
        <v>15</v>
      </c>
      <c r="I347" t="s">
        <v>32</v>
      </c>
      <c r="J347" t="s">
        <v>28</v>
      </c>
      <c r="K347" s="11" t="str">
        <f t="shared" ca="1" si="5"/>
        <v>6 Years</v>
      </c>
      <c r="L347" s="3" cm="1">
        <f t="array" ref="L347">_xlfn.SWITCH(Table13_24[[#This Row],[Performance Score]],"A",6,"B",5,"C",4,"D",3,"E",2,"F",1)</f>
        <v>3</v>
      </c>
    </row>
    <row r="348" spans="1:12" x14ac:dyDescent="0.3">
      <c r="A348" t="s">
        <v>36</v>
      </c>
      <c r="B348">
        <v>35</v>
      </c>
      <c r="C348" s="1">
        <v>70000</v>
      </c>
      <c r="D348" t="s">
        <v>19</v>
      </c>
      <c r="E348" t="s">
        <v>35</v>
      </c>
      <c r="F348" t="s">
        <v>41</v>
      </c>
      <c r="G348" s="11">
        <v>43195</v>
      </c>
      <c r="H348" t="s">
        <v>15</v>
      </c>
      <c r="I348" t="s">
        <v>39</v>
      </c>
      <c r="J348" t="s">
        <v>24</v>
      </c>
      <c r="K348" s="11" t="str">
        <f t="shared" ca="1" si="5"/>
        <v>7 Years</v>
      </c>
      <c r="L348" s="3" cm="1">
        <f t="array" ref="L348">_xlfn.SWITCH(Table13_24[[#This Row],[Performance Score]],"A",6,"B",5,"C",4,"D",3,"E",2,"F",1)</f>
        <v>3</v>
      </c>
    </row>
    <row r="349" spans="1:12" x14ac:dyDescent="0.3">
      <c r="A349" t="s">
        <v>11</v>
      </c>
      <c r="B349">
        <v>40</v>
      </c>
      <c r="C349" s="1">
        <v>60000</v>
      </c>
      <c r="D349" t="s">
        <v>34</v>
      </c>
      <c r="E349" t="s">
        <v>20</v>
      </c>
      <c r="F349" t="s">
        <v>37</v>
      </c>
      <c r="G349" s="11">
        <v>43845</v>
      </c>
      <c r="H349" t="s">
        <v>27</v>
      </c>
      <c r="I349" t="s">
        <v>16</v>
      </c>
      <c r="J349" t="s">
        <v>28</v>
      </c>
      <c r="K349" s="11" t="str">
        <f t="shared" ca="1" si="5"/>
        <v>5 Years</v>
      </c>
      <c r="L349" s="3" cm="1">
        <f t="array" ref="L349">_xlfn.SWITCH(Table13_24[[#This Row],[Performance Score]],"A",6,"B",5,"C",4,"D",3,"E",2,"F",1)</f>
        <v>4</v>
      </c>
    </row>
    <row r="350" spans="1:12" x14ac:dyDescent="0.3">
      <c r="A350" t="s">
        <v>44</v>
      </c>
      <c r="B350">
        <v>30</v>
      </c>
      <c r="C350" s="1">
        <v>55000</v>
      </c>
      <c r="D350" t="s">
        <v>34</v>
      </c>
      <c r="E350" t="s">
        <v>20</v>
      </c>
      <c r="F350" t="s">
        <v>37</v>
      </c>
      <c r="G350" s="11">
        <v>43477</v>
      </c>
      <c r="H350" t="s">
        <v>27</v>
      </c>
      <c r="I350" t="s">
        <v>23</v>
      </c>
      <c r="J350" t="s">
        <v>17</v>
      </c>
      <c r="K350" s="11" t="str">
        <f t="shared" ca="1" si="5"/>
        <v>6 Years</v>
      </c>
      <c r="L350" s="3" cm="1">
        <f t="array" ref="L350">_xlfn.SWITCH(Table13_24[[#This Row],[Performance Score]],"A",6,"B",5,"C",4,"D",3,"E",2,"F",1)</f>
        <v>4</v>
      </c>
    </row>
    <row r="351" spans="1:12" x14ac:dyDescent="0.3">
      <c r="A351" t="s">
        <v>44</v>
      </c>
      <c r="B351">
        <v>50</v>
      </c>
      <c r="C351" s="1">
        <v>60000</v>
      </c>
      <c r="D351" t="s">
        <v>12</v>
      </c>
      <c r="E351" t="s">
        <v>30</v>
      </c>
      <c r="F351" t="s">
        <v>14</v>
      </c>
      <c r="G351" s="11">
        <v>43845</v>
      </c>
      <c r="H351" t="s">
        <v>38</v>
      </c>
      <c r="I351" t="s">
        <v>32</v>
      </c>
      <c r="J351" t="s">
        <v>17</v>
      </c>
      <c r="K351" s="11" t="str">
        <f t="shared" ca="1" si="5"/>
        <v>5 Years</v>
      </c>
      <c r="L351" s="3" cm="1">
        <f t="array" ref="L351">_xlfn.SWITCH(Table13_24[[#This Row],[Performance Score]],"A",6,"B",5,"C",4,"D",3,"E",2,"F",1)</f>
        <v>5</v>
      </c>
    </row>
    <row r="352" spans="1:12" x14ac:dyDescent="0.3">
      <c r="A352" t="s">
        <v>11</v>
      </c>
      <c r="B352">
        <v>36</v>
      </c>
      <c r="C352" s="1">
        <v>55000</v>
      </c>
      <c r="D352" t="s">
        <v>19</v>
      </c>
      <c r="E352" t="s">
        <v>30</v>
      </c>
      <c r="F352" t="s">
        <v>21</v>
      </c>
      <c r="G352" s="11">
        <v>43881</v>
      </c>
      <c r="H352" t="s">
        <v>27</v>
      </c>
      <c r="I352" t="s">
        <v>23</v>
      </c>
      <c r="J352" t="s">
        <v>42</v>
      </c>
      <c r="K352" s="11" t="str">
        <f t="shared" ca="1" si="5"/>
        <v>5 Years</v>
      </c>
      <c r="L352" s="3" cm="1">
        <f t="array" ref="L352">_xlfn.SWITCH(Table13_24[[#This Row],[Performance Score]],"A",6,"B",5,"C",4,"D",3,"E",2,"F",1)</f>
        <v>4</v>
      </c>
    </row>
    <row r="353" spans="1:12" x14ac:dyDescent="0.3">
      <c r="A353" t="s">
        <v>43</v>
      </c>
      <c r="B353">
        <v>35</v>
      </c>
      <c r="C353" s="1">
        <v>60000</v>
      </c>
      <c r="D353" t="s">
        <v>19</v>
      </c>
      <c r="E353" t="s">
        <v>13</v>
      </c>
      <c r="F353" t="s">
        <v>41</v>
      </c>
      <c r="G353" s="11">
        <v>43195</v>
      </c>
      <c r="H353" t="s">
        <v>27</v>
      </c>
      <c r="I353" t="s">
        <v>39</v>
      </c>
      <c r="J353" t="s">
        <v>28</v>
      </c>
      <c r="K353" s="11" t="str">
        <f t="shared" ca="1" si="5"/>
        <v>7 Years</v>
      </c>
      <c r="L353" s="3" cm="1">
        <f t="array" ref="L353">_xlfn.SWITCH(Table13_24[[#This Row],[Performance Score]],"A",6,"B",5,"C",4,"D",3,"E",2,"F",1)</f>
        <v>4</v>
      </c>
    </row>
    <row r="354" spans="1:12" x14ac:dyDescent="0.3">
      <c r="A354" t="s">
        <v>36</v>
      </c>
      <c r="B354">
        <v>30</v>
      </c>
      <c r="C354" s="1">
        <v>55000</v>
      </c>
      <c r="D354" t="s">
        <v>19</v>
      </c>
      <c r="E354" t="s">
        <v>20</v>
      </c>
      <c r="F354" t="s">
        <v>40</v>
      </c>
      <c r="G354" s="11">
        <v>43845</v>
      </c>
      <c r="H354" t="s">
        <v>27</v>
      </c>
      <c r="I354" t="s">
        <v>32</v>
      </c>
      <c r="J354" t="s">
        <v>28</v>
      </c>
      <c r="K354" s="11" t="str">
        <f t="shared" ca="1" si="5"/>
        <v>5 Years</v>
      </c>
      <c r="L354" s="3" cm="1">
        <f t="array" ref="L354">_xlfn.SWITCH(Table13_24[[#This Row],[Performance Score]],"A",6,"B",5,"C",4,"D",3,"E",2,"F",1)</f>
        <v>4</v>
      </c>
    </row>
    <row r="355" spans="1:12" x14ac:dyDescent="0.3">
      <c r="A355" t="s">
        <v>46</v>
      </c>
      <c r="B355">
        <v>35</v>
      </c>
      <c r="C355" s="1">
        <v>50777.202072538857</v>
      </c>
      <c r="D355" t="s">
        <v>34</v>
      </c>
      <c r="E355" t="s">
        <v>30</v>
      </c>
      <c r="F355" t="s">
        <v>37</v>
      </c>
      <c r="G355" s="11">
        <v>43477</v>
      </c>
      <c r="H355" t="s">
        <v>15</v>
      </c>
      <c r="I355" t="s">
        <v>32</v>
      </c>
      <c r="J355" t="s">
        <v>42</v>
      </c>
      <c r="K355" s="11" t="str">
        <f t="shared" ca="1" si="5"/>
        <v>6 Years</v>
      </c>
      <c r="L355" s="3" cm="1">
        <f t="array" ref="L355">_xlfn.SWITCH(Table13_24[[#This Row],[Performance Score]],"A",6,"B",5,"C",4,"D",3,"E",2,"F",1)</f>
        <v>3</v>
      </c>
    </row>
    <row r="356" spans="1:12" x14ac:dyDescent="0.3">
      <c r="A356" t="s">
        <v>33</v>
      </c>
      <c r="B356">
        <v>30</v>
      </c>
      <c r="C356" s="1">
        <v>65000</v>
      </c>
      <c r="D356" t="s">
        <v>19</v>
      </c>
      <c r="E356" t="s">
        <v>35</v>
      </c>
      <c r="F356" t="s">
        <v>41</v>
      </c>
      <c r="G356" s="11">
        <v>43881</v>
      </c>
      <c r="H356" t="s">
        <v>38</v>
      </c>
      <c r="I356" t="s">
        <v>39</v>
      </c>
      <c r="J356" t="s">
        <v>28</v>
      </c>
      <c r="K356" s="11" t="str">
        <f t="shared" ca="1" si="5"/>
        <v>5 Years</v>
      </c>
      <c r="L356" s="3" cm="1">
        <f t="array" ref="L356">_xlfn.SWITCH(Table13_24[[#This Row],[Performance Score]],"A",6,"B",5,"C",4,"D",3,"E",2,"F",1)</f>
        <v>5</v>
      </c>
    </row>
    <row r="357" spans="1:12" x14ac:dyDescent="0.3">
      <c r="A357" t="s">
        <v>43</v>
      </c>
      <c r="B357">
        <v>25</v>
      </c>
      <c r="C357" s="1">
        <v>55000</v>
      </c>
      <c r="D357" t="s">
        <v>12</v>
      </c>
      <c r="E357" t="s">
        <v>30</v>
      </c>
      <c r="F357" t="s">
        <v>21</v>
      </c>
      <c r="G357" s="11">
        <v>43881</v>
      </c>
      <c r="H357" t="s">
        <v>15</v>
      </c>
      <c r="I357" t="s">
        <v>39</v>
      </c>
      <c r="J357" t="s">
        <v>42</v>
      </c>
      <c r="K357" s="11" t="str">
        <f t="shared" ca="1" si="5"/>
        <v>5 Years</v>
      </c>
      <c r="L357" s="3" cm="1">
        <f t="array" ref="L357">_xlfn.SWITCH(Table13_24[[#This Row],[Performance Score]],"A",6,"B",5,"C",4,"D",3,"E",2,"F",1)</f>
        <v>3</v>
      </c>
    </row>
    <row r="358" spans="1:12" x14ac:dyDescent="0.3">
      <c r="A358" t="s">
        <v>33</v>
      </c>
      <c r="B358">
        <v>50</v>
      </c>
      <c r="C358" s="1">
        <v>55000</v>
      </c>
      <c r="D358" t="s">
        <v>12</v>
      </c>
      <c r="E358" t="s">
        <v>30</v>
      </c>
      <c r="F358" t="s">
        <v>14</v>
      </c>
      <c r="G358" s="11">
        <v>43477</v>
      </c>
      <c r="H358" t="s">
        <v>22</v>
      </c>
      <c r="I358" t="s">
        <v>32</v>
      </c>
      <c r="J358" t="s">
        <v>24</v>
      </c>
      <c r="K358" s="11" t="str">
        <f t="shared" ca="1" si="5"/>
        <v>6 Years</v>
      </c>
      <c r="L358" s="3" cm="1">
        <f t="array" ref="L358">_xlfn.SWITCH(Table13_24[[#This Row],[Performance Score]],"A",6,"B",5,"C",4,"D",3,"E",2,"F",1)</f>
        <v>1</v>
      </c>
    </row>
    <row r="359" spans="1:12" x14ac:dyDescent="0.3">
      <c r="A359" t="s">
        <v>33</v>
      </c>
      <c r="B359">
        <v>35</v>
      </c>
      <c r="C359" s="1">
        <v>50000</v>
      </c>
      <c r="D359" t="s">
        <v>34</v>
      </c>
      <c r="E359" t="s">
        <v>20</v>
      </c>
      <c r="F359" t="s">
        <v>37</v>
      </c>
      <c r="G359" s="11">
        <v>43477</v>
      </c>
      <c r="H359" t="s">
        <v>15</v>
      </c>
      <c r="I359" t="s">
        <v>23</v>
      </c>
      <c r="J359" t="s">
        <v>17</v>
      </c>
      <c r="K359" s="11" t="str">
        <f t="shared" ca="1" si="5"/>
        <v>6 Years</v>
      </c>
      <c r="L359" s="3" cm="1">
        <f t="array" ref="L359">_xlfn.SWITCH(Table13_24[[#This Row],[Performance Score]],"A",6,"B",5,"C",4,"D",3,"E",2,"F",1)</f>
        <v>3</v>
      </c>
    </row>
    <row r="360" spans="1:12" x14ac:dyDescent="0.3">
      <c r="A360" t="s">
        <v>43</v>
      </c>
      <c r="B360">
        <v>36</v>
      </c>
      <c r="C360" s="1">
        <v>55000</v>
      </c>
      <c r="D360" t="s">
        <v>34</v>
      </c>
      <c r="E360" t="s">
        <v>20</v>
      </c>
      <c r="F360" t="s">
        <v>41</v>
      </c>
      <c r="G360" s="11">
        <v>43845</v>
      </c>
      <c r="H360" t="s">
        <v>22</v>
      </c>
      <c r="I360" t="s">
        <v>16</v>
      </c>
      <c r="J360" t="s">
        <v>17</v>
      </c>
      <c r="K360" s="11" t="str">
        <f t="shared" ca="1" si="5"/>
        <v>5 Years</v>
      </c>
      <c r="L360" s="3" cm="1">
        <f t="array" ref="L360">_xlfn.SWITCH(Table13_24[[#This Row],[Performance Score]],"A",6,"B",5,"C",4,"D",3,"E",2,"F",1)</f>
        <v>1</v>
      </c>
    </row>
    <row r="361" spans="1:12" x14ac:dyDescent="0.3">
      <c r="A361" t="s">
        <v>45</v>
      </c>
      <c r="B361">
        <v>36</v>
      </c>
      <c r="C361" s="1">
        <v>50000</v>
      </c>
      <c r="D361" t="s">
        <v>19</v>
      </c>
      <c r="E361" t="s">
        <v>26</v>
      </c>
      <c r="F361" t="s">
        <v>41</v>
      </c>
      <c r="G361" s="11">
        <v>43549</v>
      </c>
      <c r="H361" t="s">
        <v>31</v>
      </c>
      <c r="I361" t="s">
        <v>23</v>
      </c>
      <c r="J361" t="s">
        <v>17</v>
      </c>
      <c r="K361" s="11" t="str">
        <f t="shared" ca="1" si="5"/>
        <v>6 Years</v>
      </c>
      <c r="L361" s="3" cm="1">
        <f t="array" ref="L361">_xlfn.SWITCH(Table13_24[[#This Row],[Performance Score]],"A",6,"B",5,"C",4,"D",3,"E",2,"F",1)</f>
        <v>6</v>
      </c>
    </row>
    <row r="362" spans="1:12" x14ac:dyDescent="0.3">
      <c r="A362" t="s">
        <v>18</v>
      </c>
      <c r="B362">
        <v>40</v>
      </c>
      <c r="C362" s="1">
        <v>70000</v>
      </c>
      <c r="D362" t="s">
        <v>34</v>
      </c>
      <c r="E362" t="s">
        <v>35</v>
      </c>
      <c r="F362" t="s">
        <v>41</v>
      </c>
      <c r="G362" s="11">
        <v>43881</v>
      </c>
      <c r="H362" t="s">
        <v>31</v>
      </c>
      <c r="I362" t="s">
        <v>39</v>
      </c>
      <c r="J362" t="s">
        <v>28</v>
      </c>
      <c r="K362" s="11" t="str">
        <f t="shared" ca="1" si="5"/>
        <v>5 Years</v>
      </c>
      <c r="L362" s="3" cm="1">
        <f t="array" ref="L362">_xlfn.SWITCH(Table13_24[[#This Row],[Performance Score]],"A",6,"B",5,"C",4,"D",3,"E",2,"F",1)</f>
        <v>6</v>
      </c>
    </row>
    <row r="363" spans="1:12" x14ac:dyDescent="0.3">
      <c r="A363" t="s">
        <v>33</v>
      </c>
      <c r="B363">
        <v>30</v>
      </c>
      <c r="C363" s="1">
        <v>48417.431192660551</v>
      </c>
      <c r="D363" t="s">
        <v>12</v>
      </c>
      <c r="E363" t="s">
        <v>20</v>
      </c>
      <c r="F363" t="s">
        <v>21</v>
      </c>
      <c r="G363" s="11">
        <v>43845</v>
      </c>
      <c r="H363" t="s">
        <v>22</v>
      </c>
      <c r="I363" t="s">
        <v>16</v>
      </c>
      <c r="J363" t="s">
        <v>17</v>
      </c>
      <c r="K363" s="11" t="str">
        <f t="shared" ca="1" si="5"/>
        <v>5 Years</v>
      </c>
      <c r="L363" s="3" cm="1">
        <f t="array" ref="L363">_xlfn.SWITCH(Table13_24[[#This Row],[Performance Score]],"A",6,"B",5,"C",4,"D",3,"E",2,"F",1)</f>
        <v>1</v>
      </c>
    </row>
    <row r="364" spans="1:12" x14ac:dyDescent="0.3">
      <c r="A364" t="s">
        <v>43</v>
      </c>
      <c r="B364">
        <v>35</v>
      </c>
      <c r="C364" s="1">
        <v>50000</v>
      </c>
      <c r="D364" t="s">
        <v>19</v>
      </c>
      <c r="E364" t="s">
        <v>13</v>
      </c>
      <c r="F364" t="s">
        <v>21</v>
      </c>
      <c r="G364" s="11">
        <v>43477</v>
      </c>
      <c r="H364" t="s">
        <v>22</v>
      </c>
      <c r="I364" t="s">
        <v>23</v>
      </c>
      <c r="J364" t="s">
        <v>24</v>
      </c>
      <c r="K364" s="11" t="str">
        <f t="shared" ca="1" si="5"/>
        <v>6 Years</v>
      </c>
      <c r="L364" s="3" cm="1">
        <f t="array" ref="L364">_xlfn.SWITCH(Table13_24[[#This Row],[Performance Score]],"A",6,"B",5,"C",4,"D",3,"E",2,"F",1)</f>
        <v>1</v>
      </c>
    </row>
    <row r="365" spans="1:12" x14ac:dyDescent="0.3">
      <c r="A365" t="s">
        <v>43</v>
      </c>
      <c r="B365">
        <v>40</v>
      </c>
      <c r="C365" s="1">
        <v>65000</v>
      </c>
      <c r="D365" t="s">
        <v>12</v>
      </c>
      <c r="E365" t="s">
        <v>35</v>
      </c>
      <c r="F365" t="s">
        <v>21</v>
      </c>
      <c r="G365" s="11">
        <v>43845</v>
      </c>
      <c r="H365" t="s">
        <v>15</v>
      </c>
      <c r="I365" t="s">
        <v>23</v>
      </c>
      <c r="J365" t="s">
        <v>17</v>
      </c>
      <c r="K365" s="11" t="str">
        <f t="shared" ca="1" si="5"/>
        <v>5 Years</v>
      </c>
      <c r="L365" s="3" cm="1">
        <f t="array" ref="L365">_xlfn.SWITCH(Table13_24[[#This Row],[Performance Score]],"A",6,"B",5,"C",4,"D",3,"E",2,"F",1)</f>
        <v>3</v>
      </c>
    </row>
    <row r="366" spans="1:12" x14ac:dyDescent="0.3">
      <c r="A366" t="s">
        <v>29</v>
      </c>
      <c r="B366">
        <v>35</v>
      </c>
      <c r="C366" s="1">
        <v>49144.385026737968</v>
      </c>
      <c r="D366" t="s">
        <v>19</v>
      </c>
      <c r="E366" t="s">
        <v>35</v>
      </c>
      <c r="F366" t="s">
        <v>40</v>
      </c>
      <c r="G366" s="11">
        <v>43477</v>
      </c>
      <c r="H366" t="s">
        <v>22</v>
      </c>
      <c r="I366" t="s">
        <v>39</v>
      </c>
      <c r="J366" t="s">
        <v>24</v>
      </c>
      <c r="K366" s="11" t="str">
        <f t="shared" ca="1" si="5"/>
        <v>6 Years</v>
      </c>
      <c r="L366" s="3" cm="1">
        <f t="array" ref="L366">_xlfn.SWITCH(Table13_24[[#This Row],[Performance Score]],"A",6,"B",5,"C",4,"D",3,"E",2,"F",1)</f>
        <v>1</v>
      </c>
    </row>
    <row r="367" spans="1:12" x14ac:dyDescent="0.3">
      <c r="A367" t="s">
        <v>45</v>
      </c>
      <c r="B367">
        <v>30</v>
      </c>
      <c r="C367" s="1">
        <v>50000</v>
      </c>
      <c r="D367" t="s">
        <v>34</v>
      </c>
      <c r="E367" t="s">
        <v>20</v>
      </c>
      <c r="F367" t="s">
        <v>41</v>
      </c>
      <c r="G367" s="11">
        <v>43195</v>
      </c>
      <c r="H367" t="s">
        <v>38</v>
      </c>
      <c r="I367" t="s">
        <v>39</v>
      </c>
      <c r="J367" t="s">
        <v>24</v>
      </c>
      <c r="K367" s="11" t="str">
        <f t="shared" ca="1" si="5"/>
        <v>7 Years</v>
      </c>
      <c r="L367" s="3" cm="1">
        <f t="array" ref="L367">_xlfn.SWITCH(Table13_24[[#This Row],[Performance Score]],"A",6,"B",5,"C",4,"D",3,"E",2,"F",1)</f>
        <v>5</v>
      </c>
    </row>
    <row r="368" spans="1:12" x14ac:dyDescent="0.3">
      <c r="A368" t="s">
        <v>25</v>
      </c>
      <c r="B368">
        <v>36</v>
      </c>
      <c r="C368" s="1">
        <v>49144.385026737968</v>
      </c>
      <c r="D368" t="s">
        <v>19</v>
      </c>
      <c r="E368" t="s">
        <v>35</v>
      </c>
      <c r="F368" t="s">
        <v>37</v>
      </c>
      <c r="G368" s="11">
        <v>43477</v>
      </c>
      <c r="H368" t="s">
        <v>31</v>
      </c>
      <c r="I368" t="s">
        <v>39</v>
      </c>
      <c r="J368" t="s">
        <v>28</v>
      </c>
      <c r="K368" s="11" t="str">
        <f t="shared" ca="1" si="5"/>
        <v>6 Years</v>
      </c>
      <c r="L368" s="3" cm="1">
        <f t="array" ref="L368">_xlfn.SWITCH(Table13_24[[#This Row],[Performance Score]],"A",6,"B",5,"C",4,"D",3,"E",2,"F",1)</f>
        <v>6</v>
      </c>
    </row>
    <row r="369" spans="1:12" x14ac:dyDescent="0.3">
      <c r="A369" t="s">
        <v>29</v>
      </c>
      <c r="B369">
        <v>25</v>
      </c>
      <c r="C369" s="1">
        <v>48417.431192660551</v>
      </c>
      <c r="D369" t="s">
        <v>19</v>
      </c>
      <c r="E369" t="s">
        <v>20</v>
      </c>
      <c r="F369" t="s">
        <v>21</v>
      </c>
      <c r="G369" s="11">
        <v>43477</v>
      </c>
      <c r="H369" t="s">
        <v>31</v>
      </c>
      <c r="I369" t="s">
        <v>16</v>
      </c>
      <c r="J369" t="s">
        <v>24</v>
      </c>
      <c r="K369" s="11" t="str">
        <f t="shared" ca="1" si="5"/>
        <v>6 Years</v>
      </c>
      <c r="L369" s="3" cm="1">
        <f t="array" ref="L369">_xlfn.SWITCH(Table13_24[[#This Row],[Performance Score]],"A",6,"B",5,"C",4,"D",3,"E",2,"F",1)</f>
        <v>6</v>
      </c>
    </row>
    <row r="370" spans="1:12" x14ac:dyDescent="0.3">
      <c r="A370" t="s">
        <v>29</v>
      </c>
      <c r="B370">
        <v>36</v>
      </c>
      <c r="C370" s="1">
        <v>50777.202072538857</v>
      </c>
      <c r="D370" t="s">
        <v>12</v>
      </c>
      <c r="E370" t="s">
        <v>30</v>
      </c>
      <c r="F370" t="s">
        <v>21</v>
      </c>
      <c r="G370" s="11">
        <v>43477</v>
      </c>
      <c r="H370" t="s">
        <v>22</v>
      </c>
      <c r="I370" t="s">
        <v>39</v>
      </c>
      <c r="J370" t="s">
        <v>17</v>
      </c>
      <c r="K370" s="11" t="str">
        <f t="shared" ca="1" si="5"/>
        <v>6 Years</v>
      </c>
      <c r="L370" s="3" cm="1">
        <f t="array" ref="L370">_xlfn.SWITCH(Table13_24[[#This Row],[Performance Score]],"A",6,"B",5,"C",4,"D",3,"E",2,"F",1)</f>
        <v>1</v>
      </c>
    </row>
    <row r="371" spans="1:12" x14ac:dyDescent="0.3">
      <c r="A371" t="s">
        <v>11</v>
      </c>
      <c r="B371">
        <v>40</v>
      </c>
      <c r="C371" s="1">
        <v>70000</v>
      </c>
      <c r="D371" t="s">
        <v>12</v>
      </c>
      <c r="E371" t="s">
        <v>26</v>
      </c>
      <c r="F371" t="s">
        <v>41</v>
      </c>
      <c r="G371" s="11">
        <v>43549</v>
      </c>
      <c r="H371" t="s">
        <v>27</v>
      </c>
      <c r="I371" t="s">
        <v>39</v>
      </c>
      <c r="J371" t="s">
        <v>17</v>
      </c>
      <c r="K371" s="11" t="str">
        <f t="shared" ca="1" si="5"/>
        <v>6 Years</v>
      </c>
      <c r="L371" s="3" cm="1">
        <f t="array" ref="L371">_xlfn.SWITCH(Table13_24[[#This Row],[Performance Score]],"A",6,"B",5,"C",4,"D",3,"E",2,"F",1)</f>
        <v>4</v>
      </c>
    </row>
    <row r="372" spans="1:12" x14ac:dyDescent="0.3">
      <c r="A372" t="s">
        <v>18</v>
      </c>
      <c r="B372">
        <v>50</v>
      </c>
      <c r="C372" s="1">
        <v>65000</v>
      </c>
      <c r="D372" t="s">
        <v>19</v>
      </c>
      <c r="E372" t="s">
        <v>30</v>
      </c>
      <c r="F372" t="s">
        <v>21</v>
      </c>
      <c r="G372" s="11">
        <v>43477</v>
      </c>
      <c r="H372" t="s">
        <v>27</v>
      </c>
      <c r="I372" t="s">
        <v>32</v>
      </c>
      <c r="J372" t="s">
        <v>17</v>
      </c>
      <c r="K372" s="11" t="str">
        <f t="shared" ca="1" si="5"/>
        <v>6 Years</v>
      </c>
      <c r="L372" s="3" cm="1">
        <f t="array" ref="L372">_xlfn.SWITCH(Table13_24[[#This Row],[Performance Score]],"A",6,"B",5,"C",4,"D",3,"E",2,"F",1)</f>
        <v>4</v>
      </c>
    </row>
    <row r="373" spans="1:12" x14ac:dyDescent="0.3">
      <c r="A373" t="s">
        <v>43</v>
      </c>
      <c r="B373">
        <v>25</v>
      </c>
      <c r="C373" s="1">
        <v>60000</v>
      </c>
      <c r="D373" t="s">
        <v>34</v>
      </c>
      <c r="E373" t="s">
        <v>20</v>
      </c>
      <c r="F373" t="s">
        <v>40</v>
      </c>
      <c r="G373" s="11">
        <v>43881</v>
      </c>
      <c r="H373" t="s">
        <v>22</v>
      </c>
      <c r="I373" t="s">
        <v>32</v>
      </c>
      <c r="J373" t="s">
        <v>28</v>
      </c>
      <c r="K373" s="11" t="str">
        <f t="shared" ca="1" si="5"/>
        <v>5 Years</v>
      </c>
      <c r="L373" s="3" cm="1">
        <f t="array" ref="L373">_xlfn.SWITCH(Table13_24[[#This Row],[Performance Score]],"A",6,"B",5,"C",4,"D",3,"E",2,"F",1)</f>
        <v>1</v>
      </c>
    </row>
    <row r="374" spans="1:12" x14ac:dyDescent="0.3">
      <c r="A374" t="s">
        <v>18</v>
      </c>
      <c r="B374">
        <v>40</v>
      </c>
      <c r="C374" s="1">
        <v>60000</v>
      </c>
      <c r="D374" t="s">
        <v>34</v>
      </c>
      <c r="E374" t="s">
        <v>20</v>
      </c>
      <c r="F374" t="s">
        <v>40</v>
      </c>
      <c r="G374" s="11">
        <v>43881</v>
      </c>
      <c r="H374" t="s">
        <v>38</v>
      </c>
      <c r="I374" t="s">
        <v>16</v>
      </c>
      <c r="J374" t="s">
        <v>17</v>
      </c>
      <c r="K374" s="11" t="str">
        <f t="shared" ca="1" si="5"/>
        <v>5 Years</v>
      </c>
      <c r="L374" s="3" cm="1">
        <f t="array" ref="L374">_xlfn.SWITCH(Table13_24[[#This Row],[Performance Score]],"A",6,"B",5,"C",4,"D",3,"E",2,"F",1)</f>
        <v>5</v>
      </c>
    </row>
    <row r="375" spans="1:12" x14ac:dyDescent="0.3">
      <c r="A375" t="s">
        <v>36</v>
      </c>
      <c r="B375">
        <v>30</v>
      </c>
      <c r="C375" s="1">
        <v>50000</v>
      </c>
      <c r="D375" t="s">
        <v>12</v>
      </c>
      <c r="E375" t="s">
        <v>30</v>
      </c>
      <c r="F375" t="s">
        <v>21</v>
      </c>
      <c r="G375" s="11">
        <v>43845</v>
      </c>
      <c r="H375" t="s">
        <v>27</v>
      </c>
      <c r="I375" t="s">
        <v>32</v>
      </c>
      <c r="J375" t="s">
        <v>42</v>
      </c>
      <c r="K375" s="11" t="str">
        <f t="shared" ca="1" si="5"/>
        <v>5 Years</v>
      </c>
      <c r="L375" s="3" cm="1">
        <f t="array" ref="L375">_xlfn.SWITCH(Table13_24[[#This Row],[Performance Score]],"A",6,"B",5,"C",4,"D",3,"E",2,"F",1)</f>
        <v>4</v>
      </c>
    </row>
    <row r="376" spans="1:12" x14ac:dyDescent="0.3">
      <c r="A376" t="s">
        <v>11</v>
      </c>
      <c r="B376">
        <v>25</v>
      </c>
      <c r="C376" s="1">
        <v>51825</v>
      </c>
      <c r="D376" t="s">
        <v>34</v>
      </c>
      <c r="E376" t="s">
        <v>13</v>
      </c>
      <c r="F376" t="s">
        <v>41</v>
      </c>
      <c r="G376" s="11">
        <v>43549</v>
      </c>
      <c r="H376" t="s">
        <v>22</v>
      </c>
      <c r="I376" t="s">
        <v>39</v>
      </c>
      <c r="J376" t="s">
        <v>17</v>
      </c>
      <c r="K376" s="11" t="str">
        <f t="shared" ca="1" si="5"/>
        <v>6 Years</v>
      </c>
      <c r="L376" s="3" cm="1">
        <f t="array" ref="L376">_xlfn.SWITCH(Table13_24[[#This Row],[Performance Score]],"A",6,"B",5,"C",4,"D",3,"E",2,"F",1)</f>
        <v>1</v>
      </c>
    </row>
    <row r="377" spans="1:12" x14ac:dyDescent="0.3">
      <c r="A377" t="s">
        <v>25</v>
      </c>
      <c r="B377">
        <v>40</v>
      </c>
      <c r="C377" s="1">
        <v>50000</v>
      </c>
      <c r="D377" t="s">
        <v>12</v>
      </c>
      <c r="E377" t="s">
        <v>13</v>
      </c>
      <c r="F377" t="s">
        <v>41</v>
      </c>
      <c r="G377" s="11">
        <v>43845</v>
      </c>
      <c r="H377" t="s">
        <v>38</v>
      </c>
      <c r="I377" t="s">
        <v>16</v>
      </c>
      <c r="J377" t="s">
        <v>42</v>
      </c>
      <c r="K377" s="11" t="str">
        <f t="shared" ca="1" si="5"/>
        <v>5 Years</v>
      </c>
      <c r="L377" s="3" cm="1">
        <f t="array" ref="L377">_xlfn.SWITCH(Table13_24[[#This Row],[Performance Score]],"A",6,"B",5,"C",4,"D",3,"E",2,"F",1)</f>
        <v>5</v>
      </c>
    </row>
    <row r="378" spans="1:12" x14ac:dyDescent="0.3">
      <c r="A378" t="s">
        <v>18</v>
      </c>
      <c r="B378">
        <v>30</v>
      </c>
      <c r="C378" s="1">
        <v>70000</v>
      </c>
      <c r="D378" t="s">
        <v>34</v>
      </c>
      <c r="E378" t="s">
        <v>13</v>
      </c>
      <c r="F378" t="s">
        <v>41</v>
      </c>
      <c r="G378" s="11">
        <v>43881</v>
      </c>
      <c r="H378" t="s">
        <v>38</v>
      </c>
      <c r="I378" t="s">
        <v>39</v>
      </c>
      <c r="J378" t="s">
        <v>42</v>
      </c>
      <c r="K378" s="11" t="str">
        <f t="shared" ca="1" si="5"/>
        <v>5 Years</v>
      </c>
      <c r="L378" s="3" cm="1">
        <f t="array" ref="L378">_xlfn.SWITCH(Table13_24[[#This Row],[Performance Score]],"A",6,"B",5,"C",4,"D",3,"E",2,"F",1)</f>
        <v>5</v>
      </c>
    </row>
    <row r="379" spans="1:12" x14ac:dyDescent="0.3">
      <c r="A379" t="s">
        <v>44</v>
      </c>
      <c r="B379">
        <v>36</v>
      </c>
      <c r="C379" s="1">
        <v>70000</v>
      </c>
      <c r="D379" t="s">
        <v>19</v>
      </c>
      <c r="E379" t="s">
        <v>20</v>
      </c>
      <c r="F379" t="s">
        <v>14</v>
      </c>
      <c r="G379" s="11">
        <v>43881</v>
      </c>
      <c r="H379" t="s">
        <v>15</v>
      </c>
      <c r="I379" t="s">
        <v>16</v>
      </c>
      <c r="J379" t="s">
        <v>28</v>
      </c>
      <c r="K379" s="11" t="str">
        <f t="shared" ca="1" si="5"/>
        <v>5 Years</v>
      </c>
      <c r="L379" s="3" cm="1">
        <f t="array" ref="L379">_xlfn.SWITCH(Table13_24[[#This Row],[Performance Score]],"A",6,"B",5,"C",4,"D",3,"E",2,"F",1)</f>
        <v>3</v>
      </c>
    </row>
    <row r="380" spans="1:12" x14ac:dyDescent="0.3">
      <c r="A380" t="s">
        <v>33</v>
      </c>
      <c r="B380">
        <v>50</v>
      </c>
      <c r="C380" s="1">
        <v>55000</v>
      </c>
      <c r="D380" t="s">
        <v>12</v>
      </c>
      <c r="E380" t="s">
        <v>35</v>
      </c>
      <c r="F380" t="s">
        <v>21</v>
      </c>
      <c r="G380" s="11">
        <v>43195</v>
      </c>
      <c r="H380" t="s">
        <v>38</v>
      </c>
      <c r="I380" t="s">
        <v>16</v>
      </c>
      <c r="J380" t="s">
        <v>24</v>
      </c>
      <c r="K380" s="11" t="str">
        <f t="shared" ca="1" si="5"/>
        <v>7 Years</v>
      </c>
      <c r="L380" s="3" cm="1">
        <f t="array" ref="L380">_xlfn.SWITCH(Table13_24[[#This Row],[Performance Score]],"A",6,"B",5,"C",4,"D",3,"E",2,"F",1)</f>
        <v>5</v>
      </c>
    </row>
    <row r="381" spans="1:12" x14ac:dyDescent="0.3">
      <c r="A381" t="s">
        <v>36</v>
      </c>
      <c r="B381">
        <v>30</v>
      </c>
      <c r="C381" s="1">
        <v>70000</v>
      </c>
      <c r="D381" t="s">
        <v>12</v>
      </c>
      <c r="E381" t="s">
        <v>20</v>
      </c>
      <c r="F381" t="s">
        <v>41</v>
      </c>
      <c r="G381" s="11">
        <v>43477</v>
      </c>
      <c r="H381" t="s">
        <v>27</v>
      </c>
      <c r="I381" t="s">
        <v>23</v>
      </c>
      <c r="J381" t="s">
        <v>42</v>
      </c>
      <c r="K381" s="11" t="str">
        <f t="shared" ca="1" si="5"/>
        <v>6 Years</v>
      </c>
      <c r="L381" s="3" cm="1">
        <f t="array" ref="L381">_xlfn.SWITCH(Table13_24[[#This Row],[Performance Score]],"A",6,"B",5,"C",4,"D",3,"E",2,"F",1)</f>
        <v>4</v>
      </c>
    </row>
    <row r="382" spans="1:12" x14ac:dyDescent="0.3">
      <c r="A382" t="s">
        <v>45</v>
      </c>
      <c r="B382">
        <v>35</v>
      </c>
      <c r="C382" s="1">
        <v>55000</v>
      </c>
      <c r="D382" t="s">
        <v>19</v>
      </c>
      <c r="E382" t="s">
        <v>35</v>
      </c>
      <c r="F382" t="s">
        <v>40</v>
      </c>
      <c r="G382" s="11">
        <v>43881</v>
      </c>
      <c r="H382" t="s">
        <v>27</v>
      </c>
      <c r="I382" t="s">
        <v>23</v>
      </c>
      <c r="J382" t="s">
        <v>17</v>
      </c>
      <c r="K382" s="11" t="str">
        <f t="shared" ca="1" si="5"/>
        <v>5 Years</v>
      </c>
      <c r="L382" s="3" cm="1">
        <f t="array" ref="L382">_xlfn.SWITCH(Table13_24[[#This Row],[Performance Score]],"A",6,"B",5,"C",4,"D",3,"E",2,"F",1)</f>
        <v>4</v>
      </c>
    </row>
    <row r="383" spans="1:12" x14ac:dyDescent="0.3">
      <c r="A383" t="s">
        <v>25</v>
      </c>
      <c r="B383">
        <v>30</v>
      </c>
      <c r="C383" s="1">
        <v>65000</v>
      </c>
      <c r="D383" t="s">
        <v>12</v>
      </c>
      <c r="E383" t="s">
        <v>30</v>
      </c>
      <c r="F383" t="s">
        <v>37</v>
      </c>
      <c r="G383" s="11">
        <v>43845</v>
      </c>
      <c r="H383" t="s">
        <v>22</v>
      </c>
      <c r="I383" t="s">
        <v>16</v>
      </c>
      <c r="J383" t="s">
        <v>24</v>
      </c>
      <c r="K383" s="11" t="str">
        <f t="shared" ca="1" si="5"/>
        <v>5 Years</v>
      </c>
      <c r="L383" s="3" cm="1">
        <f t="array" ref="L383">_xlfn.SWITCH(Table13_24[[#This Row],[Performance Score]],"A",6,"B",5,"C",4,"D",3,"E",2,"F",1)</f>
        <v>1</v>
      </c>
    </row>
    <row r="384" spans="1:12" x14ac:dyDescent="0.3">
      <c r="A384" t="s">
        <v>36</v>
      </c>
      <c r="B384">
        <v>30</v>
      </c>
      <c r="C384" s="1">
        <v>50000</v>
      </c>
      <c r="D384" t="s">
        <v>34</v>
      </c>
      <c r="E384" t="s">
        <v>26</v>
      </c>
      <c r="F384" t="s">
        <v>37</v>
      </c>
      <c r="G384" s="11">
        <v>43845</v>
      </c>
      <c r="H384" t="s">
        <v>22</v>
      </c>
      <c r="I384" t="s">
        <v>32</v>
      </c>
      <c r="J384" t="s">
        <v>17</v>
      </c>
      <c r="K384" s="11" t="str">
        <f t="shared" ca="1" si="5"/>
        <v>5 Years</v>
      </c>
      <c r="L384" s="3" cm="1">
        <f t="array" ref="L384">_xlfn.SWITCH(Table13_24[[#This Row],[Performance Score]],"A",6,"B",5,"C",4,"D",3,"E",2,"F",1)</f>
        <v>1</v>
      </c>
    </row>
    <row r="385" spans="1:12" x14ac:dyDescent="0.3">
      <c r="A385" t="s">
        <v>33</v>
      </c>
      <c r="B385">
        <v>50</v>
      </c>
      <c r="C385" s="1">
        <v>65000</v>
      </c>
      <c r="D385" t="s">
        <v>34</v>
      </c>
      <c r="E385" t="s">
        <v>35</v>
      </c>
      <c r="F385" t="s">
        <v>41</v>
      </c>
      <c r="G385" s="11">
        <v>43477</v>
      </c>
      <c r="H385" t="s">
        <v>38</v>
      </c>
      <c r="I385" t="s">
        <v>23</v>
      </c>
      <c r="J385" t="s">
        <v>17</v>
      </c>
      <c r="K385" s="11" t="str">
        <f t="shared" ca="1" si="5"/>
        <v>6 Years</v>
      </c>
      <c r="L385" s="3" cm="1">
        <f t="array" ref="L385">_xlfn.SWITCH(Table13_24[[#This Row],[Performance Score]],"A",6,"B",5,"C",4,"D",3,"E",2,"F",1)</f>
        <v>5</v>
      </c>
    </row>
    <row r="386" spans="1:12" x14ac:dyDescent="0.3">
      <c r="A386" t="s">
        <v>11</v>
      </c>
      <c r="B386">
        <v>35</v>
      </c>
      <c r="C386" s="1">
        <v>70000</v>
      </c>
      <c r="D386" t="s">
        <v>12</v>
      </c>
      <c r="E386" t="s">
        <v>13</v>
      </c>
      <c r="F386" t="s">
        <v>37</v>
      </c>
      <c r="G386" s="11">
        <v>43477</v>
      </c>
      <c r="H386" t="s">
        <v>31</v>
      </c>
      <c r="I386" t="s">
        <v>39</v>
      </c>
      <c r="J386" t="s">
        <v>24</v>
      </c>
      <c r="K386" s="11" t="str">
        <f t="shared" ca="1" si="5"/>
        <v>6 Years</v>
      </c>
      <c r="L386" s="3" cm="1">
        <f t="array" ref="L386">_xlfn.SWITCH(Table13_24[[#This Row],[Performance Score]],"A",6,"B",5,"C",4,"D",3,"E",2,"F",1)</f>
        <v>6</v>
      </c>
    </row>
    <row r="387" spans="1:12" x14ac:dyDescent="0.3">
      <c r="A387" t="s">
        <v>33</v>
      </c>
      <c r="B387">
        <v>40</v>
      </c>
      <c r="C387" s="1">
        <v>65000</v>
      </c>
      <c r="D387" t="s">
        <v>34</v>
      </c>
      <c r="E387" t="s">
        <v>20</v>
      </c>
      <c r="F387" t="s">
        <v>37</v>
      </c>
      <c r="G387" s="11">
        <v>43195</v>
      </c>
      <c r="H387" t="s">
        <v>15</v>
      </c>
      <c r="I387" t="s">
        <v>39</v>
      </c>
      <c r="J387" t="s">
        <v>24</v>
      </c>
      <c r="K387" s="11" t="str">
        <f t="shared" ref="K387:K450" ca="1" si="6">DATEDIF(G387,TODAY(),"Y") &amp; " Years"</f>
        <v>7 Years</v>
      </c>
      <c r="L387" s="3" cm="1">
        <f t="array" ref="L387">_xlfn.SWITCH(Table13_24[[#This Row],[Performance Score]],"A",6,"B",5,"C",4,"D",3,"E",2,"F",1)</f>
        <v>3</v>
      </c>
    </row>
    <row r="388" spans="1:12" x14ac:dyDescent="0.3">
      <c r="A388" t="s">
        <v>29</v>
      </c>
      <c r="B388">
        <v>40</v>
      </c>
      <c r="C388" s="1">
        <v>65000</v>
      </c>
      <c r="D388" t="s">
        <v>12</v>
      </c>
      <c r="E388" t="s">
        <v>30</v>
      </c>
      <c r="F388" t="s">
        <v>14</v>
      </c>
      <c r="G388" s="11">
        <v>43549</v>
      </c>
      <c r="H388" t="s">
        <v>31</v>
      </c>
      <c r="I388" t="s">
        <v>23</v>
      </c>
      <c r="J388" t="s">
        <v>17</v>
      </c>
      <c r="K388" s="11" t="str">
        <f t="shared" ca="1" si="6"/>
        <v>6 Years</v>
      </c>
      <c r="L388" s="3" cm="1">
        <f t="array" ref="L388">_xlfn.SWITCH(Table13_24[[#This Row],[Performance Score]],"A",6,"B",5,"C",4,"D",3,"E",2,"F",1)</f>
        <v>6</v>
      </c>
    </row>
    <row r="389" spans="1:12" x14ac:dyDescent="0.3">
      <c r="A389" t="s">
        <v>33</v>
      </c>
      <c r="B389">
        <v>30</v>
      </c>
      <c r="C389" s="1">
        <v>65000</v>
      </c>
      <c r="D389" t="s">
        <v>19</v>
      </c>
      <c r="E389" t="s">
        <v>13</v>
      </c>
      <c r="F389" t="s">
        <v>40</v>
      </c>
      <c r="G389" s="11">
        <v>43845</v>
      </c>
      <c r="H389" t="s">
        <v>38</v>
      </c>
      <c r="I389" t="s">
        <v>16</v>
      </c>
      <c r="J389" t="s">
        <v>28</v>
      </c>
      <c r="K389" s="11" t="str">
        <f t="shared" ca="1" si="6"/>
        <v>5 Years</v>
      </c>
      <c r="L389" s="3" cm="1">
        <f t="array" ref="L389">_xlfn.SWITCH(Table13_24[[#This Row],[Performance Score]],"A",6,"B",5,"C",4,"D",3,"E",2,"F",1)</f>
        <v>5</v>
      </c>
    </row>
    <row r="390" spans="1:12" x14ac:dyDescent="0.3">
      <c r="A390" t="s">
        <v>29</v>
      </c>
      <c r="B390">
        <v>35</v>
      </c>
      <c r="C390" s="1">
        <v>70000</v>
      </c>
      <c r="D390" t="s">
        <v>12</v>
      </c>
      <c r="E390" t="s">
        <v>30</v>
      </c>
      <c r="F390" t="s">
        <v>40</v>
      </c>
      <c r="G390" s="11">
        <v>43477</v>
      </c>
      <c r="H390" t="s">
        <v>38</v>
      </c>
      <c r="I390" t="s">
        <v>32</v>
      </c>
      <c r="J390" t="s">
        <v>17</v>
      </c>
      <c r="K390" s="11" t="str">
        <f t="shared" ca="1" si="6"/>
        <v>6 Years</v>
      </c>
      <c r="L390" s="3" cm="1">
        <f t="array" ref="L390">_xlfn.SWITCH(Table13_24[[#This Row],[Performance Score]],"A",6,"B",5,"C",4,"D",3,"E",2,"F",1)</f>
        <v>5</v>
      </c>
    </row>
    <row r="391" spans="1:12" x14ac:dyDescent="0.3">
      <c r="A391" t="s">
        <v>11</v>
      </c>
      <c r="B391">
        <v>35</v>
      </c>
      <c r="C391" s="1">
        <v>50742.574257425746</v>
      </c>
      <c r="D391" t="s">
        <v>19</v>
      </c>
      <c r="E391" t="s">
        <v>26</v>
      </c>
      <c r="F391" t="s">
        <v>14</v>
      </c>
      <c r="G391" s="11">
        <v>43845</v>
      </c>
      <c r="H391" t="s">
        <v>31</v>
      </c>
      <c r="I391" t="s">
        <v>39</v>
      </c>
      <c r="J391" t="s">
        <v>17</v>
      </c>
      <c r="K391" s="11" t="str">
        <f t="shared" ca="1" si="6"/>
        <v>5 Years</v>
      </c>
      <c r="L391" s="3" cm="1">
        <f t="array" ref="L391">_xlfn.SWITCH(Table13_24[[#This Row],[Performance Score]],"A",6,"B",5,"C",4,"D",3,"E",2,"F",1)</f>
        <v>6</v>
      </c>
    </row>
    <row r="392" spans="1:12" x14ac:dyDescent="0.3">
      <c r="A392" t="s">
        <v>46</v>
      </c>
      <c r="B392">
        <v>50</v>
      </c>
      <c r="C392" s="1">
        <v>65000</v>
      </c>
      <c r="D392" t="s">
        <v>34</v>
      </c>
      <c r="E392" t="s">
        <v>20</v>
      </c>
      <c r="F392" t="s">
        <v>14</v>
      </c>
      <c r="G392" s="11">
        <v>43477</v>
      </c>
      <c r="H392" t="s">
        <v>15</v>
      </c>
      <c r="I392" t="s">
        <v>23</v>
      </c>
      <c r="J392" t="s">
        <v>28</v>
      </c>
      <c r="K392" s="11" t="str">
        <f t="shared" ca="1" si="6"/>
        <v>6 Years</v>
      </c>
      <c r="L392" s="3" cm="1">
        <f t="array" ref="L392">_xlfn.SWITCH(Table13_24[[#This Row],[Performance Score]],"A",6,"B",5,"C",4,"D",3,"E",2,"F",1)</f>
        <v>3</v>
      </c>
    </row>
    <row r="393" spans="1:12" x14ac:dyDescent="0.3">
      <c r="A393" t="s">
        <v>29</v>
      </c>
      <c r="B393">
        <v>36</v>
      </c>
      <c r="C393" s="1">
        <v>55000</v>
      </c>
      <c r="D393" t="s">
        <v>19</v>
      </c>
      <c r="E393" t="s">
        <v>20</v>
      </c>
      <c r="F393" t="s">
        <v>37</v>
      </c>
      <c r="G393" s="11">
        <v>43881</v>
      </c>
      <c r="H393" t="s">
        <v>31</v>
      </c>
      <c r="I393" t="s">
        <v>32</v>
      </c>
      <c r="J393" t="s">
        <v>24</v>
      </c>
      <c r="K393" s="11" t="str">
        <f t="shared" ca="1" si="6"/>
        <v>5 Years</v>
      </c>
      <c r="L393" s="3" cm="1">
        <f t="array" ref="L393">_xlfn.SWITCH(Table13_24[[#This Row],[Performance Score]],"A",6,"B",5,"C",4,"D",3,"E",2,"F",1)</f>
        <v>6</v>
      </c>
    </row>
    <row r="394" spans="1:12" x14ac:dyDescent="0.3">
      <c r="A394" t="s">
        <v>45</v>
      </c>
      <c r="B394">
        <v>40</v>
      </c>
      <c r="C394" s="1">
        <v>70000</v>
      </c>
      <c r="D394" t="s">
        <v>34</v>
      </c>
      <c r="E394" t="s">
        <v>26</v>
      </c>
      <c r="F394" t="s">
        <v>21</v>
      </c>
      <c r="G394" s="11">
        <v>43845</v>
      </c>
      <c r="H394" t="s">
        <v>22</v>
      </c>
      <c r="I394" t="s">
        <v>32</v>
      </c>
      <c r="J394" t="s">
        <v>17</v>
      </c>
      <c r="K394" s="11" t="str">
        <f t="shared" ca="1" si="6"/>
        <v>5 Years</v>
      </c>
      <c r="L394" s="3" cm="1">
        <f t="array" ref="L394">_xlfn.SWITCH(Table13_24[[#This Row],[Performance Score]],"A",6,"B",5,"C",4,"D",3,"E",2,"F",1)</f>
        <v>1</v>
      </c>
    </row>
    <row r="395" spans="1:12" x14ac:dyDescent="0.3">
      <c r="A395" t="s">
        <v>33</v>
      </c>
      <c r="B395">
        <v>50</v>
      </c>
      <c r="C395" s="1">
        <v>65000</v>
      </c>
      <c r="D395" t="s">
        <v>12</v>
      </c>
      <c r="E395" t="s">
        <v>20</v>
      </c>
      <c r="F395" t="s">
        <v>37</v>
      </c>
      <c r="G395" s="11">
        <v>43881</v>
      </c>
      <c r="H395" t="s">
        <v>27</v>
      </c>
      <c r="I395" t="s">
        <v>32</v>
      </c>
      <c r="J395" t="s">
        <v>17</v>
      </c>
      <c r="K395" s="11" t="str">
        <f t="shared" ca="1" si="6"/>
        <v>5 Years</v>
      </c>
      <c r="L395" s="3" cm="1">
        <f t="array" ref="L395">_xlfn.SWITCH(Table13_24[[#This Row],[Performance Score]],"A",6,"B",5,"C",4,"D",3,"E",2,"F",1)</f>
        <v>4</v>
      </c>
    </row>
    <row r="396" spans="1:12" x14ac:dyDescent="0.3">
      <c r="A396" t="s">
        <v>33</v>
      </c>
      <c r="B396">
        <v>25</v>
      </c>
      <c r="C396" s="1">
        <v>49144.385026737968</v>
      </c>
      <c r="D396" t="s">
        <v>34</v>
      </c>
      <c r="E396" t="s">
        <v>35</v>
      </c>
      <c r="F396" t="s">
        <v>14</v>
      </c>
      <c r="G396" s="11">
        <v>43845</v>
      </c>
      <c r="H396" t="s">
        <v>22</v>
      </c>
      <c r="I396" t="s">
        <v>16</v>
      </c>
      <c r="J396" t="s">
        <v>17</v>
      </c>
      <c r="K396" s="11" t="str">
        <f t="shared" ca="1" si="6"/>
        <v>5 Years</v>
      </c>
      <c r="L396" s="3" cm="1">
        <f t="array" ref="L396">_xlfn.SWITCH(Table13_24[[#This Row],[Performance Score]],"A",6,"B",5,"C",4,"D",3,"E",2,"F",1)</f>
        <v>1</v>
      </c>
    </row>
    <row r="397" spans="1:12" x14ac:dyDescent="0.3">
      <c r="A397" t="s">
        <v>45</v>
      </c>
      <c r="B397">
        <v>40</v>
      </c>
      <c r="C397" s="1">
        <v>70000</v>
      </c>
      <c r="D397" t="s">
        <v>12</v>
      </c>
      <c r="E397" t="s">
        <v>30</v>
      </c>
      <c r="F397" t="s">
        <v>40</v>
      </c>
      <c r="G397" s="11">
        <v>43549</v>
      </c>
      <c r="H397" t="s">
        <v>27</v>
      </c>
      <c r="I397" t="s">
        <v>39</v>
      </c>
      <c r="J397" t="s">
        <v>28</v>
      </c>
      <c r="K397" s="11" t="str">
        <f t="shared" ca="1" si="6"/>
        <v>6 Years</v>
      </c>
      <c r="L397" s="3" cm="1">
        <f t="array" ref="L397">_xlfn.SWITCH(Table13_24[[#This Row],[Performance Score]],"A",6,"B",5,"C",4,"D",3,"E",2,"F",1)</f>
        <v>4</v>
      </c>
    </row>
    <row r="398" spans="1:12" x14ac:dyDescent="0.3">
      <c r="A398" t="s">
        <v>44</v>
      </c>
      <c r="B398">
        <v>50</v>
      </c>
      <c r="C398" s="1">
        <v>60000</v>
      </c>
      <c r="D398" t="s">
        <v>12</v>
      </c>
      <c r="E398" t="s">
        <v>13</v>
      </c>
      <c r="F398" t="s">
        <v>37</v>
      </c>
      <c r="G398" s="11">
        <v>43195</v>
      </c>
      <c r="H398" t="s">
        <v>38</v>
      </c>
      <c r="I398" t="s">
        <v>32</v>
      </c>
      <c r="J398" t="s">
        <v>17</v>
      </c>
      <c r="K398" s="11" t="str">
        <f t="shared" ca="1" si="6"/>
        <v>7 Years</v>
      </c>
      <c r="L398" s="3" cm="1">
        <f t="array" ref="L398">_xlfn.SWITCH(Table13_24[[#This Row],[Performance Score]],"A",6,"B",5,"C",4,"D",3,"E",2,"F",1)</f>
        <v>5</v>
      </c>
    </row>
    <row r="399" spans="1:12" x14ac:dyDescent="0.3">
      <c r="A399" t="s">
        <v>43</v>
      </c>
      <c r="B399">
        <v>40</v>
      </c>
      <c r="C399" s="1">
        <v>50742.574257425746</v>
      </c>
      <c r="D399" t="s">
        <v>19</v>
      </c>
      <c r="E399" t="s">
        <v>26</v>
      </c>
      <c r="F399" t="s">
        <v>21</v>
      </c>
      <c r="G399" s="11">
        <v>43881</v>
      </c>
      <c r="H399" t="s">
        <v>15</v>
      </c>
      <c r="I399" t="s">
        <v>39</v>
      </c>
      <c r="J399" t="s">
        <v>28</v>
      </c>
      <c r="K399" s="11" t="str">
        <f t="shared" ca="1" si="6"/>
        <v>5 Years</v>
      </c>
      <c r="L399" s="3" cm="1">
        <f t="array" ref="L399">_xlfn.SWITCH(Table13_24[[#This Row],[Performance Score]],"A",6,"B",5,"C",4,"D",3,"E",2,"F",1)</f>
        <v>3</v>
      </c>
    </row>
    <row r="400" spans="1:12" x14ac:dyDescent="0.3">
      <c r="A400" t="s">
        <v>46</v>
      </c>
      <c r="B400">
        <v>36</v>
      </c>
      <c r="C400" s="1">
        <v>55000</v>
      </c>
      <c r="D400" t="s">
        <v>19</v>
      </c>
      <c r="E400" t="s">
        <v>35</v>
      </c>
      <c r="F400" t="s">
        <v>37</v>
      </c>
      <c r="G400" s="11">
        <v>43477</v>
      </c>
      <c r="H400" t="s">
        <v>31</v>
      </c>
      <c r="I400" t="s">
        <v>23</v>
      </c>
      <c r="J400" t="s">
        <v>24</v>
      </c>
      <c r="K400" s="11" t="str">
        <f t="shared" ca="1" si="6"/>
        <v>6 Years</v>
      </c>
      <c r="L400" s="3" cm="1">
        <f t="array" ref="L400">_xlfn.SWITCH(Table13_24[[#This Row],[Performance Score]],"A",6,"B",5,"C",4,"D",3,"E",2,"F",1)</f>
        <v>6</v>
      </c>
    </row>
    <row r="401" spans="1:12" x14ac:dyDescent="0.3">
      <c r="A401" t="s">
        <v>25</v>
      </c>
      <c r="B401">
        <v>25</v>
      </c>
      <c r="C401" s="1">
        <v>65000</v>
      </c>
      <c r="D401" t="s">
        <v>19</v>
      </c>
      <c r="E401" t="s">
        <v>13</v>
      </c>
      <c r="F401" t="s">
        <v>41</v>
      </c>
      <c r="G401" s="11">
        <v>43549</v>
      </c>
      <c r="H401" t="s">
        <v>15</v>
      </c>
      <c r="I401" t="s">
        <v>39</v>
      </c>
      <c r="J401" t="s">
        <v>28</v>
      </c>
      <c r="K401" s="11" t="str">
        <f t="shared" ca="1" si="6"/>
        <v>6 Years</v>
      </c>
      <c r="L401" s="3" cm="1">
        <f t="array" ref="L401">_xlfn.SWITCH(Table13_24[[#This Row],[Performance Score]],"A",6,"B",5,"C",4,"D",3,"E",2,"F",1)</f>
        <v>3</v>
      </c>
    </row>
    <row r="402" spans="1:12" x14ac:dyDescent="0.3">
      <c r="A402" t="s">
        <v>29</v>
      </c>
      <c r="B402">
        <v>36</v>
      </c>
      <c r="C402" s="1">
        <v>60000</v>
      </c>
      <c r="D402" t="s">
        <v>19</v>
      </c>
      <c r="E402" t="s">
        <v>13</v>
      </c>
      <c r="F402" t="s">
        <v>37</v>
      </c>
      <c r="G402" s="11">
        <v>43845</v>
      </c>
      <c r="H402" t="s">
        <v>31</v>
      </c>
      <c r="I402" t="s">
        <v>16</v>
      </c>
      <c r="J402" t="s">
        <v>28</v>
      </c>
      <c r="K402" s="11" t="str">
        <f t="shared" ca="1" si="6"/>
        <v>5 Years</v>
      </c>
      <c r="L402" s="3" cm="1">
        <f t="array" ref="L402">_xlfn.SWITCH(Table13_24[[#This Row],[Performance Score]],"A",6,"B",5,"C",4,"D",3,"E",2,"F",1)</f>
        <v>6</v>
      </c>
    </row>
    <row r="403" spans="1:12" x14ac:dyDescent="0.3">
      <c r="A403" t="s">
        <v>45</v>
      </c>
      <c r="B403">
        <v>25</v>
      </c>
      <c r="C403" s="1">
        <v>60000</v>
      </c>
      <c r="D403" t="s">
        <v>34</v>
      </c>
      <c r="E403" t="s">
        <v>26</v>
      </c>
      <c r="F403" t="s">
        <v>14</v>
      </c>
      <c r="G403" s="11">
        <v>43881</v>
      </c>
      <c r="H403" t="s">
        <v>22</v>
      </c>
      <c r="I403" t="s">
        <v>16</v>
      </c>
      <c r="J403" t="s">
        <v>17</v>
      </c>
      <c r="K403" s="11" t="str">
        <f t="shared" ca="1" si="6"/>
        <v>5 Years</v>
      </c>
      <c r="L403" s="3" cm="1">
        <f t="array" ref="L403">_xlfn.SWITCH(Table13_24[[#This Row],[Performance Score]],"A",6,"B",5,"C",4,"D",3,"E",2,"F",1)</f>
        <v>1</v>
      </c>
    </row>
    <row r="404" spans="1:12" x14ac:dyDescent="0.3">
      <c r="A404" t="s">
        <v>11</v>
      </c>
      <c r="B404">
        <v>30</v>
      </c>
      <c r="C404" s="1">
        <v>70000</v>
      </c>
      <c r="D404" t="s">
        <v>34</v>
      </c>
      <c r="E404" t="s">
        <v>35</v>
      </c>
      <c r="F404" t="s">
        <v>40</v>
      </c>
      <c r="G404" s="11">
        <v>43845</v>
      </c>
      <c r="H404" t="s">
        <v>22</v>
      </c>
      <c r="I404" t="s">
        <v>39</v>
      </c>
      <c r="J404" t="s">
        <v>17</v>
      </c>
      <c r="K404" s="11" t="str">
        <f t="shared" ca="1" si="6"/>
        <v>5 Years</v>
      </c>
      <c r="L404" s="3" cm="1">
        <f t="array" ref="L404">_xlfn.SWITCH(Table13_24[[#This Row],[Performance Score]],"A",6,"B",5,"C",4,"D",3,"E",2,"F",1)</f>
        <v>1</v>
      </c>
    </row>
    <row r="405" spans="1:12" x14ac:dyDescent="0.3">
      <c r="A405" t="s">
        <v>29</v>
      </c>
      <c r="B405">
        <v>50</v>
      </c>
      <c r="C405" s="1">
        <v>60000</v>
      </c>
      <c r="D405" t="s">
        <v>34</v>
      </c>
      <c r="E405" t="s">
        <v>13</v>
      </c>
      <c r="F405" t="s">
        <v>40</v>
      </c>
      <c r="G405" s="11">
        <v>43845</v>
      </c>
      <c r="H405" t="s">
        <v>31</v>
      </c>
      <c r="I405" t="s">
        <v>39</v>
      </c>
      <c r="J405" t="s">
        <v>17</v>
      </c>
      <c r="K405" s="11" t="str">
        <f t="shared" ca="1" si="6"/>
        <v>5 Years</v>
      </c>
      <c r="L405" s="3" cm="1">
        <f t="array" ref="L405">_xlfn.SWITCH(Table13_24[[#This Row],[Performance Score]],"A",6,"B",5,"C",4,"D",3,"E",2,"F",1)</f>
        <v>6</v>
      </c>
    </row>
    <row r="406" spans="1:12" x14ac:dyDescent="0.3">
      <c r="A406" t="s">
        <v>43</v>
      </c>
      <c r="B406">
        <v>25</v>
      </c>
      <c r="C406" s="1">
        <v>55000</v>
      </c>
      <c r="D406" t="s">
        <v>12</v>
      </c>
      <c r="E406" t="s">
        <v>13</v>
      </c>
      <c r="F406" t="s">
        <v>14</v>
      </c>
      <c r="G406" s="11">
        <v>43845</v>
      </c>
      <c r="H406" t="s">
        <v>15</v>
      </c>
      <c r="I406" t="s">
        <v>16</v>
      </c>
      <c r="J406" t="s">
        <v>42</v>
      </c>
      <c r="K406" s="11" t="str">
        <f t="shared" ca="1" si="6"/>
        <v>5 Years</v>
      </c>
      <c r="L406" s="3" cm="1">
        <f t="array" ref="L406">_xlfn.SWITCH(Table13_24[[#This Row],[Performance Score]],"A",6,"B",5,"C",4,"D",3,"E",2,"F",1)</f>
        <v>3</v>
      </c>
    </row>
    <row r="407" spans="1:12" x14ac:dyDescent="0.3">
      <c r="A407" t="s">
        <v>11</v>
      </c>
      <c r="B407">
        <v>36</v>
      </c>
      <c r="C407" s="1">
        <v>55000</v>
      </c>
      <c r="D407" t="s">
        <v>34</v>
      </c>
      <c r="E407" t="s">
        <v>35</v>
      </c>
      <c r="F407" t="s">
        <v>41</v>
      </c>
      <c r="G407" s="11">
        <v>43195</v>
      </c>
      <c r="H407" t="s">
        <v>31</v>
      </c>
      <c r="I407" t="s">
        <v>16</v>
      </c>
      <c r="J407" t="s">
        <v>28</v>
      </c>
      <c r="K407" s="11" t="str">
        <f t="shared" ca="1" si="6"/>
        <v>7 Years</v>
      </c>
      <c r="L407" s="3" cm="1">
        <f t="array" ref="L407">_xlfn.SWITCH(Table13_24[[#This Row],[Performance Score]],"A",6,"B",5,"C",4,"D",3,"E",2,"F",1)</f>
        <v>6</v>
      </c>
    </row>
    <row r="408" spans="1:12" x14ac:dyDescent="0.3">
      <c r="A408" t="s">
        <v>36</v>
      </c>
      <c r="B408">
        <v>40</v>
      </c>
      <c r="C408" s="1">
        <v>50000</v>
      </c>
      <c r="D408" t="s">
        <v>34</v>
      </c>
      <c r="E408" t="s">
        <v>20</v>
      </c>
      <c r="F408" t="s">
        <v>14</v>
      </c>
      <c r="G408" s="11">
        <v>43195</v>
      </c>
      <c r="H408" t="s">
        <v>38</v>
      </c>
      <c r="I408" t="s">
        <v>39</v>
      </c>
      <c r="J408" t="s">
        <v>42</v>
      </c>
      <c r="K408" s="11" t="str">
        <f t="shared" ca="1" si="6"/>
        <v>7 Years</v>
      </c>
      <c r="L408" s="3" cm="1">
        <f t="array" ref="L408">_xlfn.SWITCH(Table13_24[[#This Row],[Performance Score]],"A",6,"B",5,"C",4,"D",3,"E",2,"F",1)</f>
        <v>5</v>
      </c>
    </row>
    <row r="409" spans="1:12" x14ac:dyDescent="0.3">
      <c r="A409" t="s">
        <v>33</v>
      </c>
      <c r="B409">
        <v>25</v>
      </c>
      <c r="C409" s="1">
        <v>55000</v>
      </c>
      <c r="D409" t="s">
        <v>34</v>
      </c>
      <c r="E409" t="s">
        <v>13</v>
      </c>
      <c r="F409" t="s">
        <v>37</v>
      </c>
      <c r="G409" s="11">
        <v>43477</v>
      </c>
      <c r="H409" t="s">
        <v>22</v>
      </c>
      <c r="I409" t="s">
        <v>16</v>
      </c>
      <c r="J409" t="s">
        <v>17</v>
      </c>
      <c r="K409" s="11" t="str">
        <f t="shared" ca="1" si="6"/>
        <v>6 Years</v>
      </c>
      <c r="L409" s="3" cm="1">
        <f t="array" ref="L409">_xlfn.SWITCH(Table13_24[[#This Row],[Performance Score]],"A",6,"B",5,"C",4,"D",3,"E",2,"F",1)</f>
        <v>1</v>
      </c>
    </row>
    <row r="410" spans="1:12" x14ac:dyDescent="0.3">
      <c r="A410" t="s">
        <v>36</v>
      </c>
      <c r="B410">
        <v>50</v>
      </c>
      <c r="C410" s="1">
        <v>50777.202072538857</v>
      </c>
      <c r="D410" t="s">
        <v>19</v>
      </c>
      <c r="E410" t="s">
        <v>30</v>
      </c>
      <c r="F410" t="s">
        <v>14</v>
      </c>
      <c r="G410" s="11">
        <v>43881</v>
      </c>
      <c r="H410" t="s">
        <v>38</v>
      </c>
      <c r="I410" t="s">
        <v>39</v>
      </c>
      <c r="J410" t="s">
        <v>17</v>
      </c>
      <c r="K410" s="11" t="str">
        <f t="shared" ca="1" si="6"/>
        <v>5 Years</v>
      </c>
      <c r="L410" s="3" cm="1">
        <f t="array" ref="L410">_xlfn.SWITCH(Table13_24[[#This Row],[Performance Score]],"A",6,"B",5,"C",4,"D",3,"E",2,"F",1)</f>
        <v>5</v>
      </c>
    </row>
    <row r="411" spans="1:12" x14ac:dyDescent="0.3">
      <c r="A411" t="s">
        <v>29</v>
      </c>
      <c r="B411">
        <v>25</v>
      </c>
      <c r="C411" s="1">
        <v>60000</v>
      </c>
      <c r="D411" t="s">
        <v>34</v>
      </c>
      <c r="E411" t="s">
        <v>35</v>
      </c>
      <c r="F411" t="s">
        <v>14</v>
      </c>
      <c r="G411" s="11">
        <v>43549</v>
      </c>
      <c r="H411" t="s">
        <v>22</v>
      </c>
      <c r="I411" t="s">
        <v>39</v>
      </c>
      <c r="J411" t="s">
        <v>17</v>
      </c>
      <c r="K411" s="11" t="str">
        <f t="shared" ca="1" si="6"/>
        <v>6 Years</v>
      </c>
      <c r="L411" s="3" cm="1">
        <f t="array" ref="L411">_xlfn.SWITCH(Table13_24[[#This Row],[Performance Score]],"A",6,"B",5,"C",4,"D",3,"E",2,"F",1)</f>
        <v>1</v>
      </c>
    </row>
    <row r="412" spans="1:12" x14ac:dyDescent="0.3">
      <c r="A412" t="s">
        <v>43</v>
      </c>
      <c r="B412">
        <v>35</v>
      </c>
      <c r="C412" s="1">
        <v>55000</v>
      </c>
      <c r="D412" t="s">
        <v>12</v>
      </c>
      <c r="E412" t="s">
        <v>13</v>
      </c>
      <c r="F412" t="s">
        <v>41</v>
      </c>
      <c r="G412" s="11">
        <v>43549</v>
      </c>
      <c r="H412" t="s">
        <v>22</v>
      </c>
      <c r="I412" t="s">
        <v>39</v>
      </c>
      <c r="J412" t="s">
        <v>17</v>
      </c>
      <c r="K412" s="11" t="str">
        <f t="shared" ca="1" si="6"/>
        <v>6 Years</v>
      </c>
      <c r="L412" s="3" cm="1">
        <f t="array" ref="L412">_xlfn.SWITCH(Table13_24[[#This Row],[Performance Score]],"A",6,"B",5,"C",4,"D",3,"E",2,"F",1)</f>
        <v>1</v>
      </c>
    </row>
    <row r="413" spans="1:12" x14ac:dyDescent="0.3">
      <c r="A413" t="s">
        <v>46</v>
      </c>
      <c r="B413">
        <v>40</v>
      </c>
      <c r="C413" s="1">
        <v>70000</v>
      </c>
      <c r="D413" t="s">
        <v>19</v>
      </c>
      <c r="E413" t="s">
        <v>26</v>
      </c>
      <c r="F413" t="s">
        <v>37</v>
      </c>
      <c r="G413" s="11">
        <v>43549</v>
      </c>
      <c r="H413" t="s">
        <v>27</v>
      </c>
      <c r="I413" t="s">
        <v>23</v>
      </c>
      <c r="J413" t="s">
        <v>17</v>
      </c>
      <c r="K413" s="11" t="str">
        <f t="shared" ca="1" si="6"/>
        <v>6 Years</v>
      </c>
      <c r="L413" s="3" cm="1">
        <f t="array" ref="L413">_xlfn.SWITCH(Table13_24[[#This Row],[Performance Score]],"A",6,"B",5,"C",4,"D",3,"E",2,"F",1)</f>
        <v>4</v>
      </c>
    </row>
    <row r="414" spans="1:12" x14ac:dyDescent="0.3">
      <c r="A414" t="s">
        <v>29</v>
      </c>
      <c r="B414">
        <v>50</v>
      </c>
      <c r="C414" s="1">
        <v>50000</v>
      </c>
      <c r="D414" t="s">
        <v>12</v>
      </c>
      <c r="E414" t="s">
        <v>30</v>
      </c>
      <c r="F414" t="s">
        <v>21</v>
      </c>
      <c r="G414" s="11">
        <v>43845</v>
      </c>
      <c r="H414" t="s">
        <v>38</v>
      </c>
      <c r="I414" t="s">
        <v>39</v>
      </c>
      <c r="J414" t="s">
        <v>24</v>
      </c>
      <c r="K414" s="11" t="str">
        <f t="shared" ca="1" si="6"/>
        <v>5 Years</v>
      </c>
      <c r="L414" s="3" cm="1">
        <f t="array" ref="L414">_xlfn.SWITCH(Table13_24[[#This Row],[Performance Score]],"A",6,"B",5,"C",4,"D",3,"E",2,"F",1)</f>
        <v>5</v>
      </c>
    </row>
    <row r="415" spans="1:12" x14ac:dyDescent="0.3">
      <c r="A415" t="s">
        <v>45</v>
      </c>
      <c r="B415">
        <v>50</v>
      </c>
      <c r="C415" s="1">
        <v>60000</v>
      </c>
      <c r="D415" t="s">
        <v>34</v>
      </c>
      <c r="E415" t="s">
        <v>13</v>
      </c>
      <c r="F415" t="s">
        <v>21</v>
      </c>
      <c r="G415" s="11">
        <v>43195</v>
      </c>
      <c r="H415" t="s">
        <v>38</v>
      </c>
      <c r="I415" t="s">
        <v>39</v>
      </c>
      <c r="J415" t="s">
        <v>28</v>
      </c>
      <c r="K415" s="11" t="str">
        <f t="shared" ca="1" si="6"/>
        <v>7 Years</v>
      </c>
      <c r="L415" s="3" cm="1">
        <f t="array" ref="L415">_xlfn.SWITCH(Table13_24[[#This Row],[Performance Score]],"A",6,"B",5,"C",4,"D",3,"E",2,"F",1)</f>
        <v>5</v>
      </c>
    </row>
    <row r="416" spans="1:12" x14ac:dyDescent="0.3">
      <c r="A416" t="s">
        <v>18</v>
      </c>
      <c r="B416">
        <v>30</v>
      </c>
      <c r="C416" s="1">
        <v>50000</v>
      </c>
      <c r="D416" t="s">
        <v>19</v>
      </c>
      <c r="E416" t="s">
        <v>30</v>
      </c>
      <c r="F416" t="s">
        <v>40</v>
      </c>
      <c r="G416" s="11">
        <v>43881</v>
      </c>
      <c r="H416" t="s">
        <v>27</v>
      </c>
      <c r="I416" t="s">
        <v>23</v>
      </c>
      <c r="J416" t="s">
        <v>17</v>
      </c>
      <c r="K416" s="11" t="str">
        <f t="shared" ca="1" si="6"/>
        <v>5 Years</v>
      </c>
      <c r="L416" s="3" cm="1">
        <f t="array" ref="L416">_xlfn.SWITCH(Table13_24[[#This Row],[Performance Score]],"A",6,"B",5,"C",4,"D",3,"E",2,"F",1)</f>
        <v>4</v>
      </c>
    </row>
    <row r="417" spans="1:12" x14ac:dyDescent="0.3">
      <c r="A417" t="s">
        <v>29</v>
      </c>
      <c r="B417">
        <v>36</v>
      </c>
      <c r="C417" s="1">
        <v>60000</v>
      </c>
      <c r="D417" t="s">
        <v>12</v>
      </c>
      <c r="E417" t="s">
        <v>30</v>
      </c>
      <c r="F417" t="s">
        <v>14</v>
      </c>
      <c r="G417" s="11">
        <v>43845</v>
      </c>
      <c r="H417" t="s">
        <v>15</v>
      </c>
      <c r="I417" t="s">
        <v>32</v>
      </c>
      <c r="J417" t="s">
        <v>17</v>
      </c>
      <c r="K417" s="11" t="str">
        <f t="shared" ca="1" si="6"/>
        <v>5 Years</v>
      </c>
      <c r="L417" s="3" cm="1">
        <f t="array" ref="L417">_xlfn.SWITCH(Table13_24[[#This Row],[Performance Score]],"A",6,"B",5,"C",4,"D",3,"E",2,"F",1)</f>
        <v>3</v>
      </c>
    </row>
    <row r="418" spans="1:12" x14ac:dyDescent="0.3">
      <c r="A418" t="s">
        <v>33</v>
      </c>
      <c r="B418">
        <v>30</v>
      </c>
      <c r="C418" s="1">
        <v>70000</v>
      </c>
      <c r="D418" t="s">
        <v>34</v>
      </c>
      <c r="E418" t="s">
        <v>20</v>
      </c>
      <c r="F418" t="s">
        <v>40</v>
      </c>
      <c r="G418" s="11">
        <v>43195</v>
      </c>
      <c r="H418" t="s">
        <v>38</v>
      </c>
      <c r="I418" t="s">
        <v>16</v>
      </c>
      <c r="J418" t="s">
        <v>17</v>
      </c>
      <c r="K418" s="11" t="str">
        <f t="shared" ca="1" si="6"/>
        <v>7 Years</v>
      </c>
      <c r="L418" s="3" cm="1">
        <f t="array" ref="L418">_xlfn.SWITCH(Table13_24[[#This Row],[Performance Score]],"A",6,"B",5,"C",4,"D",3,"E",2,"F",1)</f>
        <v>5</v>
      </c>
    </row>
    <row r="419" spans="1:12" x14ac:dyDescent="0.3">
      <c r="A419" t="s">
        <v>33</v>
      </c>
      <c r="B419">
        <v>50</v>
      </c>
      <c r="C419" s="1">
        <v>50000</v>
      </c>
      <c r="D419" t="s">
        <v>12</v>
      </c>
      <c r="E419" t="s">
        <v>30</v>
      </c>
      <c r="F419" t="s">
        <v>41</v>
      </c>
      <c r="G419" s="11">
        <v>43195</v>
      </c>
      <c r="H419" t="s">
        <v>31</v>
      </c>
      <c r="I419" t="s">
        <v>39</v>
      </c>
      <c r="J419" t="s">
        <v>17</v>
      </c>
      <c r="K419" s="11" t="str">
        <f t="shared" ca="1" si="6"/>
        <v>7 Years</v>
      </c>
      <c r="L419" s="3" cm="1">
        <f t="array" ref="L419">_xlfn.SWITCH(Table13_24[[#This Row],[Performance Score]],"A",6,"B",5,"C",4,"D",3,"E",2,"F",1)</f>
        <v>6</v>
      </c>
    </row>
    <row r="420" spans="1:12" x14ac:dyDescent="0.3">
      <c r="A420" t="s">
        <v>29</v>
      </c>
      <c r="B420">
        <v>40</v>
      </c>
      <c r="C420" s="1">
        <v>65000</v>
      </c>
      <c r="D420" t="s">
        <v>12</v>
      </c>
      <c r="E420" t="s">
        <v>20</v>
      </c>
      <c r="F420" t="s">
        <v>21</v>
      </c>
      <c r="G420" s="11">
        <v>43881</v>
      </c>
      <c r="H420" t="s">
        <v>27</v>
      </c>
      <c r="I420" t="s">
        <v>16</v>
      </c>
      <c r="J420" t="s">
        <v>17</v>
      </c>
      <c r="K420" s="11" t="str">
        <f t="shared" ca="1" si="6"/>
        <v>5 Years</v>
      </c>
      <c r="L420" s="3" cm="1">
        <f t="array" ref="L420">_xlfn.SWITCH(Table13_24[[#This Row],[Performance Score]],"A",6,"B",5,"C",4,"D",3,"E",2,"F",1)</f>
        <v>4</v>
      </c>
    </row>
    <row r="421" spans="1:12" x14ac:dyDescent="0.3">
      <c r="A421" t="s">
        <v>11</v>
      </c>
      <c r="B421">
        <v>25</v>
      </c>
      <c r="C421" s="1">
        <v>49144.385026737968</v>
      </c>
      <c r="D421" t="s">
        <v>12</v>
      </c>
      <c r="E421" t="s">
        <v>35</v>
      </c>
      <c r="F421" t="s">
        <v>14</v>
      </c>
      <c r="G421" s="11">
        <v>43881</v>
      </c>
      <c r="H421" t="s">
        <v>38</v>
      </c>
      <c r="I421" t="s">
        <v>39</v>
      </c>
      <c r="J421" t="s">
        <v>42</v>
      </c>
      <c r="K421" s="11" t="str">
        <f t="shared" ca="1" si="6"/>
        <v>5 Years</v>
      </c>
      <c r="L421" s="3" cm="1">
        <f t="array" ref="L421">_xlfn.SWITCH(Table13_24[[#This Row],[Performance Score]],"A",6,"B",5,"C",4,"D",3,"E",2,"F",1)</f>
        <v>5</v>
      </c>
    </row>
    <row r="422" spans="1:12" x14ac:dyDescent="0.3">
      <c r="A422" t="s">
        <v>18</v>
      </c>
      <c r="B422">
        <v>25</v>
      </c>
      <c r="C422" s="1">
        <v>48417.431192660551</v>
      </c>
      <c r="D422" t="s">
        <v>34</v>
      </c>
      <c r="E422" t="s">
        <v>20</v>
      </c>
      <c r="F422" t="s">
        <v>41</v>
      </c>
      <c r="G422" s="11">
        <v>43881</v>
      </c>
      <c r="H422" t="s">
        <v>15</v>
      </c>
      <c r="I422" t="s">
        <v>16</v>
      </c>
      <c r="J422" t="s">
        <v>28</v>
      </c>
      <c r="K422" s="11" t="str">
        <f t="shared" ca="1" si="6"/>
        <v>5 Years</v>
      </c>
      <c r="L422" s="3" cm="1">
        <f t="array" ref="L422">_xlfn.SWITCH(Table13_24[[#This Row],[Performance Score]],"A",6,"B",5,"C",4,"D",3,"E",2,"F",1)</f>
        <v>3</v>
      </c>
    </row>
    <row r="423" spans="1:12" x14ac:dyDescent="0.3">
      <c r="A423" t="s">
        <v>45</v>
      </c>
      <c r="B423">
        <v>40</v>
      </c>
      <c r="C423" s="1">
        <v>60000</v>
      </c>
      <c r="D423" t="s">
        <v>34</v>
      </c>
      <c r="E423" t="s">
        <v>26</v>
      </c>
      <c r="F423" t="s">
        <v>41</v>
      </c>
      <c r="G423" s="11">
        <v>43845</v>
      </c>
      <c r="H423" t="s">
        <v>38</v>
      </c>
      <c r="I423" t="s">
        <v>23</v>
      </c>
      <c r="J423" t="s">
        <v>28</v>
      </c>
      <c r="K423" s="11" t="str">
        <f t="shared" ca="1" si="6"/>
        <v>5 Years</v>
      </c>
      <c r="L423" s="3" cm="1">
        <f t="array" ref="L423">_xlfn.SWITCH(Table13_24[[#This Row],[Performance Score]],"A",6,"B",5,"C",4,"D",3,"E",2,"F",1)</f>
        <v>5</v>
      </c>
    </row>
    <row r="424" spans="1:12" x14ac:dyDescent="0.3">
      <c r="A424" t="s">
        <v>29</v>
      </c>
      <c r="B424">
        <v>50</v>
      </c>
      <c r="C424" s="1">
        <v>65000</v>
      </c>
      <c r="D424" t="s">
        <v>12</v>
      </c>
      <c r="E424" t="s">
        <v>13</v>
      </c>
      <c r="F424" t="s">
        <v>14</v>
      </c>
      <c r="G424" s="11">
        <v>43477</v>
      </c>
      <c r="H424" t="s">
        <v>22</v>
      </c>
      <c r="I424" t="s">
        <v>16</v>
      </c>
      <c r="J424" t="s">
        <v>24</v>
      </c>
      <c r="K424" s="11" t="str">
        <f t="shared" ca="1" si="6"/>
        <v>6 Years</v>
      </c>
      <c r="L424" s="3" cm="1">
        <f t="array" ref="L424">_xlfn.SWITCH(Table13_24[[#This Row],[Performance Score]],"A",6,"B",5,"C",4,"D",3,"E",2,"F",1)</f>
        <v>1</v>
      </c>
    </row>
    <row r="425" spans="1:12" x14ac:dyDescent="0.3">
      <c r="A425" t="s">
        <v>11</v>
      </c>
      <c r="B425">
        <v>25</v>
      </c>
      <c r="C425" s="1">
        <v>50000</v>
      </c>
      <c r="D425" t="s">
        <v>19</v>
      </c>
      <c r="E425" t="s">
        <v>35</v>
      </c>
      <c r="F425" t="s">
        <v>41</v>
      </c>
      <c r="G425" s="11">
        <v>43881</v>
      </c>
      <c r="H425" t="s">
        <v>31</v>
      </c>
      <c r="I425" t="s">
        <v>16</v>
      </c>
      <c r="J425" t="s">
        <v>24</v>
      </c>
      <c r="K425" s="11" t="str">
        <f t="shared" ca="1" si="6"/>
        <v>5 Years</v>
      </c>
      <c r="L425" s="3" cm="1">
        <f t="array" ref="L425">_xlfn.SWITCH(Table13_24[[#This Row],[Performance Score]],"A",6,"B",5,"C",4,"D",3,"E",2,"F",1)</f>
        <v>6</v>
      </c>
    </row>
    <row r="426" spans="1:12" x14ac:dyDescent="0.3">
      <c r="A426" t="s">
        <v>33</v>
      </c>
      <c r="B426">
        <v>25</v>
      </c>
      <c r="C426" s="1">
        <v>65000</v>
      </c>
      <c r="D426" t="s">
        <v>19</v>
      </c>
      <c r="E426" t="s">
        <v>35</v>
      </c>
      <c r="F426" t="s">
        <v>14</v>
      </c>
      <c r="G426" s="11">
        <v>43477</v>
      </c>
      <c r="H426" t="s">
        <v>27</v>
      </c>
      <c r="I426" t="s">
        <v>16</v>
      </c>
      <c r="J426" t="s">
        <v>24</v>
      </c>
      <c r="K426" s="11" t="str">
        <f t="shared" ca="1" si="6"/>
        <v>6 Years</v>
      </c>
      <c r="L426" s="3" cm="1">
        <f t="array" ref="L426">_xlfn.SWITCH(Table13_24[[#This Row],[Performance Score]],"A",6,"B",5,"C",4,"D",3,"E",2,"F",1)</f>
        <v>4</v>
      </c>
    </row>
    <row r="427" spans="1:12" x14ac:dyDescent="0.3">
      <c r="A427" t="s">
        <v>33</v>
      </c>
      <c r="B427">
        <v>25</v>
      </c>
      <c r="C427" s="1">
        <v>65000</v>
      </c>
      <c r="D427" t="s">
        <v>34</v>
      </c>
      <c r="E427" t="s">
        <v>26</v>
      </c>
      <c r="F427" t="s">
        <v>14</v>
      </c>
      <c r="G427" s="11">
        <v>43845</v>
      </c>
      <c r="H427" t="s">
        <v>22</v>
      </c>
      <c r="I427" t="s">
        <v>32</v>
      </c>
      <c r="J427" t="s">
        <v>28</v>
      </c>
      <c r="K427" s="11" t="str">
        <f t="shared" ca="1" si="6"/>
        <v>5 Years</v>
      </c>
      <c r="L427" s="3" cm="1">
        <f t="array" ref="L427">_xlfn.SWITCH(Table13_24[[#This Row],[Performance Score]],"A",6,"B",5,"C",4,"D",3,"E",2,"F",1)</f>
        <v>1</v>
      </c>
    </row>
    <row r="428" spans="1:12" x14ac:dyDescent="0.3">
      <c r="A428" t="s">
        <v>43</v>
      </c>
      <c r="B428">
        <v>36</v>
      </c>
      <c r="C428" s="1">
        <v>50000</v>
      </c>
      <c r="D428" t="s">
        <v>34</v>
      </c>
      <c r="E428" t="s">
        <v>20</v>
      </c>
      <c r="F428" t="s">
        <v>37</v>
      </c>
      <c r="G428" s="11">
        <v>43477</v>
      </c>
      <c r="H428" t="s">
        <v>15</v>
      </c>
      <c r="I428" t="s">
        <v>32</v>
      </c>
      <c r="J428" t="s">
        <v>42</v>
      </c>
      <c r="K428" s="11" t="str">
        <f t="shared" ca="1" si="6"/>
        <v>6 Years</v>
      </c>
      <c r="L428" s="3" cm="1">
        <f t="array" ref="L428">_xlfn.SWITCH(Table13_24[[#This Row],[Performance Score]],"A",6,"B",5,"C",4,"D",3,"E",2,"F",1)</f>
        <v>3</v>
      </c>
    </row>
    <row r="429" spans="1:12" x14ac:dyDescent="0.3">
      <c r="A429" t="s">
        <v>29</v>
      </c>
      <c r="B429">
        <v>36</v>
      </c>
      <c r="C429" s="1">
        <v>70000</v>
      </c>
      <c r="D429" t="s">
        <v>34</v>
      </c>
      <c r="E429" t="s">
        <v>13</v>
      </c>
      <c r="F429" t="s">
        <v>40</v>
      </c>
      <c r="G429" s="11">
        <v>43549</v>
      </c>
      <c r="H429" t="s">
        <v>22</v>
      </c>
      <c r="I429" t="s">
        <v>39</v>
      </c>
      <c r="J429" t="s">
        <v>28</v>
      </c>
      <c r="K429" s="11" t="str">
        <f t="shared" ca="1" si="6"/>
        <v>6 Years</v>
      </c>
      <c r="L429" s="3" cm="1">
        <f t="array" ref="L429">_xlfn.SWITCH(Table13_24[[#This Row],[Performance Score]],"A",6,"B",5,"C",4,"D",3,"E",2,"F",1)</f>
        <v>1</v>
      </c>
    </row>
    <row r="430" spans="1:12" x14ac:dyDescent="0.3">
      <c r="A430" t="s">
        <v>18</v>
      </c>
      <c r="B430">
        <v>35</v>
      </c>
      <c r="C430" s="1">
        <v>65000</v>
      </c>
      <c r="D430" t="s">
        <v>34</v>
      </c>
      <c r="E430" t="s">
        <v>20</v>
      </c>
      <c r="F430" t="s">
        <v>41</v>
      </c>
      <c r="G430" s="11">
        <v>43477</v>
      </c>
      <c r="H430" t="s">
        <v>22</v>
      </c>
      <c r="I430" t="s">
        <v>23</v>
      </c>
      <c r="J430" t="s">
        <v>28</v>
      </c>
      <c r="K430" s="11" t="str">
        <f t="shared" ca="1" si="6"/>
        <v>6 Years</v>
      </c>
      <c r="L430" s="3" cm="1">
        <f t="array" ref="L430">_xlfn.SWITCH(Table13_24[[#This Row],[Performance Score]],"A",6,"B",5,"C",4,"D",3,"E",2,"F",1)</f>
        <v>1</v>
      </c>
    </row>
    <row r="431" spans="1:12" x14ac:dyDescent="0.3">
      <c r="A431" t="s">
        <v>44</v>
      </c>
      <c r="B431">
        <v>30</v>
      </c>
      <c r="C431" s="1">
        <v>65000</v>
      </c>
      <c r="D431" t="s">
        <v>34</v>
      </c>
      <c r="E431" t="s">
        <v>30</v>
      </c>
      <c r="F431" t="s">
        <v>41</v>
      </c>
      <c r="G431" s="11">
        <v>43881</v>
      </c>
      <c r="H431" t="s">
        <v>15</v>
      </c>
      <c r="I431" t="s">
        <v>16</v>
      </c>
      <c r="J431" t="s">
        <v>28</v>
      </c>
      <c r="K431" s="11" t="str">
        <f t="shared" ca="1" si="6"/>
        <v>5 Years</v>
      </c>
      <c r="L431" s="3" cm="1">
        <f t="array" ref="L431">_xlfn.SWITCH(Table13_24[[#This Row],[Performance Score]],"A",6,"B",5,"C",4,"D",3,"E",2,"F",1)</f>
        <v>3</v>
      </c>
    </row>
    <row r="432" spans="1:12" x14ac:dyDescent="0.3">
      <c r="A432" t="s">
        <v>18</v>
      </c>
      <c r="B432">
        <v>40</v>
      </c>
      <c r="C432" s="1">
        <v>70000</v>
      </c>
      <c r="D432" t="s">
        <v>19</v>
      </c>
      <c r="E432" t="s">
        <v>20</v>
      </c>
      <c r="F432" t="s">
        <v>37</v>
      </c>
      <c r="G432" s="11">
        <v>43845</v>
      </c>
      <c r="H432" t="s">
        <v>22</v>
      </c>
      <c r="I432" t="s">
        <v>16</v>
      </c>
      <c r="J432" t="s">
        <v>28</v>
      </c>
      <c r="K432" s="11" t="str">
        <f t="shared" ca="1" si="6"/>
        <v>5 Years</v>
      </c>
      <c r="L432" s="3" cm="1">
        <f t="array" ref="L432">_xlfn.SWITCH(Table13_24[[#This Row],[Performance Score]],"A",6,"B",5,"C",4,"D",3,"E",2,"F",1)</f>
        <v>1</v>
      </c>
    </row>
    <row r="433" spans="1:12" x14ac:dyDescent="0.3">
      <c r="A433" t="s">
        <v>33</v>
      </c>
      <c r="B433">
        <v>40</v>
      </c>
      <c r="C433" s="1">
        <v>65000</v>
      </c>
      <c r="D433" t="s">
        <v>34</v>
      </c>
      <c r="E433" t="s">
        <v>35</v>
      </c>
      <c r="F433" t="s">
        <v>37</v>
      </c>
      <c r="G433" s="11">
        <v>43881</v>
      </c>
      <c r="H433" t="s">
        <v>27</v>
      </c>
      <c r="I433" t="s">
        <v>16</v>
      </c>
      <c r="J433" t="s">
        <v>42</v>
      </c>
      <c r="K433" s="11" t="str">
        <f t="shared" ca="1" si="6"/>
        <v>5 Years</v>
      </c>
      <c r="L433" s="3" cm="1">
        <f t="array" ref="L433">_xlfn.SWITCH(Table13_24[[#This Row],[Performance Score]],"A",6,"B",5,"C",4,"D",3,"E",2,"F",1)</f>
        <v>4</v>
      </c>
    </row>
    <row r="434" spans="1:12" x14ac:dyDescent="0.3">
      <c r="A434" t="s">
        <v>33</v>
      </c>
      <c r="B434">
        <v>40</v>
      </c>
      <c r="C434" s="1">
        <v>65000</v>
      </c>
      <c r="D434" t="s">
        <v>12</v>
      </c>
      <c r="E434" t="s">
        <v>13</v>
      </c>
      <c r="F434" t="s">
        <v>37</v>
      </c>
      <c r="G434" s="11">
        <v>43549</v>
      </c>
      <c r="H434" t="s">
        <v>38</v>
      </c>
      <c r="I434" t="s">
        <v>16</v>
      </c>
      <c r="J434" t="s">
        <v>24</v>
      </c>
      <c r="K434" s="11" t="str">
        <f t="shared" ca="1" si="6"/>
        <v>6 Years</v>
      </c>
      <c r="L434" s="3" cm="1">
        <f t="array" ref="L434">_xlfn.SWITCH(Table13_24[[#This Row],[Performance Score]],"A",6,"B",5,"C",4,"D",3,"E",2,"F",1)</f>
        <v>5</v>
      </c>
    </row>
    <row r="435" spans="1:12" x14ac:dyDescent="0.3">
      <c r="A435" t="s">
        <v>36</v>
      </c>
      <c r="B435">
        <v>35</v>
      </c>
      <c r="C435" s="1">
        <v>65000</v>
      </c>
      <c r="D435" t="s">
        <v>12</v>
      </c>
      <c r="E435" t="s">
        <v>20</v>
      </c>
      <c r="F435" t="s">
        <v>21</v>
      </c>
      <c r="G435" s="11">
        <v>43881</v>
      </c>
      <c r="H435" t="s">
        <v>22</v>
      </c>
      <c r="I435" t="s">
        <v>32</v>
      </c>
      <c r="J435" t="s">
        <v>17</v>
      </c>
      <c r="K435" s="11" t="str">
        <f t="shared" ca="1" si="6"/>
        <v>5 Years</v>
      </c>
      <c r="L435" s="3" cm="1">
        <f t="array" ref="L435">_xlfn.SWITCH(Table13_24[[#This Row],[Performance Score]],"A",6,"B",5,"C",4,"D",3,"E",2,"F",1)</f>
        <v>1</v>
      </c>
    </row>
    <row r="436" spans="1:12" x14ac:dyDescent="0.3">
      <c r="A436" t="s">
        <v>33</v>
      </c>
      <c r="B436">
        <v>36</v>
      </c>
      <c r="C436" s="1">
        <v>51825</v>
      </c>
      <c r="D436" t="s">
        <v>19</v>
      </c>
      <c r="E436" t="s">
        <v>13</v>
      </c>
      <c r="F436" t="s">
        <v>21</v>
      </c>
      <c r="G436" s="11">
        <v>43881</v>
      </c>
      <c r="H436" t="s">
        <v>27</v>
      </c>
      <c r="I436" t="s">
        <v>39</v>
      </c>
      <c r="J436" t="s">
        <v>24</v>
      </c>
      <c r="K436" s="11" t="str">
        <f t="shared" ca="1" si="6"/>
        <v>5 Years</v>
      </c>
      <c r="L436" s="3" cm="1">
        <f t="array" ref="L436">_xlfn.SWITCH(Table13_24[[#This Row],[Performance Score]],"A",6,"B",5,"C",4,"D",3,"E",2,"F",1)</f>
        <v>4</v>
      </c>
    </row>
    <row r="437" spans="1:12" x14ac:dyDescent="0.3">
      <c r="A437" t="s">
        <v>45</v>
      </c>
      <c r="B437">
        <v>50</v>
      </c>
      <c r="C437" s="1">
        <v>55000</v>
      </c>
      <c r="D437" t="s">
        <v>12</v>
      </c>
      <c r="E437" t="s">
        <v>13</v>
      </c>
      <c r="F437" t="s">
        <v>21</v>
      </c>
      <c r="G437" s="11">
        <v>43881</v>
      </c>
      <c r="H437" t="s">
        <v>38</v>
      </c>
      <c r="I437" t="s">
        <v>39</v>
      </c>
      <c r="J437" t="s">
        <v>24</v>
      </c>
      <c r="K437" s="11" t="str">
        <f t="shared" ca="1" si="6"/>
        <v>5 Years</v>
      </c>
      <c r="L437" s="3" cm="1">
        <f t="array" ref="L437">_xlfn.SWITCH(Table13_24[[#This Row],[Performance Score]],"A",6,"B",5,"C",4,"D",3,"E",2,"F",1)</f>
        <v>5</v>
      </c>
    </row>
    <row r="438" spans="1:12" x14ac:dyDescent="0.3">
      <c r="A438" t="s">
        <v>25</v>
      </c>
      <c r="B438">
        <v>50</v>
      </c>
      <c r="C438" s="1">
        <v>70000</v>
      </c>
      <c r="D438" t="s">
        <v>19</v>
      </c>
      <c r="E438" t="s">
        <v>30</v>
      </c>
      <c r="F438" t="s">
        <v>14</v>
      </c>
      <c r="G438" s="11">
        <v>43195</v>
      </c>
      <c r="H438" t="s">
        <v>38</v>
      </c>
      <c r="I438" t="s">
        <v>23</v>
      </c>
      <c r="J438" t="s">
        <v>17</v>
      </c>
      <c r="K438" s="11" t="str">
        <f t="shared" ca="1" si="6"/>
        <v>7 Years</v>
      </c>
      <c r="L438" s="3" cm="1">
        <f t="array" ref="L438">_xlfn.SWITCH(Table13_24[[#This Row],[Performance Score]],"A",6,"B",5,"C",4,"D",3,"E",2,"F",1)</f>
        <v>5</v>
      </c>
    </row>
    <row r="439" spans="1:12" x14ac:dyDescent="0.3">
      <c r="A439" t="s">
        <v>29</v>
      </c>
      <c r="B439">
        <v>35</v>
      </c>
      <c r="C439" s="1">
        <v>65000</v>
      </c>
      <c r="D439" t="s">
        <v>19</v>
      </c>
      <c r="E439" t="s">
        <v>30</v>
      </c>
      <c r="F439" t="s">
        <v>41</v>
      </c>
      <c r="G439" s="11">
        <v>43549</v>
      </c>
      <c r="H439" t="s">
        <v>22</v>
      </c>
      <c r="I439" t="s">
        <v>16</v>
      </c>
      <c r="J439" t="s">
        <v>28</v>
      </c>
      <c r="K439" s="11" t="str">
        <f t="shared" ca="1" si="6"/>
        <v>6 Years</v>
      </c>
      <c r="L439" s="3" cm="1">
        <f t="array" ref="L439">_xlfn.SWITCH(Table13_24[[#This Row],[Performance Score]],"A",6,"B",5,"C",4,"D",3,"E",2,"F",1)</f>
        <v>1</v>
      </c>
    </row>
    <row r="440" spans="1:12" x14ac:dyDescent="0.3">
      <c r="A440" t="s">
        <v>18</v>
      </c>
      <c r="B440">
        <v>50</v>
      </c>
      <c r="C440" s="1">
        <v>49144.385026737968</v>
      </c>
      <c r="D440" t="s">
        <v>12</v>
      </c>
      <c r="E440" t="s">
        <v>35</v>
      </c>
      <c r="F440" t="s">
        <v>40</v>
      </c>
      <c r="G440" s="11">
        <v>43881</v>
      </c>
      <c r="H440" t="s">
        <v>27</v>
      </c>
      <c r="I440" t="s">
        <v>39</v>
      </c>
      <c r="J440" t="s">
        <v>42</v>
      </c>
      <c r="K440" s="11" t="str">
        <f t="shared" ca="1" si="6"/>
        <v>5 Years</v>
      </c>
      <c r="L440" s="3" cm="1">
        <f t="array" ref="L440">_xlfn.SWITCH(Table13_24[[#This Row],[Performance Score]],"A",6,"B",5,"C",4,"D",3,"E",2,"F",1)</f>
        <v>4</v>
      </c>
    </row>
    <row r="441" spans="1:12" x14ac:dyDescent="0.3">
      <c r="A441" t="s">
        <v>25</v>
      </c>
      <c r="B441">
        <v>40</v>
      </c>
      <c r="C441" s="1">
        <v>70000</v>
      </c>
      <c r="D441" t="s">
        <v>34</v>
      </c>
      <c r="E441" t="s">
        <v>26</v>
      </c>
      <c r="F441" t="s">
        <v>14</v>
      </c>
      <c r="G441" s="11">
        <v>43881</v>
      </c>
      <c r="H441" t="s">
        <v>22</v>
      </c>
      <c r="I441" t="s">
        <v>39</v>
      </c>
      <c r="J441" t="s">
        <v>42</v>
      </c>
      <c r="K441" s="11" t="str">
        <f t="shared" ca="1" si="6"/>
        <v>5 Years</v>
      </c>
      <c r="L441" s="3" cm="1">
        <f t="array" ref="L441">_xlfn.SWITCH(Table13_24[[#This Row],[Performance Score]],"A",6,"B",5,"C",4,"D",3,"E",2,"F",1)</f>
        <v>1</v>
      </c>
    </row>
    <row r="442" spans="1:12" x14ac:dyDescent="0.3">
      <c r="A442" t="s">
        <v>11</v>
      </c>
      <c r="B442">
        <v>30</v>
      </c>
      <c r="C442" s="1">
        <v>60000</v>
      </c>
      <c r="D442" t="s">
        <v>12</v>
      </c>
      <c r="E442" t="s">
        <v>13</v>
      </c>
      <c r="F442" t="s">
        <v>41</v>
      </c>
      <c r="G442" s="11">
        <v>43881</v>
      </c>
      <c r="H442" t="s">
        <v>15</v>
      </c>
      <c r="I442" t="s">
        <v>39</v>
      </c>
      <c r="J442" t="s">
        <v>24</v>
      </c>
      <c r="K442" s="11" t="str">
        <f t="shared" ca="1" si="6"/>
        <v>5 Years</v>
      </c>
      <c r="L442" s="3" cm="1">
        <f t="array" ref="L442">_xlfn.SWITCH(Table13_24[[#This Row],[Performance Score]],"A",6,"B",5,"C",4,"D",3,"E",2,"F",1)</f>
        <v>3</v>
      </c>
    </row>
    <row r="443" spans="1:12" x14ac:dyDescent="0.3">
      <c r="A443" t="s">
        <v>44</v>
      </c>
      <c r="B443">
        <v>25</v>
      </c>
      <c r="C443" s="1">
        <v>60000</v>
      </c>
      <c r="D443" t="s">
        <v>12</v>
      </c>
      <c r="E443" t="s">
        <v>26</v>
      </c>
      <c r="F443" t="s">
        <v>41</v>
      </c>
      <c r="G443" s="11">
        <v>43845</v>
      </c>
      <c r="H443" t="s">
        <v>38</v>
      </c>
      <c r="I443" t="s">
        <v>32</v>
      </c>
      <c r="J443" t="s">
        <v>17</v>
      </c>
      <c r="K443" s="11" t="str">
        <f t="shared" ca="1" si="6"/>
        <v>5 Years</v>
      </c>
      <c r="L443" s="3" cm="1">
        <f t="array" ref="L443">_xlfn.SWITCH(Table13_24[[#This Row],[Performance Score]],"A",6,"B",5,"C",4,"D",3,"E",2,"F",1)</f>
        <v>5</v>
      </c>
    </row>
    <row r="444" spans="1:12" x14ac:dyDescent="0.3">
      <c r="A444" t="s">
        <v>45</v>
      </c>
      <c r="B444">
        <v>36</v>
      </c>
      <c r="C444" s="1">
        <v>65000</v>
      </c>
      <c r="D444" t="s">
        <v>19</v>
      </c>
      <c r="E444" t="s">
        <v>35</v>
      </c>
      <c r="F444" t="s">
        <v>37</v>
      </c>
      <c r="G444" s="11">
        <v>43195</v>
      </c>
      <c r="H444" t="s">
        <v>22</v>
      </c>
      <c r="I444" t="s">
        <v>39</v>
      </c>
      <c r="J444" t="s">
        <v>17</v>
      </c>
      <c r="K444" s="11" t="str">
        <f t="shared" ca="1" si="6"/>
        <v>7 Years</v>
      </c>
      <c r="L444" s="3" cm="1">
        <f t="array" ref="L444">_xlfn.SWITCH(Table13_24[[#This Row],[Performance Score]],"A",6,"B",5,"C",4,"D",3,"E",2,"F",1)</f>
        <v>1</v>
      </c>
    </row>
    <row r="445" spans="1:12" x14ac:dyDescent="0.3">
      <c r="A445" t="s">
        <v>18</v>
      </c>
      <c r="B445">
        <v>36</v>
      </c>
      <c r="C445" s="1">
        <v>51825</v>
      </c>
      <c r="D445" t="s">
        <v>12</v>
      </c>
      <c r="E445" t="s">
        <v>13</v>
      </c>
      <c r="F445" t="s">
        <v>37</v>
      </c>
      <c r="G445" s="11">
        <v>43845</v>
      </c>
      <c r="H445" t="s">
        <v>38</v>
      </c>
      <c r="I445" t="s">
        <v>39</v>
      </c>
      <c r="J445" t="s">
        <v>28</v>
      </c>
      <c r="K445" s="11" t="str">
        <f t="shared" ca="1" si="6"/>
        <v>5 Years</v>
      </c>
      <c r="L445" s="3" cm="1">
        <f t="array" ref="L445">_xlfn.SWITCH(Table13_24[[#This Row],[Performance Score]],"A",6,"B",5,"C",4,"D",3,"E",2,"F",1)</f>
        <v>5</v>
      </c>
    </row>
    <row r="446" spans="1:12" x14ac:dyDescent="0.3">
      <c r="A446" t="s">
        <v>25</v>
      </c>
      <c r="B446">
        <v>35</v>
      </c>
      <c r="C446" s="1">
        <v>51825</v>
      </c>
      <c r="D446" t="s">
        <v>19</v>
      </c>
      <c r="E446" t="s">
        <v>13</v>
      </c>
      <c r="F446" t="s">
        <v>14</v>
      </c>
      <c r="G446" s="11">
        <v>43195</v>
      </c>
      <c r="H446" t="s">
        <v>27</v>
      </c>
      <c r="I446" t="s">
        <v>32</v>
      </c>
      <c r="J446" t="s">
        <v>24</v>
      </c>
      <c r="K446" s="11" t="str">
        <f t="shared" ca="1" si="6"/>
        <v>7 Years</v>
      </c>
      <c r="L446" s="3" cm="1">
        <f t="array" ref="L446">_xlfn.SWITCH(Table13_24[[#This Row],[Performance Score]],"A",6,"B",5,"C",4,"D",3,"E",2,"F",1)</f>
        <v>4</v>
      </c>
    </row>
    <row r="447" spans="1:12" x14ac:dyDescent="0.3">
      <c r="A447" t="s">
        <v>44</v>
      </c>
      <c r="B447">
        <v>36</v>
      </c>
      <c r="C447" s="1">
        <v>70000</v>
      </c>
      <c r="D447" t="s">
        <v>34</v>
      </c>
      <c r="E447" t="s">
        <v>26</v>
      </c>
      <c r="F447" t="s">
        <v>37</v>
      </c>
      <c r="G447" s="11">
        <v>43881</v>
      </c>
      <c r="H447" t="s">
        <v>31</v>
      </c>
      <c r="I447" t="s">
        <v>39</v>
      </c>
      <c r="J447" t="s">
        <v>42</v>
      </c>
      <c r="K447" s="11" t="str">
        <f t="shared" ca="1" si="6"/>
        <v>5 Years</v>
      </c>
      <c r="L447" s="3" cm="1">
        <f t="array" ref="L447">_xlfn.SWITCH(Table13_24[[#This Row],[Performance Score]],"A",6,"B",5,"C",4,"D",3,"E",2,"F",1)</f>
        <v>6</v>
      </c>
    </row>
    <row r="448" spans="1:12" x14ac:dyDescent="0.3">
      <c r="A448" t="s">
        <v>36</v>
      </c>
      <c r="B448">
        <v>40</v>
      </c>
      <c r="C448" s="1">
        <v>70000</v>
      </c>
      <c r="D448" t="s">
        <v>34</v>
      </c>
      <c r="E448" t="s">
        <v>20</v>
      </c>
      <c r="F448" t="s">
        <v>41</v>
      </c>
      <c r="G448" s="11">
        <v>43549</v>
      </c>
      <c r="H448" t="s">
        <v>22</v>
      </c>
      <c r="I448" t="s">
        <v>39</v>
      </c>
      <c r="J448" t="s">
        <v>17</v>
      </c>
      <c r="K448" s="11" t="str">
        <f t="shared" ca="1" si="6"/>
        <v>6 Years</v>
      </c>
      <c r="L448" s="3" cm="1">
        <f t="array" ref="L448">_xlfn.SWITCH(Table13_24[[#This Row],[Performance Score]],"A",6,"B",5,"C",4,"D",3,"E",2,"F",1)</f>
        <v>1</v>
      </c>
    </row>
    <row r="449" spans="1:12" x14ac:dyDescent="0.3">
      <c r="A449" t="s">
        <v>45</v>
      </c>
      <c r="B449">
        <v>50</v>
      </c>
      <c r="C449" s="1">
        <v>50777.202072538857</v>
      </c>
      <c r="D449" t="s">
        <v>34</v>
      </c>
      <c r="E449" t="s">
        <v>30</v>
      </c>
      <c r="F449" t="s">
        <v>37</v>
      </c>
      <c r="G449" s="11">
        <v>43477</v>
      </c>
      <c r="H449" t="s">
        <v>22</v>
      </c>
      <c r="I449" t="s">
        <v>39</v>
      </c>
      <c r="J449" t="s">
        <v>17</v>
      </c>
      <c r="K449" s="11" t="str">
        <f t="shared" ca="1" si="6"/>
        <v>6 Years</v>
      </c>
      <c r="L449" s="3" cm="1">
        <f t="array" ref="L449">_xlfn.SWITCH(Table13_24[[#This Row],[Performance Score]],"A",6,"B",5,"C",4,"D",3,"E",2,"F",1)</f>
        <v>1</v>
      </c>
    </row>
    <row r="450" spans="1:12" x14ac:dyDescent="0.3">
      <c r="A450" t="s">
        <v>45</v>
      </c>
      <c r="B450">
        <v>40</v>
      </c>
      <c r="C450" s="1">
        <v>70000</v>
      </c>
      <c r="D450" t="s">
        <v>12</v>
      </c>
      <c r="E450" t="s">
        <v>20</v>
      </c>
      <c r="F450" t="s">
        <v>21</v>
      </c>
      <c r="G450" s="11">
        <v>43477</v>
      </c>
      <c r="H450" t="s">
        <v>38</v>
      </c>
      <c r="I450" t="s">
        <v>32</v>
      </c>
      <c r="J450" t="s">
        <v>24</v>
      </c>
      <c r="K450" s="11" t="str">
        <f t="shared" ca="1" si="6"/>
        <v>6 Years</v>
      </c>
      <c r="L450" s="3" cm="1">
        <f t="array" ref="L450">_xlfn.SWITCH(Table13_24[[#This Row],[Performance Score]],"A",6,"B",5,"C",4,"D",3,"E",2,"F",1)</f>
        <v>5</v>
      </c>
    </row>
    <row r="451" spans="1:12" x14ac:dyDescent="0.3">
      <c r="A451" t="s">
        <v>36</v>
      </c>
      <c r="B451">
        <v>35</v>
      </c>
      <c r="C451" s="1">
        <v>50742.574257425746</v>
      </c>
      <c r="D451" t="s">
        <v>19</v>
      </c>
      <c r="E451" t="s">
        <v>26</v>
      </c>
      <c r="F451" t="s">
        <v>37</v>
      </c>
      <c r="G451" s="11">
        <v>43881</v>
      </c>
      <c r="H451" t="s">
        <v>27</v>
      </c>
      <c r="I451" t="s">
        <v>16</v>
      </c>
      <c r="J451" t="s">
        <v>17</v>
      </c>
      <c r="K451" s="11" t="str">
        <f t="shared" ref="K451:K514" ca="1" si="7">DATEDIF(G451,TODAY(),"Y") &amp; " Years"</f>
        <v>5 Years</v>
      </c>
      <c r="L451" s="3" cm="1">
        <f t="array" ref="L451">_xlfn.SWITCH(Table13_24[[#This Row],[Performance Score]],"A",6,"B",5,"C",4,"D",3,"E",2,"F",1)</f>
        <v>4</v>
      </c>
    </row>
    <row r="452" spans="1:12" x14ac:dyDescent="0.3">
      <c r="A452" t="s">
        <v>29</v>
      </c>
      <c r="B452">
        <v>40</v>
      </c>
      <c r="C452" s="1">
        <v>55000</v>
      </c>
      <c r="D452" t="s">
        <v>34</v>
      </c>
      <c r="E452" t="s">
        <v>30</v>
      </c>
      <c r="F452" t="s">
        <v>41</v>
      </c>
      <c r="G452" s="11">
        <v>43845</v>
      </c>
      <c r="H452" t="s">
        <v>15</v>
      </c>
      <c r="I452" t="s">
        <v>23</v>
      </c>
      <c r="J452" t="s">
        <v>42</v>
      </c>
      <c r="K452" s="11" t="str">
        <f t="shared" ca="1" si="7"/>
        <v>5 Years</v>
      </c>
      <c r="L452" s="3" cm="1">
        <f t="array" ref="L452">_xlfn.SWITCH(Table13_24[[#This Row],[Performance Score]],"A",6,"B",5,"C",4,"D",3,"E",2,"F",1)</f>
        <v>3</v>
      </c>
    </row>
    <row r="453" spans="1:12" x14ac:dyDescent="0.3">
      <c r="A453" t="s">
        <v>36</v>
      </c>
      <c r="B453">
        <v>50</v>
      </c>
      <c r="C453" s="1">
        <v>48417.431192660551</v>
      </c>
      <c r="D453" t="s">
        <v>19</v>
      </c>
      <c r="E453" t="s">
        <v>20</v>
      </c>
      <c r="F453" t="s">
        <v>14</v>
      </c>
      <c r="G453" s="11">
        <v>43549</v>
      </c>
      <c r="H453" t="s">
        <v>27</v>
      </c>
      <c r="I453" t="s">
        <v>39</v>
      </c>
      <c r="J453" t="s">
        <v>24</v>
      </c>
      <c r="K453" s="11" t="str">
        <f t="shared" ca="1" si="7"/>
        <v>6 Years</v>
      </c>
      <c r="L453" s="3" cm="1">
        <f t="array" ref="L453">_xlfn.SWITCH(Table13_24[[#This Row],[Performance Score]],"A",6,"B",5,"C",4,"D",3,"E",2,"F",1)</f>
        <v>4</v>
      </c>
    </row>
    <row r="454" spans="1:12" x14ac:dyDescent="0.3">
      <c r="A454" t="s">
        <v>45</v>
      </c>
      <c r="B454">
        <v>30</v>
      </c>
      <c r="C454" s="1">
        <v>60000</v>
      </c>
      <c r="D454" t="s">
        <v>19</v>
      </c>
      <c r="E454" t="s">
        <v>30</v>
      </c>
      <c r="F454" t="s">
        <v>40</v>
      </c>
      <c r="G454" s="11">
        <v>43195</v>
      </c>
      <c r="H454" t="s">
        <v>22</v>
      </c>
      <c r="I454" t="s">
        <v>32</v>
      </c>
      <c r="J454" t="s">
        <v>17</v>
      </c>
      <c r="K454" s="11" t="str">
        <f t="shared" ca="1" si="7"/>
        <v>7 Years</v>
      </c>
      <c r="L454" s="3" cm="1">
        <f t="array" ref="L454">_xlfn.SWITCH(Table13_24[[#This Row],[Performance Score]],"A",6,"B",5,"C",4,"D",3,"E",2,"F",1)</f>
        <v>1</v>
      </c>
    </row>
    <row r="455" spans="1:12" x14ac:dyDescent="0.3">
      <c r="A455" t="s">
        <v>45</v>
      </c>
      <c r="B455">
        <v>35</v>
      </c>
      <c r="C455" s="1">
        <v>70000</v>
      </c>
      <c r="D455" t="s">
        <v>34</v>
      </c>
      <c r="E455" t="s">
        <v>13</v>
      </c>
      <c r="F455" t="s">
        <v>37</v>
      </c>
      <c r="G455" s="11">
        <v>43881</v>
      </c>
      <c r="H455" t="s">
        <v>15</v>
      </c>
      <c r="I455" t="s">
        <v>39</v>
      </c>
      <c r="J455" t="s">
        <v>17</v>
      </c>
      <c r="K455" s="11" t="str">
        <f t="shared" ca="1" si="7"/>
        <v>5 Years</v>
      </c>
      <c r="L455" s="3" cm="1">
        <f t="array" ref="L455">_xlfn.SWITCH(Table13_24[[#This Row],[Performance Score]],"A",6,"B",5,"C",4,"D",3,"E",2,"F",1)</f>
        <v>3</v>
      </c>
    </row>
    <row r="456" spans="1:12" x14ac:dyDescent="0.3">
      <c r="A456" t="s">
        <v>25</v>
      </c>
      <c r="B456">
        <v>30</v>
      </c>
      <c r="C456" s="1">
        <v>48417.431192660551</v>
      </c>
      <c r="D456" t="s">
        <v>34</v>
      </c>
      <c r="E456" t="s">
        <v>20</v>
      </c>
      <c r="F456" t="s">
        <v>41</v>
      </c>
      <c r="G456" s="11">
        <v>43549</v>
      </c>
      <c r="H456" t="s">
        <v>27</v>
      </c>
      <c r="I456" t="s">
        <v>32</v>
      </c>
      <c r="J456" t="s">
        <v>28</v>
      </c>
      <c r="K456" s="11" t="str">
        <f t="shared" ca="1" si="7"/>
        <v>6 Years</v>
      </c>
      <c r="L456" s="3" cm="1">
        <f t="array" ref="L456">_xlfn.SWITCH(Table13_24[[#This Row],[Performance Score]],"A",6,"B",5,"C",4,"D",3,"E",2,"F",1)</f>
        <v>4</v>
      </c>
    </row>
    <row r="457" spans="1:12" x14ac:dyDescent="0.3">
      <c r="A457" t="s">
        <v>33</v>
      </c>
      <c r="B457">
        <v>25</v>
      </c>
      <c r="C457" s="1">
        <v>50777.202072538857</v>
      </c>
      <c r="D457" t="s">
        <v>19</v>
      </c>
      <c r="E457" t="s">
        <v>30</v>
      </c>
      <c r="F457" t="s">
        <v>40</v>
      </c>
      <c r="G457" s="11">
        <v>43549</v>
      </c>
      <c r="H457" t="s">
        <v>31</v>
      </c>
      <c r="I457" t="s">
        <v>23</v>
      </c>
      <c r="J457" t="s">
        <v>42</v>
      </c>
      <c r="K457" s="11" t="str">
        <f t="shared" ca="1" si="7"/>
        <v>6 Years</v>
      </c>
      <c r="L457" s="3" cm="1">
        <f t="array" ref="L457">_xlfn.SWITCH(Table13_24[[#This Row],[Performance Score]],"A",6,"B",5,"C",4,"D",3,"E",2,"F",1)</f>
        <v>6</v>
      </c>
    </row>
    <row r="458" spans="1:12" x14ac:dyDescent="0.3">
      <c r="A458" t="s">
        <v>44</v>
      </c>
      <c r="B458">
        <v>30</v>
      </c>
      <c r="C458" s="1">
        <v>70000</v>
      </c>
      <c r="D458" t="s">
        <v>34</v>
      </c>
      <c r="E458" t="s">
        <v>30</v>
      </c>
      <c r="F458" t="s">
        <v>40</v>
      </c>
      <c r="G458" s="11">
        <v>43195</v>
      </c>
      <c r="H458" t="s">
        <v>38</v>
      </c>
      <c r="I458" t="s">
        <v>23</v>
      </c>
      <c r="J458" t="s">
        <v>42</v>
      </c>
      <c r="K458" s="11" t="str">
        <f t="shared" ca="1" si="7"/>
        <v>7 Years</v>
      </c>
      <c r="L458" s="3" cm="1">
        <f t="array" ref="L458">_xlfn.SWITCH(Table13_24[[#This Row],[Performance Score]],"A",6,"B",5,"C",4,"D",3,"E",2,"F",1)</f>
        <v>5</v>
      </c>
    </row>
    <row r="459" spans="1:12" x14ac:dyDescent="0.3">
      <c r="A459" t="s">
        <v>36</v>
      </c>
      <c r="B459">
        <v>25</v>
      </c>
      <c r="C459" s="1">
        <v>55000</v>
      </c>
      <c r="D459" t="s">
        <v>19</v>
      </c>
      <c r="E459" t="s">
        <v>30</v>
      </c>
      <c r="F459" t="s">
        <v>21</v>
      </c>
      <c r="G459" s="11">
        <v>43549</v>
      </c>
      <c r="H459" t="s">
        <v>27</v>
      </c>
      <c r="I459" t="s">
        <v>16</v>
      </c>
      <c r="J459" t="s">
        <v>17</v>
      </c>
      <c r="K459" s="11" t="str">
        <f t="shared" ca="1" si="7"/>
        <v>6 Years</v>
      </c>
      <c r="L459" s="3" cm="1">
        <f t="array" ref="L459">_xlfn.SWITCH(Table13_24[[#This Row],[Performance Score]],"A",6,"B",5,"C",4,"D",3,"E",2,"F",1)</f>
        <v>4</v>
      </c>
    </row>
    <row r="460" spans="1:12" x14ac:dyDescent="0.3">
      <c r="A460" t="s">
        <v>44</v>
      </c>
      <c r="B460">
        <v>25</v>
      </c>
      <c r="C460" s="1">
        <v>55000</v>
      </c>
      <c r="D460" t="s">
        <v>19</v>
      </c>
      <c r="E460" t="s">
        <v>20</v>
      </c>
      <c r="F460" t="s">
        <v>40</v>
      </c>
      <c r="G460" s="11">
        <v>43845</v>
      </c>
      <c r="H460" t="s">
        <v>27</v>
      </c>
      <c r="I460" t="s">
        <v>16</v>
      </c>
      <c r="J460" t="s">
        <v>24</v>
      </c>
      <c r="K460" s="11" t="str">
        <f t="shared" ca="1" si="7"/>
        <v>5 Years</v>
      </c>
      <c r="L460" s="3" cm="1">
        <f t="array" ref="L460">_xlfn.SWITCH(Table13_24[[#This Row],[Performance Score]],"A",6,"B",5,"C",4,"D",3,"E",2,"F",1)</f>
        <v>4</v>
      </c>
    </row>
    <row r="461" spans="1:12" x14ac:dyDescent="0.3">
      <c r="A461" t="s">
        <v>36</v>
      </c>
      <c r="B461">
        <v>30</v>
      </c>
      <c r="C461" s="1">
        <v>70000</v>
      </c>
      <c r="D461" t="s">
        <v>34</v>
      </c>
      <c r="E461" t="s">
        <v>35</v>
      </c>
      <c r="F461" t="s">
        <v>41</v>
      </c>
      <c r="G461" s="11">
        <v>43845</v>
      </c>
      <c r="H461" t="s">
        <v>31</v>
      </c>
      <c r="I461" t="s">
        <v>23</v>
      </c>
      <c r="J461" t="s">
        <v>17</v>
      </c>
      <c r="K461" s="11" t="str">
        <f t="shared" ca="1" si="7"/>
        <v>5 Years</v>
      </c>
      <c r="L461" s="3" cm="1">
        <f t="array" ref="L461">_xlfn.SWITCH(Table13_24[[#This Row],[Performance Score]],"A",6,"B",5,"C",4,"D",3,"E",2,"F",1)</f>
        <v>6</v>
      </c>
    </row>
    <row r="462" spans="1:12" x14ac:dyDescent="0.3">
      <c r="A462" t="s">
        <v>11</v>
      </c>
      <c r="B462">
        <v>35</v>
      </c>
      <c r="C462" s="1">
        <v>50000</v>
      </c>
      <c r="D462" t="s">
        <v>12</v>
      </c>
      <c r="E462" t="s">
        <v>20</v>
      </c>
      <c r="F462" t="s">
        <v>41</v>
      </c>
      <c r="G462" s="11">
        <v>43845</v>
      </c>
      <c r="H462" t="s">
        <v>22</v>
      </c>
      <c r="I462" t="s">
        <v>39</v>
      </c>
      <c r="J462" t="s">
        <v>17</v>
      </c>
      <c r="K462" s="11" t="str">
        <f t="shared" ca="1" si="7"/>
        <v>5 Years</v>
      </c>
      <c r="L462" s="3" cm="1">
        <f t="array" ref="L462">_xlfn.SWITCH(Table13_24[[#This Row],[Performance Score]],"A",6,"B",5,"C",4,"D",3,"E",2,"F",1)</f>
        <v>1</v>
      </c>
    </row>
    <row r="463" spans="1:12" x14ac:dyDescent="0.3">
      <c r="A463" t="s">
        <v>45</v>
      </c>
      <c r="B463">
        <v>50</v>
      </c>
      <c r="C463" s="1">
        <v>70000</v>
      </c>
      <c r="D463" t="s">
        <v>34</v>
      </c>
      <c r="E463" t="s">
        <v>26</v>
      </c>
      <c r="F463" t="s">
        <v>37</v>
      </c>
      <c r="G463" s="11">
        <v>43549</v>
      </c>
      <c r="H463" t="s">
        <v>38</v>
      </c>
      <c r="I463" t="s">
        <v>39</v>
      </c>
      <c r="J463" t="s">
        <v>28</v>
      </c>
      <c r="K463" s="11" t="str">
        <f t="shared" ca="1" si="7"/>
        <v>6 Years</v>
      </c>
      <c r="L463" s="3" cm="1">
        <f t="array" ref="L463">_xlfn.SWITCH(Table13_24[[#This Row],[Performance Score]],"A",6,"B",5,"C",4,"D",3,"E",2,"F",1)</f>
        <v>5</v>
      </c>
    </row>
    <row r="464" spans="1:12" x14ac:dyDescent="0.3">
      <c r="A464" t="s">
        <v>33</v>
      </c>
      <c r="B464">
        <v>40</v>
      </c>
      <c r="C464" s="1">
        <v>70000</v>
      </c>
      <c r="D464" t="s">
        <v>12</v>
      </c>
      <c r="E464" t="s">
        <v>20</v>
      </c>
      <c r="F464" t="s">
        <v>37</v>
      </c>
      <c r="G464" s="11">
        <v>43845</v>
      </c>
      <c r="H464" t="s">
        <v>27</v>
      </c>
      <c r="I464" t="s">
        <v>39</v>
      </c>
      <c r="J464" t="s">
        <v>28</v>
      </c>
      <c r="K464" s="11" t="str">
        <f t="shared" ca="1" si="7"/>
        <v>5 Years</v>
      </c>
      <c r="L464" s="3" cm="1">
        <f t="array" ref="L464">_xlfn.SWITCH(Table13_24[[#This Row],[Performance Score]],"A",6,"B",5,"C",4,"D",3,"E",2,"F",1)</f>
        <v>4</v>
      </c>
    </row>
    <row r="465" spans="1:12" x14ac:dyDescent="0.3">
      <c r="A465" t="s">
        <v>25</v>
      </c>
      <c r="B465">
        <v>40</v>
      </c>
      <c r="C465" s="1">
        <v>55000</v>
      </c>
      <c r="D465" t="s">
        <v>19</v>
      </c>
      <c r="E465" t="s">
        <v>30</v>
      </c>
      <c r="F465" t="s">
        <v>37</v>
      </c>
      <c r="G465" s="11">
        <v>43195</v>
      </c>
      <c r="H465" t="s">
        <v>15</v>
      </c>
      <c r="I465" t="s">
        <v>16</v>
      </c>
      <c r="J465" t="s">
        <v>28</v>
      </c>
      <c r="K465" s="11" t="str">
        <f t="shared" ca="1" si="7"/>
        <v>7 Years</v>
      </c>
      <c r="L465" s="3" cm="1">
        <f t="array" ref="L465">_xlfn.SWITCH(Table13_24[[#This Row],[Performance Score]],"A",6,"B",5,"C",4,"D",3,"E",2,"F",1)</f>
        <v>3</v>
      </c>
    </row>
    <row r="466" spans="1:12" x14ac:dyDescent="0.3">
      <c r="A466" t="s">
        <v>33</v>
      </c>
      <c r="B466">
        <v>50</v>
      </c>
      <c r="C466" s="1">
        <v>55000</v>
      </c>
      <c r="D466" t="s">
        <v>19</v>
      </c>
      <c r="E466" t="s">
        <v>13</v>
      </c>
      <c r="F466" t="s">
        <v>40</v>
      </c>
      <c r="G466" s="11">
        <v>43549</v>
      </c>
      <c r="H466" t="s">
        <v>27</v>
      </c>
      <c r="I466" t="s">
        <v>39</v>
      </c>
      <c r="J466" t="s">
        <v>17</v>
      </c>
      <c r="K466" s="11" t="str">
        <f t="shared" ca="1" si="7"/>
        <v>6 Years</v>
      </c>
      <c r="L466" s="3" cm="1">
        <f t="array" ref="L466">_xlfn.SWITCH(Table13_24[[#This Row],[Performance Score]],"A",6,"B",5,"C",4,"D",3,"E",2,"F",1)</f>
        <v>4</v>
      </c>
    </row>
    <row r="467" spans="1:12" x14ac:dyDescent="0.3">
      <c r="A467" t="s">
        <v>33</v>
      </c>
      <c r="B467">
        <v>25</v>
      </c>
      <c r="C467" s="1">
        <v>70000</v>
      </c>
      <c r="D467" t="s">
        <v>12</v>
      </c>
      <c r="E467" t="s">
        <v>20</v>
      </c>
      <c r="F467" t="s">
        <v>40</v>
      </c>
      <c r="G467" s="11">
        <v>43477</v>
      </c>
      <c r="H467" t="s">
        <v>38</v>
      </c>
      <c r="I467" t="s">
        <v>16</v>
      </c>
      <c r="J467" t="s">
        <v>17</v>
      </c>
      <c r="K467" s="11" t="str">
        <f t="shared" ca="1" si="7"/>
        <v>6 Years</v>
      </c>
      <c r="L467" s="3" cm="1">
        <f t="array" ref="L467">_xlfn.SWITCH(Table13_24[[#This Row],[Performance Score]],"A",6,"B",5,"C",4,"D",3,"E",2,"F",1)</f>
        <v>5</v>
      </c>
    </row>
    <row r="468" spans="1:12" x14ac:dyDescent="0.3">
      <c r="A468" t="s">
        <v>33</v>
      </c>
      <c r="B468">
        <v>25</v>
      </c>
      <c r="C468" s="1">
        <v>70000</v>
      </c>
      <c r="D468" t="s">
        <v>19</v>
      </c>
      <c r="E468" t="s">
        <v>20</v>
      </c>
      <c r="F468" t="s">
        <v>21</v>
      </c>
      <c r="G468" s="11">
        <v>43549</v>
      </c>
      <c r="H468" t="s">
        <v>27</v>
      </c>
      <c r="I468" t="s">
        <v>23</v>
      </c>
      <c r="J468" t="s">
        <v>42</v>
      </c>
      <c r="K468" s="11" t="str">
        <f t="shared" ca="1" si="7"/>
        <v>6 Years</v>
      </c>
      <c r="L468" s="3" cm="1">
        <f t="array" ref="L468">_xlfn.SWITCH(Table13_24[[#This Row],[Performance Score]],"A",6,"B",5,"C",4,"D",3,"E",2,"F",1)</f>
        <v>4</v>
      </c>
    </row>
    <row r="469" spans="1:12" x14ac:dyDescent="0.3">
      <c r="A469" t="s">
        <v>44</v>
      </c>
      <c r="B469">
        <v>35</v>
      </c>
      <c r="C469" s="1">
        <v>70000</v>
      </c>
      <c r="D469" t="s">
        <v>12</v>
      </c>
      <c r="E469" t="s">
        <v>30</v>
      </c>
      <c r="F469" t="s">
        <v>37</v>
      </c>
      <c r="G469" s="11">
        <v>43195</v>
      </c>
      <c r="H469" t="s">
        <v>31</v>
      </c>
      <c r="I469" t="s">
        <v>39</v>
      </c>
      <c r="J469" t="s">
        <v>24</v>
      </c>
      <c r="K469" s="11" t="str">
        <f t="shared" ca="1" si="7"/>
        <v>7 Years</v>
      </c>
      <c r="L469" s="3" cm="1">
        <f t="array" ref="L469">_xlfn.SWITCH(Table13_24[[#This Row],[Performance Score]],"A",6,"B",5,"C",4,"D",3,"E",2,"F",1)</f>
        <v>6</v>
      </c>
    </row>
    <row r="470" spans="1:12" x14ac:dyDescent="0.3">
      <c r="A470" t="s">
        <v>36</v>
      </c>
      <c r="B470">
        <v>36</v>
      </c>
      <c r="C470" s="1">
        <v>55000</v>
      </c>
      <c r="D470" t="s">
        <v>12</v>
      </c>
      <c r="E470" t="s">
        <v>13</v>
      </c>
      <c r="F470" t="s">
        <v>14</v>
      </c>
      <c r="G470" s="11">
        <v>43477</v>
      </c>
      <c r="H470" t="s">
        <v>27</v>
      </c>
      <c r="I470" t="s">
        <v>39</v>
      </c>
      <c r="J470" t="s">
        <v>42</v>
      </c>
      <c r="K470" s="11" t="str">
        <f t="shared" ca="1" si="7"/>
        <v>6 Years</v>
      </c>
      <c r="L470" s="3" cm="1">
        <f t="array" ref="L470">_xlfn.SWITCH(Table13_24[[#This Row],[Performance Score]],"A",6,"B",5,"C",4,"D",3,"E",2,"F",1)</f>
        <v>4</v>
      </c>
    </row>
    <row r="471" spans="1:12" x14ac:dyDescent="0.3">
      <c r="A471" t="s">
        <v>46</v>
      </c>
      <c r="B471">
        <v>30</v>
      </c>
      <c r="C471" s="1">
        <v>70000</v>
      </c>
      <c r="D471" t="s">
        <v>19</v>
      </c>
      <c r="E471" t="s">
        <v>13</v>
      </c>
      <c r="F471" t="s">
        <v>21</v>
      </c>
      <c r="G471" s="11">
        <v>43549</v>
      </c>
      <c r="H471" t="s">
        <v>27</v>
      </c>
      <c r="I471" t="s">
        <v>23</v>
      </c>
      <c r="J471" t="s">
        <v>17</v>
      </c>
      <c r="K471" s="11" t="str">
        <f t="shared" ca="1" si="7"/>
        <v>6 Years</v>
      </c>
      <c r="L471" s="3" cm="1">
        <f t="array" ref="L471">_xlfn.SWITCH(Table13_24[[#This Row],[Performance Score]],"A",6,"B",5,"C",4,"D",3,"E",2,"F",1)</f>
        <v>4</v>
      </c>
    </row>
    <row r="472" spans="1:12" x14ac:dyDescent="0.3">
      <c r="A472" t="s">
        <v>11</v>
      </c>
      <c r="B472">
        <v>25</v>
      </c>
      <c r="C472" s="1">
        <v>70000</v>
      </c>
      <c r="D472" t="s">
        <v>12</v>
      </c>
      <c r="E472" t="s">
        <v>26</v>
      </c>
      <c r="F472" t="s">
        <v>14</v>
      </c>
      <c r="G472" s="11">
        <v>43845</v>
      </c>
      <c r="H472" t="s">
        <v>15</v>
      </c>
      <c r="I472" t="s">
        <v>39</v>
      </c>
      <c r="J472" t="s">
        <v>42</v>
      </c>
      <c r="K472" s="11" t="str">
        <f t="shared" ca="1" si="7"/>
        <v>5 Years</v>
      </c>
      <c r="L472" s="3" cm="1">
        <f t="array" ref="L472">_xlfn.SWITCH(Table13_24[[#This Row],[Performance Score]],"A",6,"B",5,"C",4,"D",3,"E",2,"F",1)</f>
        <v>3</v>
      </c>
    </row>
    <row r="473" spans="1:12" x14ac:dyDescent="0.3">
      <c r="A473" t="s">
        <v>18</v>
      </c>
      <c r="B473">
        <v>40</v>
      </c>
      <c r="C473" s="1">
        <v>65000</v>
      </c>
      <c r="D473" t="s">
        <v>34</v>
      </c>
      <c r="E473" t="s">
        <v>20</v>
      </c>
      <c r="F473" t="s">
        <v>40</v>
      </c>
      <c r="G473" s="11">
        <v>43881</v>
      </c>
      <c r="H473" t="s">
        <v>31</v>
      </c>
      <c r="I473" t="s">
        <v>39</v>
      </c>
      <c r="J473" t="s">
        <v>17</v>
      </c>
      <c r="K473" s="11" t="str">
        <f t="shared" ca="1" si="7"/>
        <v>5 Years</v>
      </c>
      <c r="L473" s="3" cm="1">
        <f t="array" ref="L473">_xlfn.SWITCH(Table13_24[[#This Row],[Performance Score]],"A",6,"B",5,"C",4,"D",3,"E",2,"F",1)</f>
        <v>6</v>
      </c>
    </row>
    <row r="474" spans="1:12" x14ac:dyDescent="0.3">
      <c r="A474" t="s">
        <v>33</v>
      </c>
      <c r="B474">
        <v>35</v>
      </c>
      <c r="C474" s="1">
        <v>50000</v>
      </c>
      <c r="D474" t="s">
        <v>34</v>
      </c>
      <c r="E474" t="s">
        <v>13</v>
      </c>
      <c r="F474" t="s">
        <v>21</v>
      </c>
      <c r="G474" s="11">
        <v>43881</v>
      </c>
      <c r="H474" t="s">
        <v>31</v>
      </c>
      <c r="I474" t="s">
        <v>32</v>
      </c>
      <c r="J474" t="s">
        <v>28</v>
      </c>
      <c r="K474" s="11" t="str">
        <f t="shared" ca="1" si="7"/>
        <v>5 Years</v>
      </c>
      <c r="L474" s="3" cm="1">
        <f t="array" ref="L474">_xlfn.SWITCH(Table13_24[[#This Row],[Performance Score]],"A",6,"B",5,"C",4,"D",3,"E",2,"F",1)</f>
        <v>6</v>
      </c>
    </row>
    <row r="475" spans="1:12" x14ac:dyDescent="0.3">
      <c r="A475" t="s">
        <v>29</v>
      </c>
      <c r="B475">
        <v>30</v>
      </c>
      <c r="C475" s="1">
        <v>60000</v>
      </c>
      <c r="D475" t="s">
        <v>19</v>
      </c>
      <c r="E475" t="s">
        <v>13</v>
      </c>
      <c r="F475" t="s">
        <v>21</v>
      </c>
      <c r="G475" s="11">
        <v>43845</v>
      </c>
      <c r="H475" t="s">
        <v>27</v>
      </c>
      <c r="I475" t="s">
        <v>16</v>
      </c>
      <c r="J475" t="s">
        <v>17</v>
      </c>
      <c r="K475" s="11" t="str">
        <f t="shared" ca="1" si="7"/>
        <v>5 Years</v>
      </c>
      <c r="L475" s="3" cm="1">
        <f t="array" ref="L475">_xlfn.SWITCH(Table13_24[[#This Row],[Performance Score]],"A",6,"B",5,"C",4,"D",3,"E",2,"F",1)</f>
        <v>4</v>
      </c>
    </row>
    <row r="476" spans="1:12" x14ac:dyDescent="0.3">
      <c r="A476" t="s">
        <v>44</v>
      </c>
      <c r="B476">
        <v>35</v>
      </c>
      <c r="C476" s="1">
        <v>50000</v>
      </c>
      <c r="D476" t="s">
        <v>19</v>
      </c>
      <c r="E476" t="s">
        <v>35</v>
      </c>
      <c r="F476" t="s">
        <v>41</v>
      </c>
      <c r="G476" s="11">
        <v>43881</v>
      </c>
      <c r="H476" t="s">
        <v>15</v>
      </c>
      <c r="I476" t="s">
        <v>39</v>
      </c>
      <c r="J476" t="s">
        <v>17</v>
      </c>
      <c r="K476" s="11" t="str">
        <f t="shared" ca="1" si="7"/>
        <v>5 Years</v>
      </c>
      <c r="L476" s="3" cm="1">
        <f t="array" ref="L476">_xlfn.SWITCH(Table13_24[[#This Row],[Performance Score]],"A",6,"B",5,"C",4,"D",3,"E",2,"F",1)</f>
        <v>3</v>
      </c>
    </row>
    <row r="477" spans="1:12" x14ac:dyDescent="0.3">
      <c r="A477" t="s">
        <v>25</v>
      </c>
      <c r="B477">
        <v>30</v>
      </c>
      <c r="C477" s="1">
        <v>65000</v>
      </c>
      <c r="D477" t="s">
        <v>12</v>
      </c>
      <c r="E477" t="s">
        <v>35</v>
      </c>
      <c r="F477" t="s">
        <v>40</v>
      </c>
      <c r="G477" s="11">
        <v>43881</v>
      </c>
      <c r="H477" t="s">
        <v>27</v>
      </c>
      <c r="I477" t="s">
        <v>23</v>
      </c>
      <c r="J477" t="s">
        <v>42</v>
      </c>
      <c r="K477" s="11" t="str">
        <f t="shared" ca="1" si="7"/>
        <v>5 Years</v>
      </c>
      <c r="L477" s="3" cm="1">
        <f t="array" ref="L477">_xlfn.SWITCH(Table13_24[[#This Row],[Performance Score]],"A",6,"B",5,"C",4,"D",3,"E",2,"F",1)</f>
        <v>4</v>
      </c>
    </row>
    <row r="478" spans="1:12" x14ac:dyDescent="0.3">
      <c r="A478" t="s">
        <v>18</v>
      </c>
      <c r="B478">
        <v>30</v>
      </c>
      <c r="C478" s="1">
        <v>60000</v>
      </c>
      <c r="D478" t="s">
        <v>12</v>
      </c>
      <c r="E478" t="s">
        <v>13</v>
      </c>
      <c r="F478" t="s">
        <v>40</v>
      </c>
      <c r="G478" s="11">
        <v>43845</v>
      </c>
      <c r="H478" t="s">
        <v>27</v>
      </c>
      <c r="I478" t="s">
        <v>39</v>
      </c>
      <c r="J478" t="s">
        <v>17</v>
      </c>
      <c r="K478" s="11" t="str">
        <f t="shared" ca="1" si="7"/>
        <v>5 Years</v>
      </c>
      <c r="L478" s="3" cm="1">
        <f t="array" ref="L478">_xlfn.SWITCH(Table13_24[[#This Row],[Performance Score]],"A",6,"B",5,"C",4,"D",3,"E",2,"F",1)</f>
        <v>4</v>
      </c>
    </row>
    <row r="479" spans="1:12" x14ac:dyDescent="0.3">
      <c r="A479" t="s">
        <v>46</v>
      </c>
      <c r="B479">
        <v>50</v>
      </c>
      <c r="C479" s="1">
        <v>70000</v>
      </c>
      <c r="D479" t="s">
        <v>12</v>
      </c>
      <c r="E479" t="s">
        <v>26</v>
      </c>
      <c r="F479" t="s">
        <v>21</v>
      </c>
      <c r="G479" s="11">
        <v>43845</v>
      </c>
      <c r="H479" t="s">
        <v>38</v>
      </c>
      <c r="I479" t="s">
        <v>39</v>
      </c>
      <c r="J479" t="s">
        <v>42</v>
      </c>
      <c r="K479" s="11" t="str">
        <f t="shared" ca="1" si="7"/>
        <v>5 Years</v>
      </c>
      <c r="L479" s="3" cm="1">
        <f t="array" ref="L479">_xlfn.SWITCH(Table13_24[[#This Row],[Performance Score]],"A",6,"B",5,"C",4,"D",3,"E",2,"F",1)</f>
        <v>5</v>
      </c>
    </row>
    <row r="480" spans="1:12" x14ac:dyDescent="0.3">
      <c r="A480" t="s">
        <v>29</v>
      </c>
      <c r="B480">
        <v>25</v>
      </c>
      <c r="C480" s="1">
        <v>65000</v>
      </c>
      <c r="D480" t="s">
        <v>12</v>
      </c>
      <c r="E480" t="s">
        <v>13</v>
      </c>
      <c r="F480" t="s">
        <v>40</v>
      </c>
      <c r="G480" s="11">
        <v>43549</v>
      </c>
      <c r="H480" t="s">
        <v>38</v>
      </c>
      <c r="I480" t="s">
        <v>16</v>
      </c>
      <c r="J480" t="s">
        <v>42</v>
      </c>
      <c r="K480" s="11" t="str">
        <f t="shared" ca="1" si="7"/>
        <v>6 Years</v>
      </c>
      <c r="L480" s="3" cm="1">
        <f t="array" ref="L480">_xlfn.SWITCH(Table13_24[[#This Row],[Performance Score]],"A",6,"B",5,"C",4,"D",3,"E",2,"F",1)</f>
        <v>5</v>
      </c>
    </row>
    <row r="481" spans="1:12" x14ac:dyDescent="0.3">
      <c r="A481" t="s">
        <v>46</v>
      </c>
      <c r="B481">
        <v>35</v>
      </c>
      <c r="C481" s="1">
        <v>70000</v>
      </c>
      <c r="D481" t="s">
        <v>34</v>
      </c>
      <c r="E481" t="s">
        <v>30</v>
      </c>
      <c r="F481" t="s">
        <v>21</v>
      </c>
      <c r="G481" s="11">
        <v>43549</v>
      </c>
      <c r="H481" t="s">
        <v>15</v>
      </c>
      <c r="I481" t="s">
        <v>32</v>
      </c>
      <c r="J481" t="s">
        <v>17</v>
      </c>
      <c r="K481" s="11" t="str">
        <f t="shared" ca="1" si="7"/>
        <v>6 Years</v>
      </c>
      <c r="L481" s="3" cm="1">
        <f t="array" ref="L481">_xlfn.SWITCH(Table13_24[[#This Row],[Performance Score]],"A",6,"B",5,"C",4,"D",3,"E",2,"F",1)</f>
        <v>3</v>
      </c>
    </row>
    <row r="482" spans="1:12" x14ac:dyDescent="0.3">
      <c r="A482" t="s">
        <v>18</v>
      </c>
      <c r="B482">
        <v>35</v>
      </c>
      <c r="C482" s="1">
        <v>55000</v>
      </c>
      <c r="D482" t="s">
        <v>34</v>
      </c>
      <c r="E482" t="s">
        <v>20</v>
      </c>
      <c r="F482" t="s">
        <v>41</v>
      </c>
      <c r="G482" s="11">
        <v>43845</v>
      </c>
      <c r="H482" t="s">
        <v>22</v>
      </c>
      <c r="I482" t="s">
        <v>16</v>
      </c>
      <c r="J482" t="s">
        <v>42</v>
      </c>
      <c r="K482" s="11" t="str">
        <f t="shared" ca="1" si="7"/>
        <v>5 Years</v>
      </c>
      <c r="L482" s="3" cm="1">
        <f t="array" ref="L482">_xlfn.SWITCH(Table13_24[[#This Row],[Performance Score]],"A",6,"B",5,"C",4,"D",3,"E",2,"F",1)</f>
        <v>1</v>
      </c>
    </row>
    <row r="483" spans="1:12" x14ac:dyDescent="0.3">
      <c r="A483" t="s">
        <v>33</v>
      </c>
      <c r="B483">
        <v>50</v>
      </c>
      <c r="C483" s="1">
        <v>50742.574257425746</v>
      </c>
      <c r="D483" t="s">
        <v>19</v>
      </c>
      <c r="E483" t="s">
        <v>26</v>
      </c>
      <c r="F483" t="s">
        <v>21</v>
      </c>
      <c r="G483" s="11">
        <v>43195</v>
      </c>
      <c r="H483" t="s">
        <v>38</v>
      </c>
      <c r="I483" t="s">
        <v>39</v>
      </c>
      <c r="J483" t="s">
        <v>28</v>
      </c>
      <c r="K483" s="11" t="str">
        <f t="shared" ca="1" si="7"/>
        <v>7 Years</v>
      </c>
      <c r="L483" s="3" cm="1">
        <f t="array" ref="L483">_xlfn.SWITCH(Table13_24[[#This Row],[Performance Score]],"A",6,"B",5,"C",4,"D",3,"E",2,"F",1)</f>
        <v>5</v>
      </c>
    </row>
    <row r="484" spans="1:12" x14ac:dyDescent="0.3">
      <c r="A484" t="s">
        <v>29</v>
      </c>
      <c r="B484">
        <v>40</v>
      </c>
      <c r="C484" s="1">
        <v>65000</v>
      </c>
      <c r="D484" t="s">
        <v>12</v>
      </c>
      <c r="E484" t="s">
        <v>30</v>
      </c>
      <c r="F484" t="s">
        <v>40</v>
      </c>
      <c r="G484" s="11">
        <v>43881</v>
      </c>
      <c r="H484" t="s">
        <v>22</v>
      </c>
      <c r="I484" t="s">
        <v>39</v>
      </c>
      <c r="J484" t="s">
        <v>42</v>
      </c>
      <c r="K484" s="11" t="str">
        <f t="shared" ca="1" si="7"/>
        <v>5 Years</v>
      </c>
      <c r="L484" s="3" cm="1">
        <f t="array" ref="L484">_xlfn.SWITCH(Table13_24[[#This Row],[Performance Score]],"A",6,"B",5,"C",4,"D",3,"E",2,"F",1)</f>
        <v>1</v>
      </c>
    </row>
    <row r="485" spans="1:12" x14ac:dyDescent="0.3">
      <c r="A485" t="s">
        <v>46</v>
      </c>
      <c r="B485">
        <v>40</v>
      </c>
      <c r="C485" s="1">
        <v>55000</v>
      </c>
      <c r="D485" t="s">
        <v>12</v>
      </c>
      <c r="E485" t="s">
        <v>26</v>
      </c>
      <c r="F485" t="s">
        <v>40</v>
      </c>
      <c r="G485" s="11">
        <v>43549</v>
      </c>
      <c r="H485" t="s">
        <v>31</v>
      </c>
      <c r="I485" t="s">
        <v>39</v>
      </c>
      <c r="J485" t="s">
        <v>28</v>
      </c>
      <c r="K485" s="11" t="str">
        <f t="shared" ca="1" si="7"/>
        <v>6 Years</v>
      </c>
      <c r="L485" s="3" cm="1">
        <f t="array" ref="L485">_xlfn.SWITCH(Table13_24[[#This Row],[Performance Score]],"A",6,"B",5,"C",4,"D",3,"E",2,"F",1)</f>
        <v>6</v>
      </c>
    </row>
    <row r="486" spans="1:12" x14ac:dyDescent="0.3">
      <c r="A486" t="s">
        <v>25</v>
      </c>
      <c r="B486">
        <v>25</v>
      </c>
      <c r="C486" s="1">
        <v>65000</v>
      </c>
      <c r="D486" t="s">
        <v>19</v>
      </c>
      <c r="E486" t="s">
        <v>30</v>
      </c>
      <c r="F486" t="s">
        <v>21</v>
      </c>
      <c r="G486" s="11">
        <v>43881</v>
      </c>
      <c r="H486" t="s">
        <v>38</v>
      </c>
      <c r="I486" t="s">
        <v>39</v>
      </c>
      <c r="J486" t="s">
        <v>17</v>
      </c>
      <c r="K486" s="11" t="str">
        <f t="shared" ca="1" si="7"/>
        <v>5 Years</v>
      </c>
      <c r="L486" s="3" cm="1">
        <f t="array" ref="L486">_xlfn.SWITCH(Table13_24[[#This Row],[Performance Score]],"A",6,"B",5,"C",4,"D",3,"E",2,"F",1)</f>
        <v>5</v>
      </c>
    </row>
    <row r="487" spans="1:12" x14ac:dyDescent="0.3">
      <c r="A487" t="s">
        <v>36</v>
      </c>
      <c r="B487">
        <v>25</v>
      </c>
      <c r="C487" s="1">
        <v>65000</v>
      </c>
      <c r="D487" t="s">
        <v>12</v>
      </c>
      <c r="E487" t="s">
        <v>20</v>
      </c>
      <c r="F487" t="s">
        <v>21</v>
      </c>
      <c r="G487" s="11">
        <v>43477</v>
      </c>
      <c r="H487" t="s">
        <v>38</v>
      </c>
      <c r="I487" t="s">
        <v>23</v>
      </c>
      <c r="J487" t="s">
        <v>17</v>
      </c>
      <c r="K487" s="11" t="str">
        <f t="shared" ca="1" si="7"/>
        <v>6 Years</v>
      </c>
      <c r="L487" s="3" cm="1">
        <f t="array" ref="L487">_xlfn.SWITCH(Table13_24[[#This Row],[Performance Score]],"A",6,"B",5,"C",4,"D",3,"E",2,"F",1)</f>
        <v>5</v>
      </c>
    </row>
    <row r="488" spans="1:12" x14ac:dyDescent="0.3">
      <c r="A488" t="s">
        <v>45</v>
      </c>
      <c r="B488">
        <v>36</v>
      </c>
      <c r="C488" s="1">
        <v>55000</v>
      </c>
      <c r="D488" t="s">
        <v>12</v>
      </c>
      <c r="E488" t="s">
        <v>20</v>
      </c>
      <c r="F488" t="s">
        <v>21</v>
      </c>
      <c r="G488" s="11">
        <v>43845</v>
      </c>
      <c r="H488" t="s">
        <v>15</v>
      </c>
      <c r="I488" t="s">
        <v>32</v>
      </c>
      <c r="J488" t="s">
        <v>28</v>
      </c>
      <c r="K488" s="11" t="str">
        <f t="shared" ca="1" si="7"/>
        <v>5 Years</v>
      </c>
      <c r="L488" s="3" cm="1">
        <f t="array" ref="L488">_xlfn.SWITCH(Table13_24[[#This Row],[Performance Score]],"A",6,"B",5,"C",4,"D",3,"E",2,"F",1)</f>
        <v>3</v>
      </c>
    </row>
    <row r="489" spans="1:12" x14ac:dyDescent="0.3">
      <c r="A489" t="s">
        <v>36</v>
      </c>
      <c r="B489">
        <v>50</v>
      </c>
      <c r="C489" s="1">
        <v>60000</v>
      </c>
      <c r="D489" t="s">
        <v>12</v>
      </c>
      <c r="E489" t="s">
        <v>35</v>
      </c>
      <c r="F489" t="s">
        <v>37</v>
      </c>
      <c r="G489" s="11">
        <v>43195</v>
      </c>
      <c r="H489" t="s">
        <v>22</v>
      </c>
      <c r="I489" t="s">
        <v>39</v>
      </c>
      <c r="J489" t="s">
        <v>17</v>
      </c>
      <c r="K489" s="11" t="str">
        <f t="shared" ca="1" si="7"/>
        <v>7 Years</v>
      </c>
      <c r="L489" s="3" cm="1">
        <f t="array" ref="L489">_xlfn.SWITCH(Table13_24[[#This Row],[Performance Score]],"A",6,"B",5,"C",4,"D",3,"E",2,"F",1)</f>
        <v>1</v>
      </c>
    </row>
    <row r="490" spans="1:12" x14ac:dyDescent="0.3">
      <c r="A490" t="s">
        <v>18</v>
      </c>
      <c r="B490">
        <v>40</v>
      </c>
      <c r="C490" s="1">
        <v>50000</v>
      </c>
      <c r="D490" t="s">
        <v>12</v>
      </c>
      <c r="E490" t="s">
        <v>30</v>
      </c>
      <c r="F490" t="s">
        <v>40</v>
      </c>
      <c r="G490" s="11">
        <v>43477</v>
      </c>
      <c r="H490" t="s">
        <v>38</v>
      </c>
      <c r="I490" t="s">
        <v>39</v>
      </c>
      <c r="J490" t="s">
        <v>17</v>
      </c>
      <c r="K490" s="11" t="str">
        <f t="shared" ca="1" si="7"/>
        <v>6 Years</v>
      </c>
      <c r="L490" s="3" cm="1">
        <f t="array" ref="L490">_xlfn.SWITCH(Table13_24[[#This Row],[Performance Score]],"A",6,"B",5,"C",4,"D",3,"E",2,"F",1)</f>
        <v>5</v>
      </c>
    </row>
    <row r="491" spans="1:12" x14ac:dyDescent="0.3">
      <c r="A491" t="s">
        <v>44</v>
      </c>
      <c r="B491">
        <v>30</v>
      </c>
      <c r="C491" s="1">
        <v>70000</v>
      </c>
      <c r="D491" t="s">
        <v>12</v>
      </c>
      <c r="E491" t="s">
        <v>35</v>
      </c>
      <c r="F491" t="s">
        <v>40</v>
      </c>
      <c r="G491" s="11">
        <v>43477</v>
      </c>
      <c r="H491" t="s">
        <v>38</v>
      </c>
      <c r="I491" t="s">
        <v>39</v>
      </c>
      <c r="J491" t="s">
        <v>28</v>
      </c>
      <c r="K491" s="11" t="str">
        <f t="shared" ca="1" si="7"/>
        <v>6 Years</v>
      </c>
      <c r="L491" s="3" cm="1">
        <f t="array" ref="L491">_xlfn.SWITCH(Table13_24[[#This Row],[Performance Score]],"A",6,"B",5,"C",4,"D",3,"E",2,"F",1)</f>
        <v>5</v>
      </c>
    </row>
    <row r="492" spans="1:12" x14ac:dyDescent="0.3">
      <c r="A492" t="s">
        <v>45</v>
      </c>
      <c r="B492">
        <v>35</v>
      </c>
      <c r="C492" s="1">
        <v>65000</v>
      </c>
      <c r="D492" t="s">
        <v>19</v>
      </c>
      <c r="E492" t="s">
        <v>30</v>
      </c>
      <c r="F492" t="s">
        <v>37</v>
      </c>
      <c r="G492" s="11">
        <v>43477</v>
      </c>
      <c r="H492" t="s">
        <v>15</v>
      </c>
      <c r="I492" t="s">
        <v>32</v>
      </c>
      <c r="J492" t="s">
        <v>17</v>
      </c>
      <c r="K492" s="11" t="str">
        <f t="shared" ca="1" si="7"/>
        <v>6 Years</v>
      </c>
      <c r="L492" s="3" cm="1">
        <f t="array" ref="L492">_xlfn.SWITCH(Table13_24[[#This Row],[Performance Score]],"A",6,"B",5,"C",4,"D",3,"E",2,"F",1)</f>
        <v>3</v>
      </c>
    </row>
    <row r="493" spans="1:12" x14ac:dyDescent="0.3">
      <c r="A493" t="s">
        <v>11</v>
      </c>
      <c r="B493">
        <v>25</v>
      </c>
      <c r="C493" s="1">
        <v>70000</v>
      </c>
      <c r="D493" t="s">
        <v>12</v>
      </c>
      <c r="E493" t="s">
        <v>35</v>
      </c>
      <c r="F493" t="s">
        <v>21</v>
      </c>
      <c r="G493" s="11">
        <v>43845</v>
      </c>
      <c r="H493" t="s">
        <v>15</v>
      </c>
      <c r="I493" t="s">
        <v>16</v>
      </c>
      <c r="J493" t="s">
        <v>24</v>
      </c>
      <c r="K493" s="11" t="str">
        <f t="shared" ca="1" si="7"/>
        <v>5 Years</v>
      </c>
      <c r="L493" s="3" cm="1">
        <f t="array" ref="L493">_xlfn.SWITCH(Table13_24[[#This Row],[Performance Score]],"A",6,"B",5,"C",4,"D",3,"E",2,"F",1)</f>
        <v>3</v>
      </c>
    </row>
    <row r="494" spans="1:12" x14ac:dyDescent="0.3">
      <c r="A494" t="s">
        <v>25</v>
      </c>
      <c r="B494">
        <v>35</v>
      </c>
      <c r="C494" s="1">
        <v>48417.431192660551</v>
      </c>
      <c r="D494" t="s">
        <v>19</v>
      </c>
      <c r="E494" t="s">
        <v>20</v>
      </c>
      <c r="F494" t="s">
        <v>41</v>
      </c>
      <c r="G494" s="11">
        <v>43549</v>
      </c>
      <c r="H494" t="s">
        <v>22</v>
      </c>
      <c r="I494" t="s">
        <v>32</v>
      </c>
      <c r="J494" t="s">
        <v>17</v>
      </c>
      <c r="K494" s="11" t="str">
        <f t="shared" ca="1" si="7"/>
        <v>6 Years</v>
      </c>
      <c r="L494" s="3" cm="1">
        <f t="array" ref="L494">_xlfn.SWITCH(Table13_24[[#This Row],[Performance Score]],"A",6,"B",5,"C",4,"D",3,"E",2,"F",1)</f>
        <v>1</v>
      </c>
    </row>
    <row r="495" spans="1:12" x14ac:dyDescent="0.3">
      <c r="A495" t="s">
        <v>11</v>
      </c>
      <c r="B495">
        <v>35</v>
      </c>
      <c r="C495" s="1">
        <v>55000</v>
      </c>
      <c r="D495" t="s">
        <v>12</v>
      </c>
      <c r="E495" t="s">
        <v>26</v>
      </c>
      <c r="F495" t="s">
        <v>21</v>
      </c>
      <c r="G495" s="11">
        <v>43845</v>
      </c>
      <c r="H495" t="s">
        <v>31</v>
      </c>
      <c r="I495" t="s">
        <v>32</v>
      </c>
      <c r="J495" t="s">
        <v>17</v>
      </c>
      <c r="K495" s="11" t="str">
        <f t="shared" ca="1" si="7"/>
        <v>5 Years</v>
      </c>
      <c r="L495" s="3" cm="1">
        <f t="array" ref="L495">_xlfn.SWITCH(Table13_24[[#This Row],[Performance Score]],"A",6,"B",5,"C",4,"D",3,"E",2,"F",1)</f>
        <v>6</v>
      </c>
    </row>
    <row r="496" spans="1:12" x14ac:dyDescent="0.3">
      <c r="A496" t="s">
        <v>29</v>
      </c>
      <c r="B496">
        <v>36</v>
      </c>
      <c r="C496" s="1">
        <v>70000</v>
      </c>
      <c r="D496" t="s">
        <v>34</v>
      </c>
      <c r="E496" t="s">
        <v>35</v>
      </c>
      <c r="F496" t="s">
        <v>21</v>
      </c>
      <c r="G496" s="11">
        <v>43549</v>
      </c>
      <c r="H496" t="s">
        <v>31</v>
      </c>
      <c r="I496" t="s">
        <v>32</v>
      </c>
      <c r="J496" t="s">
        <v>17</v>
      </c>
      <c r="K496" s="11" t="str">
        <f t="shared" ca="1" si="7"/>
        <v>6 Years</v>
      </c>
      <c r="L496" s="3" cm="1">
        <f t="array" ref="L496">_xlfn.SWITCH(Table13_24[[#This Row],[Performance Score]],"A",6,"B",5,"C",4,"D",3,"E",2,"F",1)</f>
        <v>6</v>
      </c>
    </row>
    <row r="497" spans="1:12" x14ac:dyDescent="0.3">
      <c r="A497" t="s">
        <v>45</v>
      </c>
      <c r="B497">
        <v>40</v>
      </c>
      <c r="C497" s="1">
        <v>55000</v>
      </c>
      <c r="D497" t="s">
        <v>34</v>
      </c>
      <c r="E497" t="s">
        <v>30</v>
      </c>
      <c r="F497" t="s">
        <v>37</v>
      </c>
      <c r="G497" s="11">
        <v>43477</v>
      </c>
      <c r="H497" t="s">
        <v>27</v>
      </c>
      <c r="I497" t="s">
        <v>39</v>
      </c>
      <c r="J497" t="s">
        <v>17</v>
      </c>
      <c r="K497" s="11" t="str">
        <f t="shared" ca="1" si="7"/>
        <v>6 Years</v>
      </c>
      <c r="L497" s="3" cm="1">
        <f t="array" ref="L497">_xlfn.SWITCH(Table13_24[[#This Row],[Performance Score]],"A",6,"B",5,"C",4,"D",3,"E",2,"F",1)</f>
        <v>4</v>
      </c>
    </row>
    <row r="498" spans="1:12" x14ac:dyDescent="0.3">
      <c r="A498" t="s">
        <v>11</v>
      </c>
      <c r="B498">
        <v>25</v>
      </c>
      <c r="C498" s="1">
        <v>70000</v>
      </c>
      <c r="D498" t="s">
        <v>34</v>
      </c>
      <c r="E498" t="s">
        <v>30</v>
      </c>
      <c r="F498" t="s">
        <v>40</v>
      </c>
      <c r="G498" s="11">
        <v>43477</v>
      </c>
      <c r="H498" t="s">
        <v>38</v>
      </c>
      <c r="I498" t="s">
        <v>39</v>
      </c>
      <c r="J498" t="s">
        <v>42</v>
      </c>
      <c r="K498" s="11" t="str">
        <f t="shared" ca="1" si="7"/>
        <v>6 Years</v>
      </c>
      <c r="L498" s="3" cm="1">
        <f t="array" ref="L498">_xlfn.SWITCH(Table13_24[[#This Row],[Performance Score]],"A",6,"B",5,"C",4,"D",3,"E",2,"F",1)</f>
        <v>5</v>
      </c>
    </row>
    <row r="499" spans="1:12" x14ac:dyDescent="0.3">
      <c r="A499" t="s">
        <v>11</v>
      </c>
      <c r="B499">
        <v>35</v>
      </c>
      <c r="C499" s="1">
        <v>50000</v>
      </c>
      <c r="D499" t="s">
        <v>34</v>
      </c>
      <c r="E499" t="s">
        <v>20</v>
      </c>
      <c r="F499" t="s">
        <v>21</v>
      </c>
      <c r="G499" s="11">
        <v>43195</v>
      </c>
      <c r="H499" t="s">
        <v>22</v>
      </c>
      <c r="I499" t="s">
        <v>23</v>
      </c>
      <c r="J499" t="s">
        <v>17</v>
      </c>
      <c r="K499" s="11" t="str">
        <f t="shared" ca="1" si="7"/>
        <v>7 Years</v>
      </c>
      <c r="L499" s="3" cm="1">
        <f t="array" ref="L499">_xlfn.SWITCH(Table13_24[[#This Row],[Performance Score]],"A",6,"B",5,"C",4,"D",3,"E",2,"F",1)</f>
        <v>1</v>
      </c>
    </row>
    <row r="500" spans="1:12" x14ac:dyDescent="0.3">
      <c r="A500" t="s">
        <v>46</v>
      </c>
      <c r="B500">
        <v>25</v>
      </c>
      <c r="C500" s="1">
        <v>50000</v>
      </c>
      <c r="D500" t="s">
        <v>19</v>
      </c>
      <c r="E500" t="s">
        <v>30</v>
      </c>
      <c r="F500" t="s">
        <v>40</v>
      </c>
      <c r="G500" s="11">
        <v>43549</v>
      </c>
      <c r="H500" t="s">
        <v>38</v>
      </c>
      <c r="I500" t="s">
        <v>16</v>
      </c>
      <c r="J500" t="s">
        <v>17</v>
      </c>
      <c r="K500" s="11" t="str">
        <f t="shared" ca="1" si="7"/>
        <v>6 Years</v>
      </c>
      <c r="L500" s="3" cm="1">
        <f t="array" ref="L500">_xlfn.SWITCH(Table13_24[[#This Row],[Performance Score]],"A",6,"B",5,"C",4,"D",3,"E",2,"F",1)</f>
        <v>5</v>
      </c>
    </row>
    <row r="501" spans="1:12" x14ac:dyDescent="0.3">
      <c r="A501" t="s">
        <v>36</v>
      </c>
      <c r="B501">
        <v>30</v>
      </c>
      <c r="C501" s="1">
        <v>50000</v>
      </c>
      <c r="D501" t="s">
        <v>19</v>
      </c>
      <c r="E501" t="s">
        <v>13</v>
      </c>
      <c r="F501" t="s">
        <v>14</v>
      </c>
      <c r="G501" s="11">
        <v>43477</v>
      </c>
      <c r="H501" t="s">
        <v>22</v>
      </c>
      <c r="I501" t="s">
        <v>39</v>
      </c>
      <c r="J501" t="s">
        <v>28</v>
      </c>
      <c r="K501" s="11" t="str">
        <f t="shared" ca="1" si="7"/>
        <v>6 Years</v>
      </c>
      <c r="L501" s="3" cm="1">
        <f t="array" ref="L501">_xlfn.SWITCH(Table13_24[[#This Row],[Performance Score]],"A",6,"B",5,"C",4,"D",3,"E",2,"F",1)</f>
        <v>1</v>
      </c>
    </row>
    <row r="502" spans="1:12" x14ac:dyDescent="0.3">
      <c r="A502" t="s">
        <v>46</v>
      </c>
      <c r="B502">
        <v>36</v>
      </c>
      <c r="C502" s="1">
        <v>50000</v>
      </c>
      <c r="D502" t="s">
        <v>12</v>
      </c>
      <c r="E502" t="s">
        <v>26</v>
      </c>
      <c r="F502" t="s">
        <v>40</v>
      </c>
      <c r="G502" s="11">
        <v>43881</v>
      </c>
      <c r="H502" t="s">
        <v>22</v>
      </c>
      <c r="I502" t="s">
        <v>32</v>
      </c>
      <c r="J502" t="s">
        <v>24</v>
      </c>
      <c r="K502" s="11" t="str">
        <f t="shared" ca="1" si="7"/>
        <v>5 Years</v>
      </c>
      <c r="L502" s="3" cm="1">
        <f t="array" ref="L502">_xlfn.SWITCH(Table13_24[[#This Row],[Performance Score]],"A",6,"B",5,"C",4,"D",3,"E",2,"F",1)</f>
        <v>1</v>
      </c>
    </row>
    <row r="503" spans="1:12" x14ac:dyDescent="0.3">
      <c r="A503" t="s">
        <v>45</v>
      </c>
      <c r="B503">
        <v>30</v>
      </c>
      <c r="C503" s="1">
        <v>50000</v>
      </c>
      <c r="D503" t="s">
        <v>34</v>
      </c>
      <c r="E503" t="s">
        <v>35</v>
      </c>
      <c r="F503" t="s">
        <v>41</v>
      </c>
      <c r="G503" s="11">
        <v>43195</v>
      </c>
      <c r="H503" t="s">
        <v>22</v>
      </c>
      <c r="I503" t="s">
        <v>16</v>
      </c>
      <c r="J503" t="s">
        <v>42</v>
      </c>
      <c r="K503" s="11" t="str">
        <f t="shared" ca="1" si="7"/>
        <v>7 Years</v>
      </c>
      <c r="L503" s="3" cm="1">
        <f t="array" ref="L503">_xlfn.SWITCH(Table13_24[[#This Row],[Performance Score]],"A",6,"B",5,"C",4,"D",3,"E",2,"F",1)</f>
        <v>1</v>
      </c>
    </row>
    <row r="504" spans="1:12" x14ac:dyDescent="0.3">
      <c r="A504" t="s">
        <v>45</v>
      </c>
      <c r="B504">
        <v>25</v>
      </c>
      <c r="C504" s="1">
        <v>50000</v>
      </c>
      <c r="D504" t="s">
        <v>19</v>
      </c>
      <c r="E504" t="s">
        <v>26</v>
      </c>
      <c r="F504" t="s">
        <v>41</v>
      </c>
      <c r="G504" s="11">
        <v>43845</v>
      </c>
      <c r="H504" t="s">
        <v>38</v>
      </c>
      <c r="I504" t="s">
        <v>16</v>
      </c>
      <c r="J504" t="s">
        <v>28</v>
      </c>
      <c r="K504" s="11" t="str">
        <f t="shared" ca="1" si="7"/>
        <v>5 Years</v>
      </c>
      <c r="L504" s="3" cm="1">
        <f t="array" ref="L504">_xlfn.SWITCH(Table13_24[[#This Row],[Performance Score]],"A",6,"B",5,"C",4,"D",3,"E",2,"F",1)</f>
        <v>5</v>
      </c>
    </row>
    <row r="505" spans="1:12" x14ac:dyDescent="0.3">
      <c r="A505" t="s">
        <v>18</v>
      </c>
      <c r="B505">
        <v>25</v>
      </c>
      <c r="C505" s="1">
        <v>55000</v>
      </c>
      <c r="D505" t="s">
        <v>12</v>
      </c>
      <c r="E505" t="s">
        <v>20</v>
      </c>
      <c r="F505" t="s">
        <v>21</v>
      </c>
      <c r="G505" s="11">
        <v>43195</v>
      </c>
      <c r="H505" t="s">
        <v>15</v>
      </c>
      <c r="I505" t="s">
        <v>23</v>
      </c>
      <c r="J505" t="s">
        <v>24</v>
      </c>
      <c r="K505" s="11" t="str">
        <f t="shared" ca="1" si="7"/>
        <v>7 Years</v>
      </c>
      <c r="L505" s="3" cm="1">
        <f t="array" ref="L505">_xlfn.SWITCH(Table13_24[[#This Row],[Performance Score]],"A",6,"B",5,"C",4,"D",3,"E",2,"F",1)</f>
        <v>3</v>
      </c>
    </row>
    <row r="506" spans="1:12" x14ac:dyDescent="0.3">
      <c r="A506" t="s">
        <v>46</v>
      </c>
      <c r="B506">
        <v>40</v>
      </c>
      <c r="C506" s="1">
        <v>65000</v>
      </c>
      <c r="D506" t="s">
        <v>12</v>
      </c>
      <c r="E506" t="s">
        <v>35</v>
      </c>
      <c r="F506" t="s">
        <v>40</v>
      </c>
      <c r="G506" s="11">
        <v>43881</v>
      </c>
      <c r="H506" t="s">
        <v>38</v>
      </c>
      <c r="I506" t="s">
        <v>39</v>
      </c>
      <c r="J506" t="s">
        <v>24</v>
      </c>
      <c r="K506" s="11" t="str">
        <f t="shared" ca="1" si="7"/>
        <v>5 Years</v>
      </c>
      <c r="L506" s="3" cm="1">
        <f t="array" ref="L506">_xlfn.SWITCH(Table13_24[[#This Row],[Performance Score]],"A",6,"B",5,"C",4,"D",3,"E",2,"F",1)</f>
        <v>5</v>
      </c>
    </row>
    <row r="507" spans="1:12" x14ac:dyDescent="0.3">
      <c r="A507" t="s">
        <v>43</v>
      </c>
      <c r="B507">
        <v>35</v>
      </c>
      <c r="C507" s="1">
        <v>70000</v>
      </c>
      <c r="D507" t="s">
        <v>19</v>
      </c>
      <c r="E507" t="s">
        <v>35</v>
      </c>
      <c r="F507" t="s">
        <v>21</v>
      </c>
      <c r="G507" s="11">
        <v>43549</v>
      </c>
      <c r="H507" t="s">
        <v>22</v>
      </c>
      <c r="I507" t="s">
        <v>32</v>
      </c>
      <c r="J507" t="s">
        <v>24</v>
      </c>
      <c r="K507" s="11" t="str">
        <f t="shared" ca="1" si="7"/>
        <v>6 Years</v>
      </c>
      <c r="L507" s="3" cm="1">
        <f t="array" ref="L507">_xlfn.SWITCH(Table13_24[[#This Row],[Performance Score]],"A",6,"B",5,"C",4,"D",3,"E",2,"F",1)</f>
        <v>1</v>
      </c>
    </row>
    <row r="508" spans="1:12" x14ac:dyDescent="0.3">
      <c r="A508" t="s">
        <v>36</v>
      </c>
      <c r="B508">
        <v>35</v>
      </c>
      <c r="C508" s="1">
        <v>50000</v>
      </c>
      <c r="D508" t="s">
        <v>34</v>
      </c>
      <c r="E508" t="s">
        <v>13</v>
      </c>
      <c r="F508" t="s">
        <v>37</v>
      </c>
      <c r="G508" s="11">
        <v>43845</v>
      </c>
      <c r="H508" t="s">
        <v>27</v>
      </c>
      <c r="I508" t="s">
        <v>39</v>
      </c>
      <c r="J508" t="s">
        <v>28</v>
      </c>
      <c r="K508" s="11" t="str">
        <f t="shared" ca="1" si="7"/>
        <v>5 Years</v>
      </c>
      <c r="L508" s="3" cm="1">
        <f t="array" ref="L508">_xlfn.SWITCH(Table13_24[[#This Row],[Performance Score]],"A",6,"B",5,"C",4,"D",3,"E",2,"F",1)</f>
        <v>4</v>
      </c>
    </row>
    <row r="509" spans="1:12" x14ac:dyDescent="0.3">
      <c r="A509" t="s">
        <v>45</v>
      </c>
      <c r="B509">
        <v>30</v>
      </c>
      <c r="C509" s="1">
        <v>55000</v>
      </c>
      <c r="D509" t="s">
        <v>12</v>
      </c>
      <c r="E509" t="s">
        <v>20</v>
      </c>
      <c r="F509" t="s">
        <v>41</v>
      </c>
      <c r="G509" s="11">
        <v>43845</v>
      </c>
      <c r="H509" t="s">
        <v>31</v>
      </c>
      <c r="I509" t="s">
        <v>23</v>
      </c>
      <c r="J509" t="s">
        <v>42</v>
      </c>
      <c r="K509" s="11" t="str">
        <f t="shared" ca="1" si="7"/>
        <v>5 Years</v>
      </c>
      <c r="L509" s="3" cm="1">
        <f t="array" ref="L509">_xlfn.SWITCH(Table13_24[[#This Row],[Performance Score]],"A",6,"B",5,"C",4,"D",3,"E",2,"F",1)</f>
        <v>6</v>
      </c>
    </row>
    <row r="510" spans="1:12" x14ac:dyDescent="0.3">
      <c r="A510" t="s">
        <v>18</v>
      </c>
      <c r="B510">
        <v>36</v>
      </c>
      <c r="C510" s="1">
        <v>55000</v>
      </c>
      <c r="D510" t="s">
        <v>34</v>
      </c>
      <c r="E510" t="s">
        <v>30</v>
      </c>
      <c r="F510" t="s">
        <v>21</v>
      </c>
      <c r="G510" s="11">
        <v>43549</v>
      </c>
      <c r="H510" t="s">
        <v>22</v>
      </c>
      <c r="I510" t="s">
        <v>39</v>
      </c>
      <c r="J510" t="s">
        <v>42</v>
      </c>
      <c r="K510" s="11" t="str">
        <f t="shared" ca="1" si="7"/>
        <v>6 Years</v>
      </c>
      <c r="L510" s="3" cm="1">
        <f t="array" ref="L510">_xlfn.SWITCH(Table13_24[[#This Row],[Performance Score]],"A",6,"B",5,"C",4,"D",3,"E",2,"F",1)</f>
        <v>1</v>
      </c>
    </row>
    <row r="511" spans="1:12" x14ac:dyDescent="0.3">
      <c r="A511" t="s">
        <v>46</v>
      </c>
      <c r="B511">
        <v>50</v>
      </c>
      <c r="C511" s="1">
        <v>55000</v>
      </c>
      <c r="D511" t="s">
        <v>34</v>
      </c>
      <c r="E511" t="s">
        <v>13</v>
      </c>
      <c r="F511" t="s">
        <v>37</v>
      </c>
      <c r="G511" s="11">
        <v>43195</v>
      </c>
      <c r="H511" t="s">
        <v>27</v>
      </c>
      <c r="I511" t="s">
        <v>16</v>
      </c>
      <c r="J511" t="s">
        <v>24</v>
      </c>
      <c r="K511" s="11" t="str">
        <f t="shared" ca="1" si="7"/>
        <v>7 Years</v>
      </c>
      <c r="L511" s="3" cm="1">
        <f t="array" ref="L511">_xlfn.SWITCH(Table13_24[[#This Row],[Performance Score]],"A",6,"B",5,"C",4,"D",3,"E",2,"F",1)</f>
        <v>4</v>
      </c>
    </row>
    <row r="512" spans="1:12" x14ac:dyDescent="0.3">
      <c r="A512" t="s">
        <v>36</v>
      </c>
      <c r="B512">
        <v>35</v>
      </c>
      <c r="C512" s="1">
        <v>65000</v>
      </c>
      <c r="D512" t="s">
        <v>34</v>
      </c>
      <c r="E512" t="s">
        <v>13</v>
      </c>
      <c r="F512" t="s">
        <v>21</v>
      </c>
      <c r="G512" s="11">
        <v>43477</v>
      </c>
      <c r="H512" t="s">
        <v>15</v>
      </c>
      <c r="I512" t="s">
        <v>32</v>
      </c>
      <c r="J512" t="s">
        <v>28</v>
      </c>
      <c r="K512" s="11" t="str">
        <f t="shared" ca="1" si="7"/>
        <v>6 Years</v>
      </c>
      <c r="L512" s="3" cm="1">
        <f t="array" ref="L512">_xlfn.SWITCH(Table13_24[[#This Row],[Performance Score]],"A",6,"B",5,"C",4,"D",3,"E",2,"F",1)</f>
        <v>3</v>
      </c>
    </row>
    <row r="513" spans="1:12" x14ac:dyDescent="0.3">
      <c r="A513" t="s">
        <v>46</v>
      </c>
      <c r="B513">
        <v>40</v>
      </c>
      <c r="C513" s="1">
        <v>70000</v>
      </c>
      <c r="D513" t="s">
        <v>12</v>
      </c>
      <c r="E513" t="s">
        <v>26</v>
      </c>
      <c r="F513" t="s">
        <v>40</v>
      </c>
      <c r="G513" s="11">
        <v>43195</v>
      </c>
      <c r="H513" t="s">
        <v>22</v>
      </c>
      <c r="I513" t="s">
        <v>39</v>
      </c>
      <c r="J513" t="s">
        <v>24</v>
      </c>
      <c r="K513" s="11" t="str">
        <f t="shared" ca="1" si="7"/>
        <v>7 Years</v>
      </c>
      <c r="L513" s="3" cm="1">
        <f t="array" ref="L513">_xlfn.SWITCH(Table13_24[[#This Row],[Performance Score]],"A",6,"B",5,"C",4,"D",3,"E",2,"F",1)</f>
        <v>1</v>
      </c>
    </row>
    <row r="514" spans="1:12" x14ac:dyDescent="0.3">
      <c r="A514" t="s">
        <v>11</v>
      </c>
      <c r="B514">
        <v>30</v>
      </c>
      <c r="C514" s="1">
        <v>65000</v>
      </c>
      <c r="D514" t="s">
        <v>34</v>
      </c>
      <c r="E514" t="s">
        <v>26</v>
      </c>
      <c r="F514" t="s">
        <v>40</v>
      </c>
      <c r="G514" s="11">
        <v>43881</v>
      </c>
      <c r="H514" t="s">
        <v>27</v>
      </c>
      <c r="I514" t="s">
        <v>23</v>
      </c>
      <c r="J514" t="s">
        <v>17</v>
      </c>
      <c r="K514" s="11" t="str">
        <f t="shared" ca="1" si="7"/>
        <v>5 Years</v>
      </c>
      <c r="L514" s="3" cm="1">
        <f t="array" ref="L514">_xlfn.SWITCH(Table13_24[[#This Row],[Performance Score]],"A",6,"B",5,"C",4,"D",3,"E",2,"F",1)</f>
        <v>4</v>
      </c>
    </row>
    <row r="515" spans="1:12" x14ac:dyDescent="0.3">
      <c r="A515" t="s">
        <v>18</v>
      </c>
      <c r="B515">
        <v>30</v>
      </c>
      <c r="C515" s="1">
        <v>60000</v>
      </c>
      <c r="D515" t="s">
        <v>12</v>
      </c>
      <c r="E515" t="s">
        <v>26</v>
      </c>
      <c r="F515" t="s">
        <v>40</v>
      </c>
      <c r="G515" s="11">
        <v>43477</v>
      </c>
      <c r="H515" t="s">
        <v>22</v>
      </c>
      <c r="I515" t="s">
        <v>39</v>
      </c>
      <c r="J515" t="s">
        <v>42</v>
      </c>
      <c r="K515" s="11" t="str">
        <f t="shared" ref="K515:K578" ca="1" si="8">DATEDIF(G515,TODAY(),"Y") &amp; " Years"</f>
        <v>6 Years</v>
      </c>
      <c r="L515" s="3" cm="1">
        <f t="array" ref="L515">_xlfn.SWITCH(Table13_24[[#This Row],[Performance Score]],"A",6,"B",5,"C",4,"D",3,"E",2,"F",1)</f>
        <v>1</v>
      </c>
    </row>
    <row r="516" spans="1:12" x14ac:dyDescent="0.3">
      <c r="A516" t="s">
        <v>36</v>
      </c>
      <c r="B516">
        <v>50</v>
      </c>
      <c r="C516" s="1">
        <v>55000</v>
      </c>
      <c r="D516" t="s">
        <v>34</v>
      </c>
      <c r="E516" t="s">
        <v>13</v>
      </c>
      <c r="F516" t="s">
        <v>40</v>
      </c>
      <c r="G516" s="11">
        <v>43195</v>
      </c>
      <c r="H516" t="s">
        <v>38</v>
      </c>
      <c r="I516" t="s">
        <v>16</v>
      </c>
      <c r="J516" t="s">
        <v>17</v>
      </c>
      <c r="K516" s="11" t="str">
        <f t="shared" ca="1" si="8"/>
        <v>7 Years</v>
      </c>
      <c r="L516" s="3" cm="1">
        <f t="array" ref="L516">_xlfn.SWITCH(Table13_24[[#This Row],[Performance Score]],"A",6,"B",5,"C",4,"D",3,"E",2,"F",1)</f>
        <v>5</v>
      </c>
    </row>
    <row r="517" spans="1:12" x14ac:dyDescent="0.3">
      <c r="A517" t="s">
        <v>33</v>
      </c>
      <c r="B517">
        <v>40</v>
      </c>
      <c r="C517" s="1">
        <v>60000</v>
      </c>
      <c r="D517" t="s">
        <v>12</v>
      </c>
      <c r="E517" t="s">
        <v>30</v>
      </c>
      <c r="F517" t="s">
        <v>14</v>
      </c>
      <c r="G517" s="11">
        <v>43549</v>
      </c>
      <c r="H517" t="s">
        <v>27</v>
      </c>
      <c r="I517" t="s">
        <v>32</v>
      </c>
      <c r="J517" t="s">
        <v>24</v>
      </c>
      <c r="K517" s="11" t="str">
        <f t="shared" ca="1" si="8"/>
        <v>6 Years</v>
      </c>
      <c r="L517" s="3" cm="1">
        <f t="array" ref="L517">_xlfn.SWITCH(Table13_24[[#This Row],[Performance Score]],"A",6,"B",5,"C",4,"D",3,"E",2,"F",1)</f>
        <v>4</v>
      </c>
    </row>
    <row r="518" spans="1:12" x14ac:dyDescent="0.3">
      <c r="A518" t="s">
        <v>29</v>
      </c>
      <c r="B518">
        <v>36</v>
      </c>
      <c r="C518" s="1">
        <v>49144.385026737968</v>
      </c>
      <c r="D518" t="s">
        <v>34</v>
      </c>
      <c r="E518" t="s">
        <v>35</v>
      </c>
      <c r="F518" t="s">
        <v>37</v>
      </c>
      <c r="G518" s="11">
        <v>43881</v>
      </c>
      <c r="H518" t="s">
        <v>38</v>
      </c>
      <c r="I518" t="s">
        <v>39</v>
      </c>
      <c r="J518" t="s">
        <v>17</v>
      </c>
      <c r="K518" s="11" t="str">
        <f t="shared" ca="1" si="8"/>
        <v>5 Years</v>
      </c>
      <c r="L518" s="3" cm="1">
        <f t="array" ref="L518">_xlfn.SWITCH(Table13_24[[#This Row],[Performance Score]],"A",6,"B",5,"C",4,"D",3,"E",2,"F",1)</f>
        <v>5</v>
      </c>
    </row>
    <row r="519" spans="1:12" x14ac:dyDescent="0.3">
      <c r="A519" t="s">
        <v>29</v>
      </c>
      <c r="B519">
        <v>40</v>
      </c>
      <c r="C519" s="1">
        <v>50000</v>
      </c>
      <c r="D519" t="s">
        <v>19</v>
      </c>
      <c r="E519" t="s">
        <v>26</v>
      </c>
      <c r="F519" t="s">
        <v>37</v>
      </c>
      <c r="G519" s="11">
        <v>43881</v>
      </c>
      <c r="H519" t="s">
        <v>38</v>
      </c>
      <c r="I519" t="s">
        <v>39</v>
      </c>
      <c r="J519" t="s">
        <v>42</v>
      </c>
      <c r="K519" s="11" t="str">
        <f t="shared" ca="1" si="8"/>
        <v>5 Years</v>
      </c>
      <c r="L519" s="3" cm="1">
        <f t="array" ref="L519">_xlfn.SWITCH(Table13_24[[#This Row],[Performance Score]],"A",6,"B",5,"C",4,"D",3,"E",2,"F",1)</f>
        <v>5</v>
      </c>
    </row>
    <row r="520" spans="1:12" x14ac:dyDescent="0.3">
      <c r="A520" t="s">
        <v>36</v>
      </c>
      <c r="B520">
        <v>36</v>
      </c>
      <c r="C520" s="1">
        <v>50000</v>
      </c>
      <c r="D520" t="s">
        <v>34</v>
      </c>
      <c r="E520" t="s">
        <v>30</v>
      </c>
      <c r="F520" t="s">
        <v>40</v>
      </c>
      <c r="G520" s="11">
        <v>43881</v>
      </c>
      <c r="H520" t="s">
        <v>27</v>
      </c>
      <c r="I520" t="s">
        <v>16</v>
      </c>
      <c r="J520" t="s">
        <v>28</v>
      </c>
      <c r="K520" s="11" t="str">
        <f t="shared" ca="1" si="8"/>
        <v>5 Years</v>
      </c>
      <c r="L520" s="3" cm="1">
        <f t="array" ref="L520">_xlfn.SWITCH(Table13_24[[#This Row],[Performance Score]],"A",6,"B",5,"C",4,"D",3,"E",2,"F",1)</f>
        <v>4</v>
      </c>
    </row>
    <row r="521" spans="1:12" x14ac:dyDescent="0.3">
      <c r="A521" t="s">
        <v>46</v>
      </c>
      <c r="B521">
        <v>40</v>
      </c>
      <c r="C521" s="1">
        <v>65000</v>
      </c>
      <c r="D521" t="s">
        <v>34</v>
      </c>
      <c r="E521" t="s">
        <v>20</v>
      </c>
      <c r="F521" t="s">
        <v>14</v>
      </c>
      <c r="G521" s="11">
        <v>43477</v>
      </c>
      <c r="H521" t="s">
        <v>31</v>
      </c>
      <c r="I521" t="s">
        <v>39</v>
      </c>
      <c r="J521" t="s">
        <v>42</v>
      </c>
      <c r="K521" s="11" t="str">
        <f t="shared" ca="1" si="8"/>
        <v>6 Years</v>
      </c>
      <c r="L521" s="3" cm="1">
        <f t="array" ref="L521">_xlfn.SWITCH(Table13_24[[#This Row],[Performance Score]],"A",6,"B",5,"C",4,"D",3,"E",2,"F",1)</f>
        <v>6</v>
      </c>
    </row>
    <row r="522" spans="1:12" x14ac:dyDescent="0.3">
      <c r="A522" t="s">
        <v>18</v>
      </c>
      <c r="B522">
        <v>40</v>
      </c>
      <c r="C522" s="1">
        <v>70000</v>
      </c>
      <c r="D522" t="s">
        <v>12</v>
      </c>
      <c r="E522" t="s">
        <v>26</v>
      </c>
      <c r="F522" t="s">
        <v>40</v>
      </c>
      <c r="G522" s="11">
        <v>43845</v>
      </c>
      <c r="H522" t="s">
        <v>27</v>
      </c>
      <c r="I522" t="s">
        <v>23</v>
      </c>
      <c r="J522" t="s">
        <v>28</v>
      </c>
      <c r="K522" s="11" t="str">
        <f t="shared" ca="1" si="8"/>
        <v>5 Years</v>
      </c>
      <c r="L522" s="3" cm="1">
        <f t="array" ref="L522">_xlfn.SWITCH(Table13_24[[#This Row],[Performance Score]],"A",6,"B",5,"C",4,"D",3,"E",2,"F",1)</f>
        <v>4</v>
      </c>
    </row>
    <row r="523" spans="1:12" x14ac:dyDescent="0.3">
      <c r="A523" t="s">
        <v>29</v>
      </c>
      <c r="B523">
        <v>25</v>
      </c>
      <c r="C523" s="1">
        <v>60000</v>
      </c>
      <c r="D523" t="s">
        <v>12</v>
      </c>
      <c r="E523" t="s">
        <v>35</v>
      </c>
      <c r="F523" t="s">
        <v>14</v>
      </c>
      <c r="G523" s="11">
        <v>43477</v>
      </c>
      <c r="H523" t="s">
        <v>31</v>
      </c>
      <c r="I523" t="s">
        <v>39</v>
      </c>
      <c r="J523" t="s">
        <v>28</v>
      </c>
      <c r="K523" s="11" t="str">
        <f t="shared" ca="1" si="8"/>
        <v>6 Years</v>
      </c>
      <c r="L523" s="3" cm="1">
        <f t="array" ref="L523">_xlfn.SWITCH(Table13_24[[#This Row],[Performance Score]],"A",6,"B",5,"C",4,"D",3,"E",2,"F",1)</f>
        <v>6</v>
      </c>
    </row>
    <row r="524" spans="1:12" x14ac:dyDescent="0.3">
      <c r="A524" t="s">
        <v>18</v>
      </c>
      <c r="B524">
        <v>30</v>
      </c>
      <c r="C524" s="1">
        <v>70000</v>
      </c>
      <c r="D524" t="s">
        <v>34</v>
      </c>
      <c r="E524" t="s">
        <v>20</v>
      </c>
      <c r="F524" t="s">
        <v>40</v>
      </c>
      <c r="G524" s="11">
        <v>43195</v>
      </c>
      <c r="H524" t="s">
        <v>22</v>
      </c>
      <c r="I524" t="s">
        <v>39</v>
      </c>
      <c r="J524" t="s">
        <v>24</v>
      </c>
      <c r="K524" s="11" t="str">
        <f t="shared" ca="1" si="8"/>
        <v>7 Years</v>
      </c>
      <c r="L524" s="3" cm="1">
        <f t="array" ref="L524">_xlfn.SWITCH(Table13_24[[#This Row],[Performance Score]],"A",6,"B",5,"C",4,"D",3,"E",2,"F",1)</f>
        <v>1</v>
      </c>
    </row>
    <row r="525" spans="1:12" x14ac:dyDescent="0.3">
      <c r="A525" t="s">
        <v>29</v>
      </c>
      <c r="B525">
        <v>40</v>
      </c>
      <c r="C525" s="1">
        <v>65000</v>
      </c>
      <c r="D525" t="s">
        <v>19</v>
      </c>
      <c r="E525" t="s">
        <v>20</v>
      </c>
      <c r="F525" t="s">
        <v>41</v>
      </c>
      <c r="G525" s="11">
        <v>43845</v>
      </c>
      <c r="H525" t="s">
        <v>22</v>
      </c>
      <c r="I525" t="s">
        <v>39</v>
      </c>
      <c r="J525" t="s">
        <v>24</v>
      </c>
      <c r="K525" s="11" t="str">
        <f t="shared" ca="1" si="8"/>
        <v>5 Years</v>
      </c>
      <c r="L525" s="3" cm="1">
        <f t="array" ref="L525">_xlfn.SWITCH(Table13_24[[#This Row],[Performance Score]],"A",6,"B",5,"C",4,"D",3,"E",2,"F",1)</f>
        <v>1</v>
      </c>
    </row>
    <row r="526" spans="1:12" x14ac:dyDescent="0.3">
      <c r="A526" t="s">
        <v>11</v>
      </c>
      <c r="B526">
        <v>50</v>
      </c>
      <c r="C526" s="1">
        <v>50000</v>
      </c>
      <c r="D526" t="s">
        <v>19</v>
      </c>
      <c r="E526" t="s">
        <v>35</v>
      </c>
      <c r="F526" t="s">
        <v>41</v>
      </c>
      <c r="G526" s="11">
        <v>43195</v>
      </c>
      <c r="H526" t="s">
        <v>27</v>
      </c>
      <c r="I526" t="s">
        <v>16</v>
      </c>
      <c r="J526" t="s">
        <v>42</v>
      </c>
      <c r="K526" s="11" t="str">
        <f t="shared" ca="1" si="8"/>
        <v>7 Years</v>
      </c>
      <c r="L526" s="3" cm="1">
        <f t="array" ref="L526">_xlfn.SWITCH(Table13_24[[#This Row],[Performance Score]],"A",6,"B",5,"C",4,"D",3,"E",2,"F",1)</f>
        <v>4</v>
      </c>
    </row>
    <row r="527" spans="1:12" x14ac:dyDescent="0.3">
      <c r="A527" t="s">
        <v>46</v>
      </c>
      <c r="B527">
        <v>40</v>
      </c>
      <c r="C527" s="1">
        <v>70000</v>
      </c>
      <c r="D527" t="s">
        <v>12</v>
      </c>
      <c r="E527" t="s">
        <v>26</v>
      </c>
      <c r="F527" t="s">
        <v>21</v>
      </c>
      <c r="G527" s="11">
        <v>43845</v>
      </c>
      <c r="H527" t="s">
        <v>22</v>
      </c>
      <c r="I527" t="s">
        <v>16</v>
      </c>
      <c r="J527" t="s">
        <v>17</v>
      </c>
      <c r="K527" s="11" t="str">
        <f t="shared" ca="1" si="8"/>
        <v>5 Years</v>
      </c>
      <c r="L527" s="3" cm="1">
        <f t="array" ref="L527">_xlfn.SWITCH(Table13_24[[#This Row],[Performance Score]],"A",6,"B",5,"C",4,"D",3,"E",2,"F",1)</f>
        <v>1</v>
      </c>
    </row>
    <row r="528" spans="1:12" x14ac:dyDescent="0.3">
      <c r="A528" t="s">
        <v>11</v>
      </c>
      <c r="B528">
        <v>35</v>
      </c>
      <c r="C528" s="1">
        <v>70000</v>
      </c>
      <c r="D528" t="s">
        <v>19</v>
      </c>
      <c r="E528" t="s">
        <v>13</v>
      </c>
      <c r="F528" t="s">
        <v>40</v>
      </c>
      <c r="G528" s="11">
        <v>43477</v>
      </c>
      <c r="H528" t="s">
        <v>15</v>
      </c>
      <c r="I528" t="s">
        <v>23</v>
      </c>
      <c r="J528" t="s">
        <v>42</v>
      </c>
      <c r="K528" s="11" t="str">
        <f t="shared" ca="1" si="8"/>
        <v>6 Years</v>
      </c>
      <c r="L528" s="3" cm="1">
        <f t="array" ref="L528">_xlfn.SWITCH(Table13_24[[#This Row],[Performance Score]],"A",6,"B",5,"C",4,"D",3,"E",2,"F",1)</f>
        <v>3</v>
      </c>
    </row>
    <row r="529" spans="1:12" x14ac:dyDescent="0.3">
      <c r="A529" t="s">
        <v>29</v>
      </c>
      <c r="B529">
        <v>30</v>
      </c>
      <c r="C529" s="1">
        <v>50000</v>
      </c>
      <c r="D529" t="s">
        <v>34</v>
      </c>
      <c r="E529" t="s">
        <v>35</v>
      </c>
      <c r="F529" t="s">
        <v>37</v>
      </c>
      <c r="G529" s="11">
        <v>43881</v>
      </c>
      <c r="H529" t="s">
        <v>38</v>
      </c>
      <c r="I529" t="s">
        <v>39</v>
      </c>
      <c r="J529" t="s">
        <v>17</v>
      </c>
      <c r="K529" s="11" t="str">
        <f t="shared" ca="1" si="8"/>
        <v>5 Years</v>
      </c>
      <c r="L529" s="3" cm="1">
        <f t="array" ref="L529">_xlfn.SWITCH(Table13_24[[#This Row],[Performance Score]],"A",6,"B",5,"C",4,"D",3,"E",2,"F",1)</f>
        <v>5</v>
      </c>
    </row>
    <row r="530" spans="1:12" x14ac:dyDescent="0.3">
      <c r="A530" t="s">
        <v>33</v>
      </c>
      <c r="B530">
        <v>35</v>
      </c>
      <c r="C530" s="1">
        <v>60000</v>
      </c>
      <c r="D530" t="s">
        <v>12</v>
      </c>
      <c r="E530" t="s">
        <v>35</v>
      </c>
      <c r="F530" t="s">
        <v>21</v>
      </c>
      <c r="G530" s="11">
        <v>43549</v>
      </c>
      <c r="H530" t="s">
        <v>38</v>
      </c>
      <c r="I530" t="s">
        <v>16</v>
      </c>
      <c r="J530" t="s">
        <v>28</v>
      </c>
      <c r="K530" s="11" t="str">
        <f t="shared" ca="1" si="8"/>
        <v>6 Years</v>
      </c>
      <c r="L530" s="3" cm="1">
        <f t="array" ref="L530">_xlfn.SWITCH(Table13_24[[#This Row],[Performance Score]],"A",6,"B",5,"C",4,"D",3,"E",2,"F",1)</f>
        <v>5</v>
      </c>
    </row>
    <row r="531" spans="1:12" x14ac:dyDescent="0.3">
      <c r="A531" t="s">
        <v>33</v>
      </c>
      <c r="B531">
        <v>30</v>
      </c>
      <c r="C531" s="1">
        <v>50000</v>
      </c>
      <c r="D531" t="s">
        <v>34</v>
      </c>
      <c r="E531" t="s">
        <v>35</v>
      </c>
      <c r="F531" t="s">
        <v>41</v>
      </c>
      <c r="G531" s="11">
        <v>43881</v>
      </c>
      <c r="H531" t="s">
        <v>31</v>
      </c>
      <c r="I531" t="s">
        <v>23</v>
      </c>
      <c r="J531" t="s">
        <v>28</v>
      </c>
      <c r="K531" s="11" t="str">
        <f t="shared" ca="1" si="8"/>
        <v>5 Years</v>
      </c>
      <c r="L531" s="3" cm="1">
        <f t="array" ref="L531">_xlfn.SWITCH(Table13_24[[#This Row],[Performance Score]],"A",6,"B",5,"C",4,"D",3,"E",2,"F",1)</f>
        <v>6</v>
      </c>
    </row>
    <row r="532" spans="1:12" x14ac:dyDescent="0.3">
      <c r="A532" t="s">
        <v>11</v>
      </c>
      <c r="B532">
        <v>35</v>
      </c>
      <c r="C532" s="1">
        <v>70000</v>
      </c>
      <c r="D532" t="s">
        <v>12</v>
      </c>
      <c r="E532" t="s">
        <v>20</v>
      </c>
      <c r="F532" t="s">
        <v>40</v>
      </c>
      <c r="G532" s="11">
        <v>43477</v>
      </c>
      <c r="H532" t="s">
        <v>22</v>
      </c>
      <c r="I532" t="s">
        <v>23</v>
      </c>
      <c r="J532" t="s">
        <v>24</v>
      </c>
      <c r="K532" s="11" t="str">
        <f t="shared" ca="1" si="8"/>
        <v>6 Years</v>
      </c>
      <c r="L532" s="3" cm="1">
        <f t="array" ref="L532">_xlfn.SWITCH(Table13_24[[#This Row],[Performance Score]],"A",6,"B",5,"C",4,"D",3,"E",2,"F",1)</f>
        <v>1</v>
      </c>
    </row>
    <row r="533" spans="1:12" x14ac:dyDescent="0.3">
      <c r="A533" t="s">
        <v>33</v>
      </c>
      <c r="B533">
        <v>40</v>
      </c>
      <c r="C533" s="1">
        <v>60000</v>
      </c>
      <c r="D533" t="s">
        <v>12</v>
      </c>
      <c r="E533" t="s">
        <v>30</v>
      </c>
      <c r="F533" t="s">
        <v>21</v>
      </c>
      <c r="G533" s="11">
        <v>43845</v>
      </c>
      <c r="H533" t="s">
        <v>31</v>
      </c>
      <c r="I533" t="s">
        <v>39</v>
      </c>
      <c r="J533" t="s">
        <v>17</v>
      </c>
      <c r="K533" s="11" t="str">
        <f t="shared" ca="1" si="8"/>
        <v>5 Years</v>
      </c>
      <c r="L533" s="3" cm="1">
        <f t="array" ref="L533">_xlfn.SWITCH(Table13_24[[#This Row],[Performance Score]],"A",6,"B",5,"C",4,"D",3,"E",2,"F",1)</f>
        <v>6</v>
      </c>
    </row>
    <row r="534" spans="1:12" x14ac:dyDescent="0.3">
      <c r="A534" t="s">
        <v>29</v>
      </c>
      <c r="B534">
        <v>40</v>
      </c>
      <c r="C534" s="1">
        <v>60000</v>
      </c>
      <c r="D534" t="s">
        <v>12</v>
      </c>
      <c r="E534" t="s">
        <v>13</v>
      </c>
      <c r="F534" t="s">
        <v>40</v>
      </c>
      <c r="G534" s="11">
        <v>43881</v>
      </c>
      <c r="H534" t="s">
        <v>38</v>
      </c>
      <c r="I534" t="s">
        <v>32</v>
      </c>
      <c r="J534" t="s">
        <v>24</v>
      </c>
      <c r="K534" s="11" t="str">
        <f t="shared" ca="1" si="8"/>
        <v>5 Years</v>
      </c>
      <c r="L534" s="3" cm="1">
        <f t="array" ref="L534">_xlfn.SWITCH(Table13_24[[#This Row],[Performance Score]],"A",6,"B",5,"C",4,"D",3,"E",2,"F",1)</f>
        <v>5</v>
      </c>
    </row>
    <row r="535" spans="1:12" x14ac:dyDescent="0.3">
      <c r="A535" t="s">
        <v>36</v>
      </c>
      <c r="B535">
        <v>25</v>
      </c>
      <c r="C535" s="1">
        <v>50000</v>
      </c>
      <c r="D535" t="s">
        <v>12</v>
      </c>
      <c r="E535" t="s">
        <v>26</v>
      </c>
      <c r="F535" t="s">
        <v>41</v>
      </c>
      <c r="G535" s="11">
        <v>43477</v>
      </c>
      <c r="H535" t="s">
        <v>38</v>
      </c>
      <c r="I535" t="s">
        <v>39</v>
      </c>
      <c r="J535" t="s">
        <v>17</v>
      </c>
      <c r="K535" s="11" t="str">
        <f t="shared" ca="1" si="8"/>
        <v>6 Years</v>
      </c>
      <c r="L535" s="3" cm="1">
        <f t="array" ref="L535">_xlfn.SWITCH(Table13_24[[#This Row],[Performance Score]],"A",6,"B",5,"C",4,"D",3,"E",2,"F",1)</f>
        <v>5</v>
      </c>
    </row>
    <row r="536" spans="1:12" x14ac:dyDescent="0.3">
      <c r="A536" t="s">
        <v>11</v>
      </c>
      <c r="B536">
        <v>50</v>
      </c>
      <c r="C536" s="1">
        <v>70000</v>
      </c>
      <c r="D536" t="s">
        <v>19</v>
      </c>
      <c r="E536" t="s">
        <v>26</v>
      </c>
      <c r="F536" t="s">
        <v>21</v>
      </c>
      <c r="G536" s="11">
        <v>43195</v>
      </c>
      <c r="H536" t="s">
        <v>22</v>
      </c>
      <c r="I536" t="s">
        <v>32</v>
      </c>
      <c r="J536" t="s">
        <v>42</v>
      </c>
      <c r="K536" s="11" t="str">
        <f t="shared" ca="1" si="8"/>
        <v>7 Years</v>
      </c>
      <c r="L536" s="3" cm="1">
        <f t="array" ref="L536">_xlfn.SWITCH(Table13_24[[#This Row],[Performance Score]],"A",6,"B",5,"C",4,"D",3,"E",2,"F",1)</f>
        <v>1</v>
      </c>
    </row>
    <row r="537" spans="1:12" x14ac:dyDescent="0.3">
      <c r="A537" t="s">
        <v>44</v>
      </c>
      <c r="B537">
        <v>35</v>
      </c>
      <c r="C537" s="1">
        <v>65000</v>
      </c>
      <c r="D537" t="s">
        <v>34</v>
      </c>
      <c r="E537" t="s">
        <v>30</v>
      </c>
      <c r="F537" t="s">
        <v>41</v>
      </c>
      <c r="G537" s="11">
        <v>43549</v>
      </c>
      <c r="H537" t="s">
        <v>15</v>
      </c>
      <c r="I537" t="s">
        <v>23</v>
      </c>
      <c r="J537" t="s">
        <v>42</v>
      </c>
      <c r="K537" s="11" t="str">
        <f t="shared" ca="1" si="8"/>
        <v>6 Years</v>
      </c>
      <c r="L537" s="3" cm="1">
        <f t="array" ref="L537">_xlfn.SWITCH(Table13_24[[#This Row],[Performance Score]],"A",6,"B",5,"C",4,"D",3,"E",2,"F",1)</f>
        <v>3</v>
      </c>
    </row>
    <row r="538" spans="1:12" x14ac:dyDescent="0.3">
      <c r="A538" t="s">
        <v>46</v>
      </c>
      <c r="B538">
        <v>36</v>
      </c>
      <c r="C538" s="1">
        <v>70000</v>
      </c>
      <c r="D538" t="s">
        <v>34</v>
      </c>
      <c r="E538" t="s">
        <v>35</v>
      </c>
      <c r="F538" t="s">
        <v>14</v>
      </c>
      <c r="G538" s="11">
        <v>43881</v>
      </c>
      <c r="H538" t="s">
        <v>15</v>
      </c>
      <c r="I538" t="s">
        <v>16</v>
      </c>
      <c r="J538" t="s">
        <v>17</v>
      </c>
      <c r="K538" s="11" t="str">
        <f t="shared" ca="1" si="8"/>
        <v>5 Years</v>
      </c>
      <c r="L538" s="3" cm="1">
        <f t="array" ref="L538">_xlfn.SWITCH(Table13_24[[#This Row],[Performance Score]],"A",6,"B",5,"C",4,"D",3,"E",2,"F",1)</f>
        <v>3</v>
      </c>
    </row>
    <row r="539" spans="1:12" x14ac:dyDescent="0.3">
      <c r="A539" t="s">
        <v>33</v>
      </c>
      <c r="B539">
        <v>25</v>
      </c>
      <c r="C539" s="1">
        <v>55000</v>
      </c>
      <c r="D539" t="s">
        <v>34</v>
      </c>
      <c r="E539" t="s">
        <v>13</v>
      </c>
      <c r="F539" t="s">
        <v>41</v>
      </c>
      <c r="G539" s="11">
        <v>43845</v>
      </c>
      <c r="H539" t="s">
        <v>22</v>
      </c>
      <c r="I539" t="s">
        <v>39</v>
      </c>
      <c r="J539" t="s">
        <v>24</v>
      </c>
      <c r="K539" s="11" t="str">
        <f t="shared" ca="1" si="8"/>
        <v>5 Years</v>
      </c>
      <c r="L539" s="3" cm="1">
        <f t="array" ref="L539">_xlfn.SWITCH(Table13_24[[#This Row],[Performance Score]],"A",6,"B",5,"C",4,"D",3,"E",2,"F",1)</f>
        <v>1</v>
      </c>
    </row>
    <row r="540" spans="1:12" x14ac:dyDescent="0.3">
      <c r="A540" t="s">
        <v>33</v>
      </c>
      <c r="B540">
        <v>35</v>
      </c>
      <c r="C540" s="1">
        <v>50742.574257425746</v>
      </c>
      <c r="D540" t="s">
        <v>12</v>
      </c>
      <c r="E540" t="s">
        <v>26</v>
      </c>
      <c r="F540" t="s">
        <v>40</v>
      </c>
      <c r="G540" s="11">
        <v>43195</v>
      </c>
      <c r="H540" t="s">
        <v>22</v>
      </c>
      <c r="I540" t="s">
        <v>23</v>
      </c>
      <c r="J540" t="s">
        <v>24</v>
      </c>
      <c r="K540" s="11" t="str">
        <f t="shared" ca="1" si="8"/>
        <v>7 Years</v>
      </c>
      <c r="L540" s="3" cm="1">
        <f t="array" ref="L540">_xlfn.SWITCH(Table13_24[[#This Row],[Performance Score]],"A",6,"B",5,"C",4,"D",3,"E",2,"F",1)</f>
        <v>1</v>
      </c>
    </row>
    <row r="541" spans="1:12" x14ac:dyDescent="0.3">
      <c r="A541" t="s">
        <v>45</v>
      </c>
      <c r="B541">
        <v>35</v>
      </c>
      <c r="C541" s="1">
        <v>65000</v>
      </c>
      <c r="D541" t="s">
        <v>19</v>
      </c>
      <c r="E541" t="s">
        <v>26</v>
      </c>
      <c r="F541" t="s">
        <v>37</v>
      </c>
      <c r="G541" s="11">
        <v>43477</v>
      </c>
      <c r="H541" t="s">
        <v>31</v>
      </c>
      <c r="I541" t="s">
        <v>16</v>
      </c>
      <c r="J541" t="s">
        <v>17</v>
      </c>
      <c r="K541" s="11" t="str">
        <f t="shared" ca="1" si="8"/>
        <v>6 Years</v>
      </c>
      <c r="L541" s="3" cm="1">
        <f t="array" ref="L541">_xlfn.SWITCH(Table13_24[[#This Row],[Performance Score]],"A",6,"B",5,"C",4,"D",3,"E",2,"F",1)</f>
        <v>6</v>
      </c>
    </row>
    <row r="542" spans="1:12" x14ac:dyDescent="0.3">
      <c r="A542" t="s">
        <v>43</v>
      </c>
      <c r="B542">
        <v>25</v>
      </c>
      <c r="C542" s="1">
        <v>60000</v>
      </c>
      <c r="D542" t="s">
        <v>34</v>
      </c>
      <c r="E542" t="s">
        <v>35</v>
      </c>
      <c r="F542" t="s">
        <v>41</v>
      </c>
      <c r="G542" s="11">
        <v>43549</v>
      </c>
      <c r="H542" t="s">
        <v>22</v>
      </c>
      <c r="I542" t="s">
        <v>23</v>
      </c>
      <c r="J542" t="s">
        <v>42</v>
      </c>
      <c r="K542" s="11" t="str">
        <f t="shared" ca="1" si="8"/>
        <v>6 Years</v>
      </c>
      <c r="L542" s="3" cm="1">
        <f t="array" ref="L542">_xlfn.SWITCH(Table13_24[[#This Row],[Performance Score]],"A",6,"B",5,"C",4,"D",3,"E",2,"F",1)</f>
        <v>1</v>
      </c>
    </row>
    <row r="543" spans="1:12" x14ac:dyDescent="0.3">
      <c r="A543" t="s">
        <v>11</v>
      </c>
      <c r="B543">
        <v>40</v>
      </c>
      <c r="C543" s="1">
        <v>65000</v>
      </c>
      <c r="D543" t="s">
        <v>19</v>
      </c>
      <c r="E543" t="s">
        <v>30</v>
      </c>
      <c r="F543" t="s">
        <v>37</v>
      </c>
      <c r="G543" s="11">
        <v>43845</v>
      </c>
      <c r="H543" t="s">
        <v>15</v>
      </c>
      <c r="I543" t="s">
        <v>39</v>
      </c>
      <c r="J543" t="s">
        <v>24</v>
      </c>
      <c r="K543" s="11" t="str">
        <f t="shared" ca="1" si="8"/>
        <v>5 Years</v>
      </c>
      <c r="L543" s="3" cm="1">
        <f t="array" ref="L543">_xlfn.SWITCH(Table13_24[[#This Row],[Performance Score]],"A",6,"B",5,"C",4,"D",3,"E",2,"F",1)</f>
        <v>3</v>
      </c>
    </row>
    <row r="544" spans="1:12" x14ac:dyDescent="0.3">
      <c r="A544" t="s">
        <v>25</v>
      </c>
      <c r="B544">
        <v>35</v>
      </c>
      <c r="C544" s="1">
        <v>60000</v>
      </c>
      <c r="D544" t="s">
        <v>12</v>
      </c>
      <c r="E544" t="s">
        <v>13</v>
      </c>
      <c r="F544" t="s">
        <v>14</v>
      </c>
      <c r="G544" s="11">
        <v>43477</v>
      </c>
      <c r="H544" t="s">
        <v>22</v>
      </c>
      <c r="I544" t="s">
        <v>32</v>
      </c>
      <c r="J544" t="s">
        <v>17</v>
      </c>
      <c r="K544" s="11" t="str">
        <f t="shared" ca="1" si="8"/>
        <v>6 Years</v>
      </c>
      <c r="L544" s="3" cm="1">
        <f t="array" ref="L544">_xlfn.SWITCH(Table13_24[[#This Row],[Performance Score]],"A",6,"B",5,"C",4,"D",3,"E",2,"F",1)</f>
        <v>1</v>
      </c>
    </row>
    <row r="545" spans="1:12" x14ac:dyDescent="0.3">
      <c r="A545" t="s">
        <v>33</v>
      </c>
      <c r="B545">
        <v>40</v>
      </c>
      <c r="C545" s="1">
        <v>60000</v>
      </c>
      <c r="D545" t="s">
        <v>34</v>
      </c>
      <c r="E545" t="s">
        <v>30</v>
      </c>
      <c r="F545" t="s">
        <v>21</v>
      </c>
      <c r="G545" s="11">
        <v>43477</v>
      </c>
      <c r="H545" t="s">
        <v>31</v>
      </c>
      <c r="I545" t="s">
        <v>23</v>
      </c>
      <c r="J545" t="s">
        <v>42</v>
      </c>
      <c r="K545" s="11" t="str">
        <f t="shared" ca="1" si="8"/>
        <v>6 Years</v>
      </c>
      <c r="L545" s="3" cm="1">
        <f t="array" ref="L545">_xlfn.SWITCH(Table13_24[[#This Row],[Performance Score]],"A",6,"B",5,"C",4,"D",3,"E",2,"F",1)</f>
        <v>6</v>
      </c>
    </row>
    <row r="546" spans="1:12" x14ac:dyDescent="0.3">
      <c r="A546" t="s">
        <v>46</v>
      </c>
      <c r="B546">
        <v>25</v>
      </c>
      <c r="C546" s="1">
        <v>65000</v>
      </c>
      <c r="D546" t="s">
        <v>19</v>
      </c>
      <c r="E546" t="s">
        <v>30</v>
      </c>
      <c r="F546" t="s">
        <v>21</v>
      </c>
      <c r="G546" s="11">
        <v>43881</v>
      </c>
      <c r="H546" t="s">
        <v>31</v>
      </c>
      <c r="I546" t="s">
        <v>16</v>
      </c>
      <c r="J546" t="s">
        <v>17</v>
      </c>
      <c r="K546" s="11" t="str">
        <f t="shared" ca="1" si="8"/>
        <v>5 Years</v>
      </c>
      <c r="L546" s="3" cm="1">
        <f t="array" ref="L546">_xlfn.SWITCH(Table13_24[[#This Row],[Performance Score]],"A",6,"B",5,"C",4,"D",3,"E",2,"F",1)</f>
        <v>6</v>
      </c>
    </row>
    <row r="547" spans="1:12" x14ac:dyDescent="0.3">
      <c r="A547" t="s">
        <v>44</v>
      </c>
      <c r="B547">
        <v>40</v>
      </c>
      <c r="C547" s="1">
        <v>60000</v>
      </c>
      <c r="D547" t="s">
        <v>12</v>
      </c>
      <c r="E547" t="s">
        <v>13</v>
      </c>
      <c r="F547" t="s">
        <v>37</v>
      </c>
      <c r="G547" s="11">
        <v>43881</v>
      </c>
      <c r="H547" t="s">
        <v>31</v>
      </c>
      <c r="I547" t="s">
        <v>39</v>
      </c>
      <c r="J547" t="s">
        <v>17</v>
      </c>
      <c r="K547" s="11" t="str">
        <f t="shared" ca="1" si="8"/>
        <v>5 Years</v>
      </c>
      <c r="L547" s="3" cm="1">
        <f t="array" ref="L547">_xlfn.SWITCH(Table13_24[[#This Row],[Performance Score]],"A",6,"B",5,"C",4,"D",3,"E",2,"F",1)</f>
        <v>6</v>
      </c>
    </row>
    <row r="548" spans="1:12" x14ac:dyDescent="0.3">
      <c r="A548" t="s">
        <v>33</v>
      </c>
      <c r="B548">
        <v>30</v>
      </c>
      <c r="C548" s="1">
        <v>60000</v>
      </c>
      <c r="D548" t="s">
        <v>19</v>
      </c>
      <c r="E548" t="s">
        <v>13</v>
      </c>
      <c r="F548" t="s">
        <v>21</v>
      </c>
      <c r="G548" s="11">
        <v>43845</v>
      </c>
      <c r="H548" t="s">
        <v>31</v>
      </c>
      <c r="I548" t="s">
        <v>39</v>
      </c>
      <c r="J548" t="s">
        <v>28</v>
      </c>
      <c r="K548" s="11" t="str">
        <f t="shared" ca="1" si="8"/>
        <v>5 Years</v>
      </c>
      <c r="L548" s="3" cm="1">
        <f t="array" ref="L548">_xlfn.SWITCH(Table13_24[[#This Row],[Performance Score]],"A",6,"B",5,"C",4,"D",3,"E",2,"F",1)</f>
        <v>6</v>
      </c>
    </row>
    <row r="549" spans="1:12" x14ac:dyDescent="0.3">
      <c r="A549" t="s">
        <v>44</v>
      </c>
      <c r="B549">
        <v>36</v>
      </c>
      <c r="C549" s="1">
        <v>55000</v>
      </c>
      <c r="D549" t="s">
        <v>34</v>
      </c>
      <c r="E549" t="s">
        <v>26</v>
      </c>
      <c r="F549" t="s">
        <v>41</v>
      </c>
      <c r="G549" s="11">
        <v>43477</v>
      </c>
      <c r="H549" t="s">
        <v>27</v>
      </c>
      <c r="I549" t="s">
        <v>39</v>
      </c>
      <c r="J549" t="s">
        <v>17</v>
      </c>
      <c r="K549" s="11" t="str">
        <f t="shared" ca="1" si="8"/>
        <v>6 Years</v>
      </c>
      <c r="L549" s="3" cm="1">
        <f t="array" ref="L549">_xlfn.SWITCH(Table13_24[[#This Row],[Performance Score]],"A",6,"B",5,"C",4,"D",3,"E",2,"F",1)</f>
        <v>4</v>
      </c>
    </row>
    <row r="550" spans="1:12" x14ac:dyDescent="0.3">
      <c r="A550" t="s">
        <v>29</v>
      </c>
      <c r="B550">
        <v>35</v>
      </c>
      <c r="C550" s="1">
        <v>70000</v>
      </c>
      <c r="D550" t="s">
        <v>34</v>
      </c>
      <c r="E550" t="s">
        <v>26</v>
      </c>
      <c r="F550" t="s">
        <v>37</v>
      </c>
      <c r="G550" s="11">
        <v>43881</v>
      </c>
      <c r="H550" t="s">
        <v>22</v>
      </c>
      <c r="I550" t="s">
        <v>32</v>
      </c>
      <c r="J550" t="s">
        <v>17</v>
      </c>
      <c r="K550" s="11" t="str">
        <f t="shared" ca="1" si="8"/>
        <v>5 Years</v>
      </c>
      <c r="L550" s="3" cm="1">
        <f t="array" ref="L550">_xlfn.SWITCH(Table13_24[[#This Row],[Performance Score]],"A",6,"B",5,"C",4,"D",3,"E",2,"F",1)</f>
        <v>1</v>
      </c>
    </row>
    <row r="551" spans="1:12" x14ac:dyDescent="0.3">
      <c r="A551" t="s">
        <v>29</v>
      </c>
      <c r="B551">
        <v>50</v>
      </c>
      <c r="C551" s="1">
        <v>70000</v>
      </c>
      <c r="D551" t="s">
        <v>12</v>
      </c>
      <c r="E551" t="s">
        <v>13</v>
      </c>
      <c r="F551" t="s">
        <v>40</v>
      </c>
      <c r="G551" s="11">
        <v>43549</v>
      </c>
      <c r="H551" t="s">
        <v>38</v>
      </c>
      <c r="I551" t="s">
        <v>39</v>
      </c>
      <c r="J551" t="s">
        <v>24</v>
      </c>
      <c r="K551" s="11" t="str">
        <f t="shared" ca="1" si="8"/>
        <v>6 Years</v>
      </c>
      <c r="L551" s="3" cm="1">
        <f t="array" ref="L551">_xlfn.SWITCH(Table13_24[[#This Row],[Performance Score]],"A",6,"B",5,"C",4,"D",3,"E",2,"F",1)</f>
        <v>5</v>
      </c>
    </row>
    <row r="552" spans="1:12" x14ac:dyDescent="0.3">
      <c r="A552" t="s">
        <v>43</v>
      </c>
      <c r="B552">
        <v>36</v>
      </c>
      <c r="C552" s="1">
        <v>48417.431192660551</v>
      </c>
      <c r="D552" t="s">
        <v>12</v>
      </c>
      <c r="E552" t="s">
        <v>20</v>
      </c>
      <c r="F552" t="s">
        <v>41</v>
      </c>
      <c r="G552" s="11">
        <v>43549</v>
      </c>
      <c r="H552" t="s">
        <v>22</v>
      </c>
      <c r="I552" t="s">
        <v>39</v>
      </c>
      <c r="J552" t="s">
        <v>28</v>
      </c>
      <c r="K552" s="11" t="str">
        <f t="shared" ca="1" si="8"/>
        <v>6 Years</v>
      </c>
      <c r="L552" s="3" cm="1">
        <f t="array" ref="L552">_xlfn.SWITCH(Table13_24[[#This Row],[Performance Score]],"A",6,"B",5,"C",4,"D",3,"E",2,"F",1)</f>
        <v>1</v>
      </c>
    </row>
    <row r="553" spans="1:12" x14ac:dyDescent="0.3">
      <c r="A553" t="s">
        <v>36</v>
      </c>
      <c r="B553">
        <v>40</v>
      </c>
      <c r="C553" s="1">
        <v>50742.574257425746</v>
      </c>
      <c r="D553" t="s">
        <v>12</v>
      </c>
      <c r="E553" t="s">
        <v>26</v>
      </c>
      <c r="F553" t="s">
        <v>41</v>
      </c>
      <c r="G553" s="11">
        <v>43477</v>
      </c>
      <c r="H553" t="s">
        <v>27</v>
      </c>
      <c r="I553" t="s">
        <v>16</v>
      </c>
      <c r="J553" t="s">
        <v>17</v>
      </c>
      <c r="K553" s="11" t="str">
        <f t="shared" ca="1" si="8"/>
        <v>6 Years</v>
      </c>
      <c r="L553" s="3" cm="1">
        <f t="array" ref="L553">_xlfn.SWITCH(Table13_24[[#This Row],[Performance Score]],"A",6,"B",5,"C",4,"D",3,"E",2,"F",1)</f>
        <v>4</v>
      </c>
    </row>
    <row r="554" spans="1:12" x14ac:dyDescent="0.3">
      <c r="A554" t="s">
        <v>25</v>
      </c>
      <c r="B554">
        <v>35</v>
      </c>
      <c r="C554" s="1">
        <v>55000</v>
      </c>
      <c r="D554" t="s">
        <v>19</v>
      </c>
      <c r="E554" t="s">
        <v>20</v>
      </c>
      <c r="F554" t="s">
        <v>41</v>
      </c>
      <c r="G554" s="11">
        <v>43881</v>
      </c>
      <c r="H554" t="s">
        <v>31</v>
      </c>
      <c r="I554" t="s">
        <v>23</v>
      </c>
      <c r="J554" t="s">
        <v>24</v>
      </c>
      <c r="K554" s="11" t="str">
        <f t="shared" ca="1" si="8"/>
        <v>5 Years</v>
      </c>
      <c r="L554" s="3" cm="1">
        <f t="array" ref="L554">_xlfn.SWITCH(Table13_24[[#This Row],[Performance Score]],"A",6,"B",5,"C",4,"D",3,"E",2,"F",1)</f>
        <v>6</v>
      </c>
    </row>
    <row r="555" spans="1:12" x14ac:dyDescent="0.3">
      <c r="A555" t="s">
        <v>45</v>
      </c>
      <c r="B555">
        <v>40</v>
      </c>
      <c r="C555" s="1">
        <v>51825</v>
      </c>
      <c r="D555" t="s">
        <v>19</v>
      </c>
      <c r="E555" t="s">
        <v>13</v>
      </c>
      <c r="F555" t="s">
        <v>40</v>
      </c>
      <c r="G555" s="11">
        <v>43845</v>
      </c>
      <c r="H555" t="s">
        <v>27</v>
      </c>
      <c r="I555" t="s">
        <v>32</v>
      </c>
      <c r="J555" t="s">
        <v>28</v>
      </c>
      <c r="K555" s="11" t="str">
        <f t="shared" ca="1" si="8"/>
        <v>5 Years</v>
      </c>
      <c r="L555" s="3" cm="1">
        <f t="array" ref="L555">_xlfn.SWITCH(Table13_24[[#This Row],[Performance Score]],"A",6,"B",5,"C",4,"D",3,"E",2,"F",1)</f>
        <v>4</v>
      </c>
    </row>
    <row r="556" spans="1:12" x14ac:dyDescent="0.3">
      <c r="A556" t="s">
        <v>43</v>
      </c>
      <c r="B556">
        <v>30</v>
      </c>
      <c r="C556" s="1">
        <v>65000</v>
      </c>
      <c r="D556" t="s">
        <v>19</v>
      </c>
      <c r="E556" t="s">
        <v>26</v>
      </c>
      <c r="F556" t="s">
        <v>14</v>
      </c>
      <c r="G556" s="11">
        <v>43845</v>
      </c>
      <c r="H556" t="s">
        <v>15</v>
      </c>
      <c r="I556" t="s">
        <v>39</v>
      </c>
      <c r="J556" t="s">
        <v>42</v>
      </c>
      <c r="K556" s="11" t="str">
        <f t="shared" ca="1" si="8"/>
        <v>5 Years</v>
      </c>
      <c r="L556" s="3" cm="1">
        <f t="array" ref="L556">_xlfn.SWITCH(Table13_24[[#This Row],[Performance Score]],"A",6,"B",5,"C",4,"D",3,"E",2,"F",1)</f>
        <v>3</v>
      </c>
    </row>
    <row r="557" spans="1:12" x14ac:dyDescent="0.3">
      <c r="A557" t="s">
        <v>18</v>
      </c>
      <c r="B557">
        <v>25</v>
      </c>
      <c r="C557" s="1">
        <v>50000</v>
      </c>
      <c r="D557" t="s">
        <v>12</v>
      </c>
      <c r="E557" t="s">
        <v>30</v>
      </c>
      <c r="F557" t="s">
        <v>21</v>
      </c>
      <c r="G557" s="11">
        <v>43845</v>
      </c>
      <c r="H557" t="s">
        <v>15</v>
      </c>
      <c r="I557" t="s">
        <v>32</v>
      </c>
      <c r="J557" t="s">
        <v>24</v>
      </c>
      <c r="K557" s="11" t="str">
        <f t="shared" ca="1" si="8"/>
        <v>5 Years</v>
      </c>
      <c r="L557" s="3" cm="1">
        <f t="array" ref="L557">_xlfn.SWITCH(Table13_24[[#This Row],[Performance Score]],"A",6,"B",5,"C",4,"D",3,"E",2,"F",1)</f>
        <v>3</v>
      </c>
    </row>
    <row r="558" spans="1:12" x14ac:dyDescent="0.3">
      <c r="A558" t="s">
        <v>45</v>
      </c>
      <c r="B558">
        <v>35</v>
      </c>
      <c r="C558" s="1">
        <v>50000</v>
      </c>
      <c r="D558" t="s">
        <v>34</v>
      </c>
      <c r="E558" t="s">
        <v>13</v>
      </c>
      <c r="F558" t="s">
        <v>37</v>
      </c>
      <c r="G558" s="11">
        <v>43549</v>
      </c>
      <c r="H558" t="s">
        <v>22</v>
      </c>
      <c r="I558" t="s">
        <v>39</v>
      </c>
      <c r="J558" t="s">
        <v>17</v>
      </c>
      <c r="K558" s="11" t="str">
        <f t="shared" ca="1" si="8"/>
        <v>6 Years</v>
      </c>
      <c r="L558" s="3" cm="1">
        <f t="array" ref="L558">_xlfn.SWITCH(Table13_24[[#This Row],[Performance Score]],"A",6,"B",5,"C",4,"D",3,"E",2,"F",1)</f>
        <v>1</v>
      </c>
    </row>
    <row r="559" spans="1:12" x14ac:dyDescent="0.3">
      <c r="A559" t="s">
        <v>11</v>
      </c>
      <c r="B559">
        <v>30</v>
      </c>
      <c r="C559" s="1">
        <v>50000</v>
      </c>
      <c r="D559" t="s">
        <v>34</v>
      </c>
      <c r="E559" t="s">
        <v>35</v>
      </c>
      <c r="F559" t="s">
        <v>14</v>
      </c>
      <c r="G559" s="11">
        <v>43881</v>
      </c>
      <c r="H559" t="s">
        <v>22</v>
      </c>
      <c r="I559" t="s">
        <v>32</v>
      </c>
      <c r="J559" t="s">
        <v>17</v>
      </c>
      <c r="K559" s="11" t="str">
        <f t="shared" ca="1" si="8"/>
        <v>5 Years</v>
      </c>
      <c r="L559" s="3" cm="1">
        <f t="array" ref="L559">_xlfn.SWITCH(Table13_24[[#This Row],[Performance Score]],"A",6,"B",5,"C",4,"D",3,"E",2,"F",1)</f>
        <v>1</v>
      </c>
    </row>
    <row r="560" spans="1:12" x14ac:dyDescent="0.3">
      <c r="A560" t="s">
        <v>46</v>
      </c>
      <c r="B560">
        <v>30</v>
      </c>
      <c r="C560" s="1">
        <v>55000</v>
      </c>
      <c r="D560" t="s">
        <v>19</v>
      </c>
      <c r="E560" t="s">
        <v>20</v>
      </c>
      <c r="F560" t="s">
        <v>37</v>
      </c>
      <c r="G560" s="11">
        <v>43881</v>
      </c>
      <c r="H560" t="s">
        <v>38</v>
      </c>
      <c r="I560" t="s">
        <v>39</v>
      </c>
      <c r="J560" t="s">
        <v>28</v>
      </c>
      <c r="K560" s="11" t="str">
        <f t="shared" ca="1" si="8"/>
        <v>5 Years</v>
      </c>
      <c r="L560" s="3" cm="1">
        <f t="array" ref="L560">_xlfn.SWITCH(Table13_24[[#This Row],[Performance Score]],"A",6,"B",5,"C",4,"D",3,"E",2,"F",1)</f>
        <v>5</v>
      </c>
    </row>
    <row r="561" spans="1:12" x14ac:dyDescent="0.3">
      <c r="A561" t="s">
        <v>18</v>
      </c>
      <c r="B561">
        <v>35</v>
      </c>
      <c r="C561" s="1">
        <v>55000</v>
      </c>
      <c r="D561" t="s">
        <v>19</v>
      </c>
      <c r="E561" t="s">
        <v>13</v>
      </c>
      <c r="F561" t="s">
        <v>21</v>
      </c>
      <c r="G561" s="11">
        <v>43549</v>
      </c>
      <c r="H561" t="s">
        <v>38</v>
      </c>
      <c r="I561" t="s">
        <v>23</v>
      </c>
      <c r="J561" t="s">
        <v>24</v>
      </c>
      <c r="K561" s="11" t="str">
        <f t="shared" ca="1" si="8"/>
        <v>6 Years</v>
      </c>
      <c r="L561" s="3" cm="1">
        <f t="array" ref="L561">_xlfn.SWITCH(Table13_24[[#This Row],[Performance Score]],"A",6,"B",5,"C",4,"D",3,"E",2,"F",1)</f>
        <v>5</v>
      </c>
    </row>
    <row r="562" spans="1:12" x14ac:dyDescent="0.3">
      <c r="A562" t="s">
        <v>18</v>
      </c>
      <c r="B562">
        <v>40</v>
      </c>
      <c r="C562" s="1">
        <v>60000</v>
      </c>
      <c r="D562" t="s">
        <v>34</v>
      </c>
      <c r="E562" t="s">
        <v>13</v>
      </c>
      <c r="F562" t="s">
        <v>40</v>
      </c>
      <c r="G562" s="11">
        <v>43845</v>
      </c>
      <c r="H562" t="s">
        <v>15</v>
      </c>
      <c r="I562" t="s">
        <v>23</v>
      </c>
      <c r="J562" t="s">
        <v>42</v>
      </c>
      <c r="K562" s="11" t="str">
        <f t="shared" ca="1" si="8"/>
        <v>5 Years</v>
      </c>
      <c r="L562" s="3" cm="1">
        <f t="array" ref="L562">_xlfn.SWITCH(Table13_24[[#This Row],[Performance Score]],"A",6,"B",5,"C",4,"D",3,"E",2,"F",1)</f>
        <v>3</v>
      </c>
    </row>
    <row r="563" spans="1:12" x14ac:dyDescent="0.3">
      <c r="A563" t="s">
        <v>43</v>
      </c>
      <c r="B563">
        <v>50</v>
      </c>
      <c r="C563" s="1">
        <v>50000</v>
      </c>
      <c r="D563" t="s">
        <v>34</v>
      </c>
      <c r="E563" t="s">
        <v>26</v>
      </c>
      <c r="F563" t="s">
        <v>41</v>
      </c>
      <c r="G563" s="11">
        <v>43845</v>
      </c>
      <c r="H563" t="s">
        <v>31</v>
      </c>
      <c r="I563" t="s">
        <v>32</v>
      </c>
      <c r="J563" t="s">
        <v>17</v>
      </c>
      <c r="K563" s="11" t="str">
        <f t="shared" ca="1" si="8"/>
        <v>5 Years</v>
      </c>
      <c r="L563" s="3" cm="1">
        <f t="array" ref="L563">_xlfn.SWITCH(Table13_24[[#This Row],[Performance Score]],"A",6,"B",5,"C",4,"D",3,"E",2,"F",1)</f>
        <v>6</v>
      </c>
    </row>
    <row r="564" spans="1:12" x14ac:dyDescent="0.3">
      <c r="A564" t="s">
        <v>36</v>
      </c>
      <c r="B564">
        <v>30</v>
      </c>
      <c r="C564" s="1">
        <v>65000</v>
      </c>
      <c r="D564" t="s">
        <v>19</v>
      </c>
      <c r="E564" t="s">
        <v>26</v>
      </c>
      <c r="F564" t="s">
        <v>41</v>
      </c>
      <c r="G564" s="11">
        <v>43477</v>
      </c>
      <c r="H564" t="s">
        <v>27</v>
      </c>
      <c r="I564" t="s">
        <v>16</v>
      </c>
      <c r="J564" t="s">
        <v>17</v>
      </c>
      <c r="K564" s="11" t="str">
        <f t="shared" ca="1" si="8"/>
        <v>6 Years</v>
      </c>
      <c r="L564" s="3" cm="1">
        <f t="array" ref="L564">_xlfn.SWITCH(Table13_24[[#This Row],[Performance Score]],"A",6,"B",5,"C",4,"D",3,"E",2,"F",1)</f>
        <v>4</v>
      </c>
    </row>
    <row r="565" spans="1:12" x14ac:dyDescent="0.3">
      <c r="A565" t="s">
        <v>43</v>
      </c>
      <c r="B565">
        <v>36</v>
      </c>
      <c r="C565" s="1">
        <v>50742.574257425746</v>
      </c>
      <c r="D565" t="s">
        <v>19</v>
      </c>
      <c r="E565" t="s">
        <v>26</v>
      </c>
      <c r="F565" t="s">
        <v>40</v>
      </c>
      <c r="G565" s="11">
        <v>43195</v>
      </c>
      <c r="H565" t="s">
        <v>38</v>
      </c>
      <c r="I565" t="s">
        <v>32</v>
      </c>
      <c r="J565" t="s">
        <v>24</v>
      </c>
      <c r="K565" s="11" t="str">
        <f t="shared" ca="1" si="8"/>
        <v>7 Years</v>
      </c>
      <c r="L565" s="3" cm="1">
        <f t="array" ref="L565">_xlfn.SWITCH(Table13_24[[#This Row],[Performance Score]],"A",6,"B",5,"C",4,"D",3,"E",2,"F",1)</f>
        <v>5</v>
      </c>
    </row>
    <row r="566" spans="1:12" x14ac:dyDescent="0.3">
      <c r="A566" t="s">
        <v>11</v>
      </c>
      <c r="B566">
        <v>30</v>
      </c>
      <c r="C566" s="1">
        <v>65000</v>
      </c>
      <c r="D566" t="s">
        <v>34</v>
      </c>
      <c r="E566" t="s">
        <v>35</v>
      </c>
      <c r="F566" t="s">
        <v>14</v>
      </c>
      <c r="G566" s="11">
        <v>43881</v>
      </c>
      <c r="H566" t="s">
        <v>38</v>
      </c>
      <c r="I566" t="s">
        <v>39</v>
      </c>
      <c r="J566" t="s">
        <v>42</v>
      </c>
      <c r="K566" s="11" t="str">
        <f t="shared" ca="1" si="8"/>
        <v>5 Years</v>
      </c>
      <c r="L566" s="3" cm="1">
        <f t="array" ref="L566">_xlfn.SWITCH(Table13_24[[#This Row],[Performance Score]],"A",6,"B",5,"C",4,"D",3,"E",2,"F",1)</f>
        <v>5</v>
      </c>
    </row>
    <row r="567" spans="1:12" x14ac:dyDescent="0.3">
      <c r="A567" t="s">
        <v>33</v>
      </c>
      <c r="B567">
        <v>50</v>
      </c>
      <c r="C567" s="1">
        <v>50742.574257425746</v>
      </c>
      <c r="D567" t="s">
        <v>12</v>
      </c>
      <c r="E567" t="s">
        <v>26</v>
      </c>
      <c r="F567" t="s">
        <v>14</v>
      </c>
      <c r="G567" s="11">
        <v>43881</v>
      </c>
      <c r="H567" t="s">
        <v>31</v>
      </c>
      <c r="I567" t="s">
        <v>23</v>
      </c>
      <c r="J567" t="s">
        <v>28</v>
      </c>
      <c r="K567" s="11" t="str">
        <f t="shared" ca="1" si="8"/>
        <v>5 Years</v>
      </c>
      <c r="L567" s="3" cm="1">
        <f t="array" ref="L567">_xlfn.SWITCH(Table13_24[[#This Row],[Performance Score]],"A",6,"B",5,"C",4,"D",3,"E",2,"F",1)</f>
        <v>6</v>
      </c>
    </row>
    <row r="568" spans="1:12" x14ac:dyDescent="0.3">
      <c r="A568" t="s">
        <v>33</v>
      </c>
      <c r="B568">
        <v>40</v>
      </c>
      <c r="C568" s="1">
        <v>50000</v>
      </c>
      <c r="D568" t="s">
        <v>19</v>
      </c>
      <c r="E568" t="s">
        <v>13</v>
      </c>
      <c r="F568" t="s">
        <v>37</v>
      </c>
      <c r="G568" s="11">
        <v>43881</v>
      </c>
      <c r="H568" t="s">
        <v>31</v>
      </c>
      <c r="I568" t="s">
        <v>23</v>
      </c>
      <c r="J568" t="s">
        <v>24</v>
      </c>
      <c r="K568" s="11" t="str">
        <f t="shared" ca="1" si="8"/>
        <v>5 Years</v>
      </c>
      <c r="L568" s="3" cm="1">
        <f t="array" ref="L568">_xlfn.SWITCH(Table13_24[[#This Row],[Performance Score]],"A",6,"B",5,"C",4,"D",3,"E",2,"F",1)</f>
        <v>6</v>
      </c>
    </row>
    <row r="569" spans="1:12" x14ac:dyDescent="0.3">
      <c r="A569" t="s">
        <v>36</v>
      </c>
      <c r="B569">
        <v>40</v>
      </c>
      <c r="C569" s="1">
        <v>50000</v>
      </c>
      <c r="D569" t="s">
        <v>34</v>
      </c>
      <c r="E569" t="s">
        <v>26</v>
      </c>
      <c r="F569" t="s">
        <v>40</v>
      </c>
      <c r="G569" s="11">
        <v>43195</v>
      </c>
      <c r="H569" t="s">
        <v>22</v>
      </c>
      <c r="I569" t="s">
        <v>23</v>
      </c>
      <c r="J569" t="s">
        <v>28</v>
      </c>
      <c r="K569" s="11" t="str">
        <f t="shared" ca="1" si="8"/>
        <v>7 Years</v>
      </c>
      <c r="L569" s="3" cm="1">
        <f t="array" ref="L569">_xlfn.SWITCH(Table13_24[[#This Row],[Performance Score]],"A",6,"B",5,"C",4,"D",3,"E",2,"F",1)</f>
        <v>1</v>
      </c>
    </row>
    <row r="570" spans="1:12" x14ac:dyDescent="0.3">
      <c r="A570" t="s">
        <v>11</v>
      </c>
      <c r="B570">
        <v>36</v>
      </c>
      <c r="C570" s="1">
        <v>50000</v>
      </c>
      <c r="D570" t="s">
        <v>34</v>
      </c>
      <c r="E570" t="s">
        <v>30</v>
      </c>
      <c r="F570" t="s">
        <v>14</v>
      </c>
      <c r="G570" s="11">
        <v>43477</v>
      </c>
      <c r="H570" t="s">
        <v>27</v>
      </c>
      <c r="I570" t="s">
        <v>16</v>
      </c>
      <c r="J570" t="s">
        <v>17</v>
      </c>
      <c r="K570" s="11" t="str">
        <f t="shared" ca="1" si="8"/>
        <v>6 Years</v>
      </c>
      <c r="L570" s="3" cm="1">
        <f t="array" ref="L570">_xlfn.SWITCH(Table13_24[[#This Row],[Performance Score]],"A",6,"B",5,"C",4,"D",3,"E",2,"F",1)</f>
        <v>4</v>
      </c>
    </row>
    <row r="571" spans="1:12" x14ac:dyDescent="0.3">
      <c r="A571" t="s">
        <v>36</v>
      </c>
      <c r="B571">
        <v>30</v>
      </c>
      <c r="C571" s="1">
        <v>55000</v>
      </c>
      <c r="D571" t="s">
        <v>34</v>
      </c>
      <c r="E571" t="s">
        <v>26</v>
      </c>
      <c r="F571" t="s">
        <v>40</v>
      </c>
      <c r="G571" s="11">
        <v>43195</v>
      </c>
      <c r="H571" t="s">
        <v>31</v>
      </c>
      <c r="I571" t="s">
        <v>16</v>
      </c>
      <c r="J571" t="s">
        <v>28</v>
      </c>
      <c r="K571" s="11" t="str">
        <f t="shared" ca="1" si="8"/>
        <v>7 Years</v>
      </c>
      <c r="L571" s="3" cm="1">
        <f t="array" ref="L571">_xlfn.SWITCH(Table13_24[[#This Row],[Performance Score]],"A",6,"B",5,"C",4,"D",3,"E",2,"F",1)</f>
        <v>6</v>
      </c>
    </row>
    <row r="572" spans="1:12" x14ac:dyDescent="0.3">
      <c r="A572" t="s">
        <v>44</v>
      </c>
      <c r="B572">
        <v>40</v>
      </c>
      <c r="C572" s="1">
        <v>49144.385026737968</v>
      </c>
      <c r="D572" t="s">
        <v>34</v>
      </c>
      <c r="E572" t="s">
        <v>35</v>
      </c>
      <c r="F572" t="s">
        <v>21</v>
      </c>
      <c r="G572" s="11">
        <v>43845</v>
      </c>
      <c r="H572" t="s">
        <v>38</v>
      </c>
      <c r="I572" t="s">
        <v>39</v>
      </c>
      <c r="J572" t="s">
        <v>42</v>
      </c>
      <c r="K572" s="11" t="str">
        <f t="shared" ca="1" si="8"/>
        <v>5 Years</v>
      </c>
      <c r="L572" s="3" cm="1">
        <f t="array" ref="L572">_xlfn.SWITCH(Table13_24[[#This Row],[Performance Score]],"A",6,"B",5,"C",4,"D",3,"E",2,"F",1)</f>
        <v>5</v>
      </c>
    </row>
    <row r="573" spans="1:12" x14ac:dyDescent="0.3">
      <c r="A573" t="s">
        <v>33</v>
      </c>
      <c r="B573">
        <v>50</v>
      </c>
      <c r="C573" s="1">
        <v>55000</v>
      </c>
      <c r="D573" t="s">
        <v>12</v>
      </c>
      <c r="E573" t="s">
        <v>30</v>
      </c>
      <c r="F573" t="s">
        <v>41</v>
      </c>
      <c r="G573" s="11">
        <v>43845</v>
      </c>
      <c r="H573" t="s">
        <v>38</v>
      </c>
      <c r="I573" t="s">
        <v>32</v>
      </c>
      <c r="J573" t="s">
        <v>17</v>
      </c>
      <c r="K573" s="11" t="str">
        <f t="shared" ca="1" si="8"/>
        <v>5 Years</v>
      </c>
      <c r="L573" s="3" cm="1">
        <f t="array" ref="L573">_xlfn.SWITCH(Table13_24[[#This Row],[Performance Score]],"A",6,"B",5,"C",4,"D",3,"E",2,"F",1)</f>
        <v>5</v>
      </c>
    </row>
    <row r="574" spans="1:12" x14ac:dyDescent="0.3">
      <c r="A574" t="s">
        <v>18</v>
      </c>
      <c r="B574">
        <v>35</v>
      </c>
      <c r="C574" s="1">
        <v>55000</v>
      </c>
      <c r="D574" t="s">
        <v>34</v>
      </c>
      <c r="E574" t="s">
        <v>13</v>
      </c>
      <c r="F574" t="s">
        <v>41</v>
      </c>
      <c r="G574" s="11">
        <v>43881</v>
      </c>
      <c r="H574" t="s">
        <v>15</v>
      </c>
      <c r="I574" t="s">
        <v>32</v>
      </c>
      <c r="J574" t="s">
        <v>42</v>
      </c>
      <c r="K574" s="11" t="str">
        <f t="shared" ca="1" si="8"/>
        <v>5 Years</v>
      </c>
      <c r="L574" s="3" cm="1">
        <f t="array" ref="L574">_xlfn.SWITCH(Table13_24[[#This Row],[Performance Score]],"A",6,"B",5,"C",4,"D",3,"E",2,"F",1)</f>
        <v>3</v>
      </c>
    </row>
    <row r="575" spans="1:12" x14ac:dyDescent="0.3">
      <c r="A575" t="s">
        <v>25</v>
      </c>
      <c r="B575">
        <v>25</v>
      </c>
      <c r="C575" s="1">
        <v>70000</v>
      </c>
      <c r="D575" t="s">
        <v>19</v>
      </c>
      <c r="E575" t="s">
        <v>13</v>
      </c>
      <c r="F575" t="s">
        <v>41</v>
      </c>
      <c r="G575" s="11">
        <v>43549</v>
      </c>
      <c r="H575" t="s">
        <v>31</v>
      </c>
      <c r="I575" t="s">
        <v>39</v>
      </c>
      <c r="J575" t="s">
        <v>28</v>
      </c>
      <c r="K575" s="11" t="str">
        <f t="shared" ca="1" si="8"/>
        <v>6 Years</v>
      </c>
      <c r="L575" s="3" cm="1">
        <f t="array" ref="L575">_xlfn.SWITCH(Table13_24[[#This Row],[Performance Score]],"A",6,"B",5,"C",4,"D",3,"E",2,"F",1)</f>
        <v>6</v>
      </c>
    </row>
    <row r="576" spans="1:12" x14ac:dyDescent="0.3">
      <c r="A576" t="s">
        <v>46</v>
      </c>
      <c r="B576">
        <v>25</v>
      </c>
      <c r="C576" s="1">
        <v>65000</v>
      </c>
      <c r="D576" t="s">
        <v>12</v>
      </c>
      <c r="E576" t="s">
        <v>20</v>
      </c>
      <c r="F576" t="s">
        <v>40</v>
      </c>
      <c r="G576" s="11">
        <v>43881</v>
      </c>
      <c r="H576" t="s">
        <v>22</v>
      </c>
      <c r="I576" t="s">
        <v>23</v>
      </c>
      <c r="J576" t="s">
        <v>24</v>
      </c>
      <c r="K576" s="11" t="str">
        <f t="shared" ca="1" si="8"/>
        <v>5 Years</v>
      </c>
      <c r="L576" s="3" cm="1">
        <f t="array" ref="L576">_xlfn.SWITCH(Table13_24[[#This Row],[Performance Score]],"A",6,"B",5,"C",4,"D",3,"E",2,"F",1)</f>
        <v>1</v>
      </c>
    </row>
    <row r="577" spans="1:12" x14ac:dyDescent="0.3">
      <c r="A577" t="s">
        <v>11</v>
      </c>
      <c r="B577">
        <v>25</v>
      </c>
      <c r="C577" s="1">
        <v>65000</v>
      </c>
      <c r="D577" t="s">
        <v>34</v>
      </c>
      <c r="E577" t="s">
        <v>30</v>
      </c>
      <c r="F577" t="s">
        <v>40</v>
      </c>
      <c r="G577" s="11">
        <v>43549</v>
      </c>
      <c r="H577" t="s">
        <v>27</v>
      </c>
      <c r="I577" t="s">
        <v>16</v>
      </c>
      <c r="J577" t="s">
        <v>17</v>
      </c>
      <c r="K577" s="11" t="str">
        <f t="shared" ca="1" si="8"/>
        <v>6 Years</v>
      </c>
      <c r="L577" s="3" cm="1">
        <f t="array" ref="L577">_xlfn.SWITCH(Table13_24[[#This Row],[Performance Score]],"A",6,"B",5,"C",4,"D",3,"E",2,"F",1)</f>
        <v>4</v>
      </c>
    </row>
    <row r="578" spans="1:12" x14ac:dyDescent="0.3">
      <c r="A578" t="s">
        <v>45</v>
      </c>
      <c r="B578">
        <v>30</v>
      </c>
      <c r="C578" s="1">
        <v>60000</v>
      </c>
      <c r="D578" t="s">
        <v>12</v>
      </c>
      <c r="E578" t="s">
        <v>20</v>
      </c>
      <c r="F578" t="s">
        <v>37</v>
      </c>
      <c r="G578" s="11">
        <v>43195</v>
      </c>
      <c r="H578" t="s">
        <v>22</v>
      </c>
      <c r="I578" t="s">
        <v>39</v>
      </c>
      <c r="J578" t="s">
        <v>17</v>
      </c>
      <c r="K578" s="11" t="str">
        <f t="shared" ca="1" si="8"/>
        <v>7 Years</v>
      </c>
      <c r="L578" s="3" cm="1">
        <f t="array" ref="L578">_xlfn.SWITCH(Table13_24[[#This Row],[Performance Score]],"A",6,"B",5,"C",4,"D",3,"E",2,"F",1)</f>
        <v>1</v>
      </c>
    </row>
    <row r="579" spans="1:12" x14ac:dyDescent="0.3">
      <c r="A579" t="s">
        <v>36</v>
      </c>
      <c r="B579">
        <v>36</v>
      </c>
      <c r="C579" s="1">
        <v>55000</v>
      </c>
      <c r="D579" t="s">
        <v>19</v>
      </c>
      <c r="E579" t="s">
        <v>30</v>
      </c>
      <c r="F579" t="s">
        <v>41</v>
      </c>
      <c r="G579" s="11">
        <v>43845</v>
      </c>
      <c r="H579" t="s">
        <v>38</v>
      </c>
      <c r="I579" t="s">
        <v>39</v>
      </c>
      <c r="J579" t="s">
        <v>24</v>
      </c>
      <c r="K579" s="11" t="str">
        <f t="shared" ref="K579:K642" ca="1" si="9">DATEDIF(G579,TODAY(),"Y") &amp; " Years"</f>
        <v>5 Years</v>
      </c>
      <c r="L579" s="3" cm="1">
        <f t="array" ref="L579">_xlfn.SWITCH(Table13_24[[#This Row],[Performance Score]],"A",6,"B",5,"C",4,"D",3,"E",2,"F",1)</f>
        <v>5</v>
      </c>
    </row>
    <row r="580" spans="1:12" x14ac:dyDescent="0.3">
      <c r="A580" t="s">
        <v>46</v>
      </c>
      <c r="B580">
        <v>40</v>
      </c>
      <c r="C580" s="1">
        <v>50777.202072538857</v>
      </c>
      <c r="D580" t="s">
        <v>34</v>
      </c>
      <c r="E580" t="s">
        <v>30</v>
      </c>
      <c r="F580" t="s">
        <v>37</v>
      </c>
      <c r="G580" s="11">
        <v>43549</v>
      </c>
      <c r="H580" t="s">
        <v>22</v>
      </c>
      <c r="I580" t="s">
        <v>16</v>
      </c>
      <c r="J580" t="s">
        <v>24</v>
      </c>
      <c r="K580" s="11" t="str">
        <f t="shared" ca="1" si="9"/>
        <v>6 Years</v>
      </c>
      <c r="L580" s="3" cm="1">
        <f t="array" ref="L580">_xlfn.SWITCH(Table13_24[[#This Row],[Performance Score]],"A",6,"B",5,"C",4,"D",3,"E",2,"F",1)</f>
        <v>1</v>
      </c>
    </row>
    <row r="581" spans="1:12" x14ac:dyDescent="0.3">
      <c r="A581" t="s">
        <v>45</v>
      </c>
      <c r="B581">
        <v>35</v>
      </c>
      <c r="C581" s="1">
        <v>70000</v>
      </c>
      <c r="D581" t="s">
        <v>19</v>
      </c>
      <c r="E581" t="s">
        <v>35</v>
      </c>
      <c r="F581" t="s">
        <v>41</v>
      </c>
      <c r="G581" s="11">
        <v>43195</v>
      </c>
      <c r="H581" t="s">
        <v>38</v>
      </c>
      <c r="I581" t="s">
        <v>32</v>
      </c>
      <c r="J581" t="s">
        <v>42</v>
      </c>
      <c r="K581" s="11" t="str">
        <f t="shared" ca="1" si="9"/>
        <v>7 Years</v>
      </c>
      <c r="L581" s="3" cm="1">
        <f t="array" ref="L581">_xlfn.SWITCH(Table13_24[[#This Row],[Performance Score]],"A",6,"B",5,"C",4,"D",3,"E",2,"F",1)</f>
        <v>5</v>
      </c>
    </row>
    <row r="582" spans="1:12" x14ac:dyDescent="0.3">
      <c r="A582" t="s">
        <v>46</v>
      </c>
      <c r="B582">
        <v>50</v>
      </c>
      <c r="C582" s="1">
        <v>70000</v>
      </c>
      <c r="D582" t="s">
        <v>34</v>
      </c>
      <c r="E582" t="s">
        <v>20</v>
      </c>
      <c r="F582" t="s">
        <v>37</v>
      </c>
      <c r="G582" s="11">
        <v>43845</v>
      </c>
      <c r="H582" t="s">
        <v>38</v>
      </c>
      <c r="I582" t="s">
        <v>23</v>
      </c>
      <c r="J582" t="s">
        <v>28</v>
      </c>
      <c r="K582" s="11" t="str">
        <f t="shared" ca="1" si="9"/>
        <v>5 Years</v>
      </c>
      <c r="L582" s="3" cm="1">
        <f t="array" ref="L582">_xlfn.SWITCH(Table13_24[[#This Row],[Performance Score]],"A",6,"B",5,"C",4,"D",3,"E",2,"F",1)</f>
        <v>5</v>
      </c>
    </row>
    <row r="583" spans="1:12" x14ac:dyDescent="0.3">
      <c r="A583" t="s">
        <v>25</v>
      </c>
      <c r="B583">
        <v>35</v>
      </c>
      <c r="C583" s="1">
        <v>65000</v>
      </c>
      <c r="D583" t="s">
        <v>34</v>
      </c>
      <c r="E583" t="s">
        <v>35</v>
      </c>
      <c r="F583" t="s">
        <v>37</v>
      </c>
      <c r="G583" s="11">
        <v>43549</v>
      </c>
      <c r="H583" t="s">
        <v>38</v>
      </c>
      <c r="I583" t="s">
        <v>32</v>
      </c>
      <c r="J583" t="s">
        <v>42</v>
      </c>
      <c r="K583" s="11" t="str">
        <f t="shared" ca="1" si="9"/>
        <v>6 Years</v>
      </c>
      <c r="L583" s="3" cm="1">
        <f t="array" ref="L583">_xlfn.SWITCH(Table13_24[[#This Row],[Performance Score]],"A",6,"B",5,"C",4,"D",3,"E",2,"F",1)</f>
        <v>5</v>
      </c>
    </row>
    <row r="584" spans="1:12" x14ac:dyDescent="0.3">
      <c r="A584" t="s">
        <v>45</v>
      </c>
      <c r="B584">
        <v>50</v>
      </c>
      <c r="C584" s="1">
        <v>55000</v>
      </c>
      <c r="D584" t="s">
        <v>34</v>
      </c>
      <c r="E584" t="s">
        <v>30</v>
      </c>
      <c r="F584" t="s">
        <v>21</v>
      </c>
      <c r="G584" s="11">
        <v>43881</v>
      </c>
      <c r="H584" t="s">
        <v>38</v>
      </c>
      <c r="I584" t="s">
        <v>39</v>
      </c>
      <c r="J584" t="s">
        <v>28</v>
      </c>
      <c r="K584" s="11" t="str">
        <f t="shared" ca="1" si="9"/>
        <v>5 Years</v>
      </c>
      <c r="L584" s="3" cm="1">
        <f t="array" ref="L584">_xlfn.SWITCH(Table13_24[[#This Row],[Performance Score]],"A",6,"B",5,"C",4,"D",3,"E",2,"F",1)</f>
        <v>5</v>
      </c>
    </row>
    <row r="585" spans="1:12" x14ac:dyDescent="0.3">
      <c r="A585" t="s">
        <v>43</v>
      </c>
      <c r="B585">
        <v>30</v>
      </c>
      <c r="C585" s="1">
        <v>60000</v>
      </c>
      <c r="D585" t="s">
        <v>34</v>
      </c>
      <c r="E585" t="s">
        <v>13</v>
      </c>
      <c r="F585" t="s">
        <v>37</v>
      </c>
      <c r="G585" s="11">
        <v>43881</v>
      </c>
      <c r="H585" t="s">
        <v>38</v>
      </c>
      <c r="I585" t="s">
        <v>23</v>
      </c>
      <c r="J585" t="s">
        <v>42</v>
      </c>
      <c r="K585" s="11" t="str">
        <f t="shared" ca="1" si="9"/>
        <v>5 Years</v>
      </c>
      <c r="L585" s="3" cm="1">
        <f t="array" ref="L585">_xlfn.SWITCH(Table13_24[[#This Row],[Performance Score]],"A",6,"B",5,"C",4,"D",3,"E",2,"F",1)</f>
        <v>5</v>
      </c>
    </row>
    <row r="586" spans="1:12" x14ac:dyDescent="0.3">
      <c r="A586" t="s">
        <v>29</v>
      </c>
      <c r="B586">
        <v>25</v>
      </c>
      <c r="C586" s="1">
        <v>55000</v>
      </c>
      <c r="D586" t="s">
        <v>34</v>
      </c>
      <c r="E586" t="s">
        <v>30</v>
      </c>
      <c r="F586" t="s">
        <v>40</v>
      </c>
      <c r="G586" s="11">
        <v>43881</v>
      </c>
      <c r="H586" t="s">
        <v>15</v>
      </c>
      <c r="I586" t="s">
        <v>39</v>
      </c>
      <c r="J586" t="s">
        <v>24</v>
      </c>
      <c r="K586" s="11" t="str">
        <f t="shared" ca="1" si="9"/>
        <v>5 Years</v>
      </c>
      <c r="L586" s="3" cm="1">
        <f t="array" ref="L586">_xlfn.SWITCH(Table13_24[[#This Row],[Performance Score]],"A",6,"B",5,"C",4,"D",3,"E",2,"F",1)</f>
        <v>3</v>
      </c>
    </row>
    <row r="587" spans="1:12" x14ac:dyDescent="0.3">
      <c r="A587" t="s">
        <v>43</v>
      </c>
      <c r="B587">
        <v>30</v>
      </c>
      <c r="C587" s="1">
        <v>50000</v>
      </c>
      <c r="D587" t="s">
        <v>12</v>
      </c>
      <c r="E587" t="s">
        <v>35</v>
      </c>
      <c r="F587" t="s">
        <v>37</v>
      </c>
      <c r="G587" s="11">
        <v>43195</v>
      </c>
      <c r="H587" t="s">
        <v>22</v>
      </c>
      <c r="I587" t="s">
        <v>39</v>
      </c>
      <c r="J587" t="s">
        <v>17</v>
      </c>
      <c r="K587" s="11" t="str">
        <f t="shared" ca="1" si="9"/>
        <v>7 Years</v>
      </c>
      <c r="L587" s="3" cm="1">
        <f t="array" ref="L587">_xlfn.SWITCH(Table13_24[[#This Row],[Performance Score]],"A",6,"B",5,"C",4,"D",3,"E",2,"F",1)</f>
        <v>1</v>
      </c>
    </row>
    <row r="588" spans="1:12" x14ac:dyDescent="0.3">
      <c r="A588" t="s">
        <v>33</v>
      </c>
      <c r="B588">
        <v>36</v>
      </c>
      <c r="C588" s="1">
        <v>55000</v>
      </c>
      <c r="D588" t="s">
        <v>34</v>
      </c>
      <c r="E588" t="s">
        <v>20</v>
      </c>
      <c r="F588" t="s">
        <v>41</v>
      </c>
      <c r="G588" s="11">
        <v>43881</v>
      </c>
      <c r="H588" t="s">
        <v>15</v>
      </c>
      <c r="I588" t="s">
        <v>32</v>
      </c>
      <c r="J588" t="s">
        <v>28</v>
      </c>
      <c r="K588" s="11" t="str">
        <f t="shared" ca="1" si="9"/>
        <v>5 Years</v>
      </c>
      <c r="L588" s="3" cm="1">
        <f t="array" ref="L588">_xlfn.SWITCH(Table13_24[[#This Row],[Performance Score]],"A",6,"B",5,"C",4,"D",3,"E",2,"F",1)</f>
        <v>3</v>
      </c>
    </row>
    <row r="589" spans="1:12" x14ac:dyDescent="0.3">
      <c r="A589" t="s">
        <v>29</v>
      </c>
      <c r="B589">
        <v>36</v>
      </c>
      <c r="C589" s="1">
        <v>50000</v>
      </c>
      <c r="D589" t="s">
        <v>34</v>
      </c>
      <c r="E589" t="s">
        <v>20</v>
      </c>
      <c r="F589" t="s">
        <v>37</v>
      </c>
      <c r="G589" s="11">
        <v>43477</v>
      </c>
      <c r="H589" t="s">
        <v>15</v>
      </c>
      <c r="I589" t="s">
        <v>32</v>
      </c>
      <c r="J589" t="s">
        <v>17</v>
      </c>
      <c r="K589" s="11" t="str">
        <f t="shared" ca="1" si="9"/>
        <v>6 Years</v>
      </c>
      <c r="L589" s="3" cm="1">
        <f t="array" ref="L589">_xlfn.SWITCH(Table13_24[[#This Row],[Performance Score]],"A",6,"B",5,"C",4,"D",3,"E",2,"F",1)</f>
        <v>3</v>
      </c>
    </row>
    <row r="590" spans="1:12" x14ac:dyDescent="0.3">
      <c r="A590" t="s">
        <v>43</v>
      </c>
      <c r="B590">
        <v>50</v>
      </c>
      <c r="C590" s="1">
        <v>50000</v>
      </c>
      <c r="D590" t="s">
        <v>12</v>
      </c>
      <c r="E590" t="s">
        <v>35</v>
      </c>
      <c r="F590" t="s">
        <v>14</v>
      </c>
      <c r="G590" s="11">
        <v>43845</v>
      </c>
      <c r="H590" t="s">
        <v>31</v>
      </c>
      <c r="I590" t="s">
        <v>32</v>
      </c>
      <c r="J590" t="s">
        <v>17</v>
      </c>
      <c r="K590" s="11" t="str">
        <f t="shared" ca="1" si="9"/>
        <v>5 Years</v>
      </c>
      <c r="L590" s="3" cm="1">
        <f t="array" ref="L590">_xlfn.SWITCH(Table13_24[[#This Row],[Performance Score]],"A",6,"B",5,"C",4,"D",3,"E",2,"F",1)</f>
        <v>6</v>
      </c>
    </row>
    <row r="591" spans="1:12" x14ac:dyDescent="0.3">
      <c r="A591" t="s">
        <v>29</v>
      </c>
      <c r="B591">
        <v>40</v>
      </c>
      <c r="C591" s="1">
        <v>60000</v>
      </c>
      <c r="D591" t="s">
        <v>12</v>
      </c>
      <c r="E591" t="s">
        <v>20</v>
      </c>
      <c r="F591" t="s">
        <v>41</v>
      </c>
      <c r="G591" s="11">
        <v>43195</v>
      </c>
      <c r="H591" t="s">
        <v>31</v>
      </c>
      <c r="I591" t="s">
        <v>16</v>
      </c>
      <c r="J591" t="s">
        <v>24</v>
      </c>
      <c r="K591" s="11" t="str">
        <f t="shared" ca="1" si="9"/>
        <v>7 Years</v>
      </c>
      <c r="L591" s="3" cm="1">
        <f t="array" ref="L591">_xlfn.SWITCH(Table13_24[[#This Row],[Performance Score]],"A",6,"B",5,"C",4,"D",3,"E",2,"F",1)</f>
        <v>6</v>
      </c>
    </row>
    <row r="592" spans="1:12" x14ac:dyDescent="0.3">
      <c r="A592" t="s">
        <v>29</v>
      </c>
      <c r="B592">
        <v>40</v>
      </c>
      <c r="C592" s="1">
        <v>50742.574257425746</v>
      </c>
      <c r="D592" t="s">
        <v>12</v>
      </c>
      <c r="E592" t="s">
        <v>26</v>
      </c>
      <c r="F592" t="s">
        <v>14</v>
      </c>
      <c r="G592" s="11">
        <v>43881</v>
      </c>
      <c r="H592" t="s">
        <v>31</v>
      </c>
      <c r="I592" t="s">
        <v>39</v>
      </c>
      <c r="J592" t="s">
        <v>42</v>
      </c>
      <c r="K592" s="11" t="str">
        <f t="shared" ca="1" si="9"/>
        <v>5 Years</v>
      </c>
      <c r="L592" s="3" cm="1">
        <f t="array" ref="L592">_xlfn.SWITCH(Table13_24[[#This Row],[Performance Score]],"A",6,"B",5,"C",4,"D",3,"E",2,"F",1)</f>
        <v>6</v>
      </c>
    </row>
    <row r="593" spans="1:12" x14ac:dyDescent="0.3">
      <c r="A593" t="s">
        <v>18</v>
      </c>
      <c r="B593">
        <v>50</v>
      </c>
      <c r="C593" s="1">
        <v>65000</v>
      </c>
      <c r="D593" t="s">
        <v>12</v>
      </c>
      <c r="E593" t="s">
        <v>13</v>
      </c>
      <c r="F593" t="s">
        <v>41</v>
      </c>
      <c r="G593" s="11">
        <v>43845</v>
      </c>
      <c r="H593" t="s">
        <v>27</v>
      </c>
      <c r="I593" t="s">
        <v>23</v>
      </c>
      <c r="J593" t="s">
        <v>42</v>
      </c>
      <c r="K593" s="11" t="str">
        <f t="shared" ca="1" si="9"/>
        <v>5 Years</v>
      </c>
      <c r="L593" s="3" cm="1">
        <f t="array" ref="L593">_xlfn.SWITCH(Table13_24[[#This Row],[Performance Score]],"A",6,"B",5,"C",4,"D",3,"E",2,"F",1)</f>
        <v>4</v>
      </c>
    </row>
    <row r="594" spans="1:12" x14ac:dyDescent="0.3">
      <c r="A594" t="s">
        <v>36</v>
      </c>
      <c r="B594">
        <v>36</v>
      </c>
      <c r="C594" s="1">
        <v>55000</v>
      </c>
      <c r="D594" t="s">
        <v>12</v>
      </c>
      <c r="E594" t="s">
        <v>13</v>
      </c>
      <c r="F594" t="s">
        <v>40</v>
      </c>
      <c r="G594" s="11">
        <v>43549</v>
      </c>
      <c r="H594" t="s">
        <v>31</v>
      </c>
      <c r="I594" t="s">
        <v>32</v>
      </c>
      <c r="J594" t="s">
        <v>24</v>
      </c>
      <c r="K594" s="11" t="str">
        <f t="shared" ca="1" si="9"/>
        <v>6 Years</v>
      </c>
      <c r="L594" s="3" cm="1">
        <f t="array" ref="L594">_xlfn.SWITCH(Table13_24[[#This Row],[Performance Score]],"A",6,"B",5,"C",4,"D",3,"E",2,"F",1)</f>
        <v>6</v>
      </c>
    </row>
    <row r="595" spans="1:12" x14ac:dyDescent="0.3">
      <c r="A595" t="s">
        <v>36</v>
      </c>
      <c r="B595">
        <v>36</v>
      </c>
      <c r="C595" s="1">
        <v>50000</v>
      </c>
      <c r="D595" t="s">
        <v>12</v>
      </c>
      <c r="E595" t="s">
        <v>13</v>
      </c>
      <c r="F595" t="s">
        <v>40</v>
      </c>
      <c r="G595" s="11">
        <v>43881</v>
      </c>
      <c r="H595" t="s">
        <v>22</v>
      </c>
      <c r="I595" t="s">
        <v>32</v>
      </c>
      <c r="J595" t="s">
        <v>17</v>
      </c>
      <c r="K595" s="11" t="str">
        <f t="shared" ca="1" si="9"/>
        <v>5 Years</v>
      </c>
      <c r="L595" s="3" cm="1">
        <f t="array" ref="L595">_xlfn.SWITCH(Table13_24[[#This Row],[Performance Score]],"A",6,"B",5,"C",4,"D",3,"E",2,"F",1)</f>
        <v>1</v>
      </c>
    </row>
    <row r="596" spans="1:12" x14ac:dyDescent="0.3">
      <c r="A596" t="s">
        <v>18</v>
      </c>
      <c r="B596">
        <v>36</v>
      </c>
      <c r="C596" s="1">
        <v>55000</v>
      </c>
      <c r="D596" t="s">
        <v>34</v>
      </c>
      <c r="E596" t="s">
        <v>20</v>
      </c>
      <c r="F596" t="s">
        <v>40</v>
      </c>
      <c r="G596" s="11">
        <v>43845</v>
      </c>
      <c r="H596" t="s">
        <v>15</v>
      </c>
      <c r="I596" t="s">
        <v>16</v>
      </c>
      <c r="J596" t="s">
        <v>17</v>
      </c>
      <c r="K596" s="11" t="str">
        <f t="shared" ca="1" si="9"/>
        <v>5 Years</v>
      </c>
      <c r="L596" s="3" cm="1">
        <f t="array" ref="L596">_xlfn.SWITCH(Table13_24[[#This Row],[Performance Score]],"A",6,"B",5,"C",4,"D",3,"E",2,"F",1)</f>
        <v>3</v>
      </c>
    </row>
    <row r="597" spans="1:12" x14ac:dyDescent="0.3">
      <c r="A597" t="s">
        <v>46</v>
      </c>
      <c r="B597">
        <v>30</v>
      </c>
      <c r="C597" s="1">
        <v>48417.431192660551</v>
      </c>
      <c r="D597" t="s">
        <v>34</v>
      </c>
      <c r="E597" t="s">
        <v>20</v>
      </c>
      <c r="F597" t="s">
        <v>14</v>
      </c>
      <c r="G597" s="11">
        <v>43477</v>
      </c>
      <c r="H597" t="s">
        <v>22</v>
      </c>
      <c r="I597" t="s">
        <v>23</v>
      </c>
      <c r="J597" t="s">
        <v>42</v>
      </c>
      <c r="K597" s="11" t="str">
        <f t="shared" ca="1" si="9"/>
        <v>6 Years</v>
      </c>
      <c r="L597" s="3" cm="1">
        <f t="array" ref="L597">_xlfn.SWITCH(Table13_24[[#This Row],[Performance Score]],"A",6,"B",5,"C",4,"D",3,"E",2,"F",1)</f>
        <v>1</v>
      </c>
    </row>
    <row r="598" spans="1:12" x14ac:dyDescent="0.3">
      <c r="A598" t="s">
        <v>44</v>
      </c>
      <c r="B598">
        <v>36</v>
      </c>
      <c r="C598" s="1">
        <v>65000</v>
      </c>
      <c r="D598" t="s">
        <v>19</v>
      </c>
      <c r="E598" t="s">
        <v>30</v>
      </c>
      <c r="F598" t="s">
        <v>21</v>
      </c>
      <c r="G598" s="11">
        <v>43549</v>
      </c>
      <c r="H598" t="s">
        <v>31</v>
      </c>
      <c r="I598" t="s">
        <v>39</v>
      </c>
      <c r="J598" t="s">
        <v>28</v>
      </c>
      <c r="K598" s="11" t="str">
        <f t="shared" ca="1" si="9"/>
        <v>6 Years</v>
      </c>
      <c r="L598" s="3" cm="1">
        <f t="array" ref="L598">_xlfn.SWITCH(Table13_24[[#This Row],[Performance Score]],"A",6,"B",5,"C",4,"D",3,"E",2,"F",1)</f>
        <v>6</v>
      </c>
    </row>
    <row r="599" spans="1:12" x14ac:dyDescent="0.3">
      <c r="A599" t="s">
        <v>46</v>
      </c>
      <c r="B599">
        <v>35</v>
      </c>
      <c r="C599" s="1">
        <v>50777.202072538857</v>
      </c>
      <c r="D599" t="s">
        <v>34</v>
      </c>
      <c r="E599" t="s">
        <v>30</v>
      </c>
      <c r="F599" t="s">
        <v>41</v>
      </c>
      <c r="G599" s="11">
        <v>43477</v>
      </c>
      <c r="H599" t="s">
        <v>27</v>
      </c>
      <c r="I599" t="s">
        <v>39</v>
      </c>
      <c r="J599" t="s">
        <v>17</v>
      </c>
      <c r="K599" s="11" t="str">
        <f t="shared" ca="1" si="9"/>
        <v>6 Years</v>
      </c>
      <c r="L599" s="3" cm="1">
        <f t="array" ref="L599">_xlfn.SWITCH(Table13_24[[#This Row],[Performance Score]],"A",6,"B",5,"C",4,"D",3,"E",2,"F",1)</f>
        <v>4</v>
      </c>
    </row>
    <row r="600" spans="1:12" x14ac:dyDescent="0.3">
      <c r="A600" t="s">
        <v>45</v>
      </c>
      <c r="B600">
        <v>25</v>
      </c>
      <c r="C600" s="1">
        <v>65000</v>
      </c>
      <c r="D600" t="s">
        <v>34</v>
      </c>
      <c r="E600" t="s">
        <v>13</v>
      </c>
      <c r="F600" t="s">
        <v>40</v>
      </c>
      <c r="G600" s="11">
        <v>43845</v>
      </c>
      <c r="H600" t="s">
        <v>27</v>
      </c>
      <c r="I600" t="s">
        <v>16</v>
      </c>
      <c r="J600" t="s">
        <v>28</v>
      </c>
      <c r="K600" s="11" t="str">
        <f t="shared" ca="1" si="9"/>
        <v>5 Years</v>
      </c>
      <c r="L600" s="3" cm="1">
        <f t="array" ref="L600">_xlfn.SWITCH(Table13_24[[#This Row],[Performance Score]],"A",6,"B",5,"C",4,"D",3,"E",2,"F",1)</f>
        <v>4</v>
      </c>
    </row>
    <row r="601" spans="1:12" x14ac:dyDescent="0.3">
      <c r="A601" t="s">
        <v>45</v>
      </c>
      <c r="B601">
        <v>36</v>
      </c>
      <c r="C601" s="1">
        <v>70000</v>
      </c>
      <c r="D601" t="s">
        <v>12</v>
      </c>
      <c r="E601" t="s">
        <v>26</v>
      </c>
      <c r="F601" t="s">
        <v>41</v>
      </c>
      <c r="G601" s="11">
        <v>43477</v>
      </c>
      <c r="H601" t="s">
        <v>15</v>
      </c>
      <c r="I601" t="s">
        <v>39</v>
      </c>
      <c r="J601" t="s">
        <v>17</v>
      </c>
      <c r="K601" s="11" t="str">
        <f t="shared" ca="1" si="9"/>
        <v>6 Years</v>
      </c>
      <c r="L601" s="3" cm="1">
        <f t="array" ref="L601">_xlfn.SWITCH(Table13_24[[#This Row],[Performance Score]],"A",6,"B",5,"C",4,"D",3,"E",2,"F",1)</f>
        <v>3</v>
      </c>
    </row>
    <row r="602" spans="1:12" x14ac:dyDescent="0.3">
      <c r="A602" t="s">
        <v>29</v>
      </c>
      <c r="B602">
        <v>50</v>
      </c>
      <c r="C602" s="1">
        <v>65000</v>
      </c>
      <c r="D602" t="s">
        <v>12</v>
      </c>
      <c r="E602" t="s">
        <v>30</v>
      </c>
      <c r="F602" t="s">
        <v>14</v>
      </c>
      <c r="G602" s="11">
        <v>43845</v>
      </c>
      <c r="H602" t="s">
        <v>22</v>
      </c>
      <c r="I602" t="s">
        <v>39</v>
      </c>
      <c r="J602" t="s">
        <v>28</v>
      </c>
      <c r="K602" s="11" t="str">
        <f t="shared" ca="1" si="9"/>
        <v>5 Years</v>
      </c>
      <c r="L602" s="3" cm="1">
        <f t="array" ref="L602">_xlfn.SWITCH(Table13_24[[#This Row],[Performance Score]],"A",6,"B",5,"C",4,"D",3,"E",2,"F",1)</f>
        <v>1</v>
      </c>
    </row>
    <row r="603" spans="1:12" x14ac:dyDescent="0.3">
      <c r="A603" t="s">
        <v>43</v>
      </c>
      <c r="B603">
        <v>25</v>
      </c>
      <c r="C603" s="1">
        <v>60000</v>
      </c>
      <c r="D603" t="s">
        <v>34</v>
      </c>
      <c r="E603" t="s">
        <v>30</v>
      </c>
      <c r="F603" t="s">
        <v>21</v>
      </c>
      <c r="G603" s="11">
        <v>43845</v>
      </c>
      <c r="H603" t="s">
        <v>38</v>
      </c>
      <c r="I603" t="s">
        <v>32</v>
      </c>
      <c r="J603" t="s">
        <v>17</v>
      </c>
      <c r="K603" s="11" t="str">
        <f t="shared" ca="1" si="9"/>
        <v>5 Years</v>
      </c>
      <c r="L603" s="3" cm="1">
        <f t="array" ref="L603">_xlfn.SWITCH(Table13_24[[#This Row],[Performance Score]],"A",6,"B",5,"C",4,"D",3,"E",2,"F",1)</f>
        <v>5</v>
      </c>
    </row>
    <row r="604" spans="1:12" x14ac:dyDescent="0.3">
      <c r="A604" t="s">
        <v>43</v>
      </c>
      <c r="B604">
        <v>30</v>
      </c>
      <c r="C604" s="1">
        <v>48417.431192660551</v>
      </c>
      <c r="D604" t="s">
        <v>19</v>
      </c>
      <c r="E604" t="s">
        <v>20</v>
      </c>
      <c r="F604" t="s">
        <v>14</v>
      </c>
      <c r="G604" s="11">
        <v>43477</v>
      </c>
      <c r="H604" t="s">
        <v>22</v>
      </c>
      <c r="I604" t="s">
        <v>32</v>
      </c>
      <c r="J604" t="s">
        <v>28</v>
      </c>
      <c r="K604" s="11" t="str">
        <f t="shared" ca="1" si="9"/>
        <v>6 Years</v>
      </c>
      <c r="L604" s="3" cm="1">
        <f t="array" ref="L604">_xlfn.SWITCH(Table13_24[[#This Row],[Performance Score]],"A",6,"B",5,"C",4,"D",3,"E",2,"F",1)</f>
        <v>1</v>
      </c>
    </row>
    <row r="605" spans="1:12" x14ac:dyDescent="0.3">
      <c r="A605" t="s">
        <v>36</v>
      </c>
      <c r="B605">
        <v>50</v>
      </c>
      <c r="C605" s="1">
        <v>50000</v>
      </c>
      <c r="D605" t="s">
        <v>12</v>
      </c>
      <c r="E605" t="s">
        <v>26</v>
      </c>
      <c r="F605" t="s">
        <v>41</v>
      </c>
      <c r="G605" s="11">
        <v>43845</v>
      </c>
      <c r="H605" t="s">
        <v>31</v>
      </c>
      <c r="I605" t="s">
        <v>23</v>
      </c>
      <c r="J605" t="s">
        <v>28</v>
      </c>
      <c r="K605" s="11" t="str">
        <f t="shared" ca="1" si="9"/>
        <v>5 Years</v>
      </c>
      <c r="L605" s="3" cm="1">
        <f t="array" ref="L605">_xlfn.SWITCH(Table13_24[[#This Row],[Performance Score]],"A",6,"B",5,"C",4,"D",3,"E",2,"F",1)</f>
        <v>6</v>
      </c>
    </row>
    <row r="606" spans="1:12" x14ac:dyDescent="0.3">
      <c r="A606" t="s">
        <v>11</v>
      </c>
      <c r="B606">
        <v>25</v>
      </c>
      <c r="C606" s="1">
        <v>70000</v>
      </c>
      <c r="D606" t="s">
        <v>34</v>
      </c>
      <c r="E606" t="s">
        <v>13</v>
      </c>
      <c r="F606" t="s">
        <v>21</v>
      </c>
      <c r="G606" s="11">
        <v>43881</v>
      </c>
      <c r="H606" t="s">
        <v>38</v>
      </c>
      <c r="I606" t="s">
        <v>39</v>
      </c>
      <c r="J606" t="s">
        <v>28</v>
      </c>
      <c r="K606" s="11" t="str">
        <f t="shared" ca="1" si="9"/>
        <v>5 Years</v>
      </c>
      <c r="L606" s="3" cm="1">
        <f t="array" ref="L606">_xlfn.SWITCH(Table13_24[[#This Row],[Performance Score]],"A",6,"B",5,"C",4,"D",3,"E",2,"F",1)</f>
        <v>5</v>
      </c>
    </row>
    <row r="607" spans="1:12" x14ac:dyDescent="0.3">
      <c r="A607" t="s">
        <v>46</v>
      </c>
      <c r="B607">
        <v>50</v>
      </c>
      <c r="C607" s="1">
        <v>60000</v>
      </c>
      <c r="D607" t="s">
        <v>34</v>
      </c>
      <c r="E607" t="s">
        <v>30</v>
      </c>
      <c r="F607" t="s">
        <v>21</v>
      </c>
      <c r="G607" s="11">
        <v>43845</v>
      </c>
      <c r="H607" t="s">
        <v>27</v>
      </c>
      <c r="I607" t="s">
        <v>32</v>
      </c>
      <c r="J607" t="s">
        <v>28</v>
      </c>
      <c r="K607" s="11" t="str">
        <f t="shared" ca="1" si="9"/>
        <v>5 Years</v>
      </c>
      <c r="L607" s="3" cm="1">
        <f t="array" ref="L607">_xlfn.SWITCH(Table13_24[[#This Row],[Performance Score]],"A",6,"B",5,"C",4,"D",3,"E",2,"F",1)</f>
        <v>4</v>
      </c>
    </row>
    <row r="608" spans="1:12" x14ac:dyDescent="0.3">
      <c r="A608" t="s">
        <v>33</v>
      </c>
      <c r="B608">
        <v>30</v>
      </c>
      <c r="C608" s="1">
        <v>55000</v>
      </c>
      <c r="D608" t="s">
        <v>19</v>
      </c>
      <c r="E608" t="s">
        <v>26</v>
      </c>
      <c r="F608" t="s">
        <v>14</v>
      </c>
      <c r="G608" s="11">
        <v>43195</v>
      </c>
      <c r="H608" t="s">
        <v>15</v>
      </c>
      <c r="I608" t="s">
        <v>32</v>
      </c>
      <c r="J608" t="s">
        <v>24</v>
      </c>
      <c r="K608" s="11" t="str">
        <f t="shared" ca="1" si="9"/>
        <v>7 Years</v>
      </c>
      <c r="L608" s="3" cm="1">
        <f t="array" ref="L608">_xlfn.SWITCH(Table13_24[[#This Row],[Performance Score]],"A",6,"B",5,"C",4,"D",3,"E",2,"F",1)</f>
        <v>3</v>
      </c>
    </row>
    <row r="609" spans="1:12" x14ac:dyDescent="0.3">
      <c r="A609" t="s">
        <v>25</v>
      </c>
      <c r="B609">
        <v>35</v>
      </c>
      <c r="C609" s="1">
        <v>50742.574257425746</v>
      </c>
      <c r="D609" t="s">
        <v>19</v>
      </c>
      <c r="E609" t="s">
        <v>26</v>
      </c>
      <c r="F609" t="s">
        <v>40</v>
      </c>
      <c r="G609" s="11">
        <v>43845</v>
      </c>
      <c r="H609" t="s">
        <v>15</v>
      </c>
      <c r="I609" t="s">
        <v>23</v>
      </c>
      <c r="J609" t="s">
        <v>17</v>
      </c>
      <c r="K609" s="11" t="str">
        <f t="shared" ca="1" si="9"/>
        <v>5 Years</v>
      </c>
      <c r="L609" s="3" cm="1">
        <f t="array" ref="L609">_xlfn.SWITCH(Table13_24[[#This Row],[Performance Score]],"A",6,"B",5,"C",4,"D",3,"E",2,"F",1)</f>
        <v>3</v>
      </c>
    </row>
    <row r="610" spans="1:12" x14ac:dyDescent="0.3">
      <c r="A610" t="s">
        <v>43</v>
      </c>
      <c r="B610">
        <v>30</v>
      </c>
      <c r="C610" s="1">
        <v>50000</v>
      </c>
      <c r="D610" t="s">
        <v>12</v>
      </c>
      <c r="E610" t="s">
        <v>13</v>
      </c>
      <c r="F610" t="s">
        <v>41</v>
      </c>
      <c r="G610" s="11">
        <v>43195</v>
      </c>
      <c r="H610" t="s">
        <v>27</v>
      </c>
      <c r="I610" t="s">
        <v>39</v>
      </c>
      <c r="J610" t="s">
        <v>17</v>
      </c>
      <c r="K610" s="11" t="str">
        <f t="shared" ca="1" si="9"/>
        <v>7 Years</v>
      </c>
      <c r="L610" s="3" cm="1">
        <f t="array" ref="L610">_xlfn.SWITCH(Table13_24[[#This Row],[Performance Score]],"A",6,"B",5,"C",4,"D",3,"E",2,"F",1)</f>
        <v>4</v>
      </c>
    </row>
    <row r="611" spans="1:12" x14ac:dyDescent="0.3">
      <c r="A611" t="s">
        <v>25</v>
      </c>
      <c r="B611">
        <v>30</v>
      </c>
      <c r="C611" s="1">
        <v>65000</v>
      </c>
      <c r="D611" t="s">
        <v>19</v>
      </c>
      <c r="E611" t="s">
        <v>26</v>
      </c>
      <c r="F611" t="s">
        <v>37</v>
      </c>
      <c r="G611" s="11">
        <v>43845</v>
      </c>
      <c r="H611" t="s">
        <v>31</v>
      </c>
      <c r="I611" t="s">
        <v>32</v>
      </c>
      <c r="J611" t="s">
        <v>17</v>
      </c>
      <c r="K611" s="11" t="str">
        <f t="shared" ca="1" si="9"/>
        <v>5 Years</v>
      </c>
      <c r="L611" s="3" cm="1">
        <f t="array" ref="L611">_xlfn.SWITCH(Table13_24[[#This Row],[Performance Score]],"A",6,"B",5,"C",4,"D",3,"E",2,"F",1)</f>
        <v>6</v>
      </c>
    </row>
    <row r="612" spans="1:12" x14ac:dyDescent="0.3">
      <c r="A612" t="s">
        <v>29</v>
      </c>
      <c r="B612">
        <v>50</v>
      </c>
      <c r="C612" s="1">
        <v>50000</v>
      </c>
      <c r="D612" t="s">
        <v>34</v>
      </c>
      <c r="E612" t="s">
        <v>26</v>
      </c>
      <c r="F612" t="s">
        <v>37</v>
      </c>
      <c r="G612" s="11">
        <v>43845</v>
      </c>
      <c r="H612" t="s">
        <v>27</v>
      </c>
      <c r="I612" t="s">
        <v>16</v>
      </c>
      <c r="J612" t="s">
        <v>24</v>
      </c>
      <c r="K612" s="11" t="str">
        <f t="shared" ca="1" si="9"/>
        <v>5 Years</v>
      </c>
      <c r="L612" s="3" cm="1">
        <f t="array" ref="L612">_xlfn.SWITCH(Table13_24[[#This Row],[Performance Score]],"A",6,"B",5,"C",4,"D",3,"E",2,"F",1)</f>
        <v>4</v>
      </c>
    </row>
    <row r="613" spans="1:12" x14ac:dyDescent="0.3">
      <c r="A613" t="s">
        <v>25</v>
      </c>
      <c r="B613">
        <v>40</v>
      </c>
      <c r="C613" s="1">
        <v>55000</v>
      </c>
      <c r="D613" t="s">
        <v>34</v>
      </c>
      <c r="E613" t="s">
        <v>26</v>
      </c>
      <c r="F613" t="s">
        <v>14</v>
      </c>
      <c r="G613" s="11">
        <v>43477</v>
      </c>
      <c r="H613" t="s">
        <v>31</v>
      </c>
      <c r="I613" t="s">
        <v>16</v>
      </c>
      <c r="J613" t="s">
        <v>24</v>
      </c>
      <c r="K613" s="11" t="str">
        <f t="shared" ca="1" si="9"/>
        <v>6 Years</v>
      </c>
      <c r="L613" s="3" cm="1">
        <f t="array" ref="L613">_xlfn.SWITCH(Table13_24[[#This Row],[Performance Score]],"A",6,"B",5,"C",4,"D",3,"E",2,"F",1)</f>
        <v>6</v>
      </c>
    </row>
    <row r="614" spans="1:12" x14ac:dyDescent="0.3">
      <c r="A614" t="s">
        <v>33</v>
      </c>
      <c r="B614">
        <v>36</v>
      </c>
      <c r="C614" s="1">
        <v>70000</v>
      </c>
      <c r="D614" t="s">
        <v>19</v>
      </c>
      <c r="E614" t="s">
        <v>30</v>
      </c>
      <c r="F614" t="s">
        <v>41</v>
      </c>
      <c r="G614" s="11">
        <v>43881</v>
      </c>
      <c r="H614" t="s">
        <v>38</v>
      </c>
      <c r="I614" t="s">
        <v>39</v>
      </c>
      <c r="J614" t="s">
        <v>24</v>
      </c>
      <c r="K614" s="11" t="str">
        <f t="shared" ca="1" si="9"/>
        <v>5 Years</v>
      </c>
      <c r="L614" s="3" cm="1">
        <f t="array" ref="L614">_xlfn.SWITCH(Table13_24[[#This Row],[Performance Score]],"A",6,"B",5,"C",4,"D",3,"E",2,"F",1)</f>
        <v>5</v>
      </c>
    </row>
    <row r="615" spans="1:12" x14ac:dyDescent="0.3">
      <c r="A615" t="s">
        <v>18</v>
      </c>
      <c r="B615">
        <v>36</v>
      </c>
      <c r="C615" s="1">
        <v>70000</v>
      </c>
      <c r="D615" t="s">
        <v>19</v>
      </c>
      <c r="E615" t="s">
        <v>13</v>
      </c>
      <c r="F615" t="s">
        <v>41</v>
      </c>
      <c r="G615" s="11">
        <v>43881</v>
      </c>
      <c r="H615" t="s">
        <v>27</v>
      </c>
      <c r="I615" t="s">
        <v>39</v>
      </c>
      <c r="J615" t="s">
        <v>24</v>
      </c>
      <c r="K615" s="11" t="str">
        <f t="shared" ca="1" si="9"/>
        <v>5 Years</v>
      </c>
      <c r="L615" s="3" cm="1">
        <f t="array" ref="L615">_xlfn.SWITCH(Table13_24[[#This Row],[Performance Score]],"A",6,"B",5,"C",4,"D",3,"E",2,"F",1)</f>
        <v>4</v>
      </c>
    </row>
    <row r="616" spans="1:12" x14ac:dyDescent="0.3">
      <c r="A616" t="s">
        <v>33</v>
      </c>
      <c r="B616">
        <v>35</v>
      </c>
      <c r="C616" s="1">
        <v>50742.574257425746</v>
      </c>
      <c r="D616" t="s">
        <v>19</v>
      </c>
      <c r="E616" t="s">
        <v>26</v>
      </c>
      <c r="F616" t="s">
        <v>14</v>
      </c>
      <c r="G616" s="11">
        <v>43549</v>
      </c>
      <c r="H616" t="s">
        <v>31</v>
      </c>
      <c r="I616" t="s">
        <v>23</v>
      </c>
      <c r="J616" t="s">
        <v>28</v>
      </c>
      <c r="K616" s="11" t="str">
        <f t="shared" ca="1" si="9"/>
        <v>6 Years</v>
      </c>
      <c r="L616" s="3" cm="1">
        <f t="array" ref="L616">_xlfn.SWITCH(Table13_24[[#This Row],[Performance Score]],"A",6,"B",5,"C",4,"D",3,"E",2,"F",1)</f>
        <v>6</v>
      </c>
    </row>
    <row r="617" spans="1:12" x14ac:dyDescent="0.3">
      <c r="A617" t="s">
        <v>25</v>
      </c>
      <c r="B617">
        <v>35</v>
      </c>
      <c r="C617" s="1">
        <v>70000</v>
      </c>
      <c r="D617" t="s">
        <v>19</v>
      </c>
      <c r="E617" t="s">
        <v>26</v>
      </c>
      <c r="F617" t="s">
        <v>41</v>
      </c>
      <c r="G617" s="11">
        <v>43477</v>
      </c>
      <c r="H617" t="s">
        <v>38</v>
      </c>
      <c r="I617" t="s">
        <v>16</v>
      </c>
      <c r="J617" t="s">
        <v>17</v>
      </c>
      <c r="K617" s="11" t="str">
        <f t="shared" ca="1" si="9"/>
        <v>6 Years</v>
      </c>
      <c r="L617" s="3" cm="1">
        <f t="array" ref="L617">_xlfn.SWITCH(Table13_24[[#This Row],[Performance Score]],"A",6,"B",5,"C",4,"D",3,"E",2,"F",1)</f>
        <v>5</v>
      </c>
    </row>
    <row r="618" spans="1:12" x14ac:dyDescent="0.3">
      <c r="A618" t="s">
        <v>33</v>
      </c>
      <c r="B618">
        <v>36</v>
      </c>
      <c r="C618" s="1">
        <v>50777.202072538857</v>
      </c>
      <c r="D618" t="s">
        <v>12</v>
      </c>
      <c r="E618" t="s">
        <v>30</v>
      </c>
      <c r="F618" t="s">
        <v>40</v>
      </c>
      <c r="G618" s="11">
        <v>43477</v>
      </c>
      <c r="H618" t="s">
        <v>27</v>
      </c>
      <c r="I618" t="s">
        <v>16</v>
      </c>
      <c r="J618" t="s">
        <v>42</v>
      </c>
      <c r="K618" s="11" t="str">
        <f t="shared" ca="1" si="9"/>
        <v>6 Years</v>
      </c>
      <c r="L618" s="3" cm="1">
        <f t="array" ref="L618">_xlfn.SWITCH(Table13_24[[#This Row],[Performance Score]],"A",6,"B",5,"C",4,"D",3,"E",2,"F",1)</f>
        <v>4</v>
      </c>
    </row>
    <row r="619" spans="1:12" x14ac:dyDescent="0.3">
      <c r="A619" t="s">
        <v>44</v>
      </c>
      <c r="B619">
        <v>40</v>
      </c>
      <c r="C619" s="1">
        <v>51825</v>
      </c>
      <c r="D619" t="s">
        <v>19</v>
      </c>
      <c r="E619" t="s">
        <v>13</v>
      </c>
      <c r="F619" t="s">
        <v>14</v>
      </c>
      <c r="G619" s="11">
        <v>43881</v>
      </c>
      <c r="H619" t="s">
        <v>15</v>
      </c>
      <c r="I619" t="s">
        <v>39</v>
      </c>
      <c r="J619" t="s">
        <v>17</v>
      </c>
      <c r="K619" s="11" t="str">
        <f t="shared" ca="1" si="9"/>
        <v>5 Years</v>
      </c>
      <c r="L619" s="3" cm="1">
        <f t="array" ref="L619">_xlfn.SWITCH(Table13_24[[#This Row],[Performance Score]],"A",6,"B",5,"C",4,"D",3,"E",2,"F",1)</f>
        <v>3</v>
      </c>
    </row>
    <row r="620" spans="1:12" x14ac:dyDescent="0.3">
      <c r="A620" t="s">
        <v>29</v>
      </c>
      <c r="B620">
        <v>36</v>
      </c>
      <c r="C620" s="1">
        <v>48417.431192660551</v>
      </c>
      <c r="D620" t="s">
        <v>12</v>
      </c>
      <c r="E620" t="s">
        <v>20</v>
      </c>
      <c r="F620" t="s">
        <v>40</v>
      </c>
      <c r="G620" s="11">
        <v>43477</v>
      </c>
      <c r="H620" t="s">
        <v>27</v>
      </c>
      <c r="I620" t="s">
        <v>39</v>
      </c>
      <c r="J620" t="s">
        <v>24</v>
      </c>
      <c r="K620" s="11" t="str">
        <f t="shared" ca="1" si="9"/>
        <v>6 Years</v>
      </c>
      <c r="L620" s="3" cm="1">
        <f t="array" ref="L620">_xlfn.SWITCH(Table13_24[[#This Row],[Performance Score]],"A",6,"B",5,"C",4,"D",3,"E",2,"F",1)</f>
        <v>4</v>
      </c>
    </row>
    <row r="621" spans="1:12" x14ac:dyDescent="0.3">
      <c r="A621" t="s">
        <v>46</v>
      </c>
      <c r="B621">
        <v>40</v>
      </c>
      <c r="C621" s="1">
        <v>65000</v>
      </c>
      <c r="D621" t="s">
        <v>34</v>
      </c>
      <c r="E621" t="s">
        <v>30</v>
      </c>
      <c r="F621" t="s">
        <v>41</v>
      </c>
      <c r="G621" s="11">
        <v>43881</v>
      </c>
      <c r="H621" t="s">
        <v>22</v>
      </c>
      <c r="I621" t="s">
        <v>39</v>
      </c>
      <c r="J621" t="s">
        <v>17</v>
      </c>
      <c r="K621" s="11" t="str">
        <f t="shared" ca="1" si="9"/>
        <v>5 Years</v>
      </c>
      <c r="L621" s="3" cm="1">
        <f t="array" ref="L621">_xlfn.SWITCH(Table13_24[[#This Row],[Performance Score]],"A",6,"B",5,"C",4,"D",3,"E",2,"F",1)</f>
        <v>1</v>
      </c>
    </row>
    <row r="622" spans="1:12" x14ac:dyDescent="0.3">
      <c r="A622" t="s">
        <v>18</v>
      </c>
      <c r="B622">
        <v>35</v>
      </c>
      <c r="C622" s="1">
        <v>60000</v>
      </c>
      <c r="D622" t="s">
        <v>19</v>
      </c>
      <c r="E622" t="s">
        <v>13</v>
      </c>
      <c r="F622" t="s">
        <v>14</v>
      </c>
      <c r="G622" s="11">
        <v>43477</v>
      </c>
      <c r="H622" t="s">
        <v>27</v>
      </c>
      <c r="I622" t="s">
        <v>39</v>
      </c>
      <c r="J622" t="s">
        <v>24</v>
      </c>
      <c r="K622" s="11" t="str">
        <f t="shared" ca="1" si="9"/>
        <v>6 Years</v>
      </c>
      <c r="L622" s="3" cm="1">
        <f t="array" ref="L622">_xlfn.SWITCH(Table13_24[[#This Row],[Performance Score]],"A",6,"B",5,"C",4,"D",3,"E",2,"F",1)</f>
        <v>4</v>
      </c>
    </row>
    <row r="623" spans="1:12" x14ac:dyDescent="0.3">
      <c r="A623" t="s">
        <v>43</v>
      </c>
      <c r="B623">
        <v>25</v>
      </c>
      <c r="C623" s="1">
        <v>50742.574257425746</v>
      </c>
      <c r="D623" t="s">
        <v>12</v>
      </c>
      <c r="E623" t="s">
        <v>26</v>
      </c>
      <c r="F623" t="s">
        <v>41</v>
      </c>
      <c r="G623" s="11">
        <v>43845</v>
      </c>
      <c r="H623" t="s">
        <v>22</v>
      </c>
      <c r="I623" t="s">
        <v>16</v>
      </c>
      <c r="J623" t="s">
        <v>24</v>
      </c>
      <c r="K623" s="11" t="str">
        <f t="shared" ca="1" si="9"/>
        <v>5 Years</v>
      </c>
      <c r="L623" s="3" cm="1">
        <f t="array" ref="L623">_xlfn.SWITCH(Table13_24[[#This Row],[Performance Score]],"A",6,"B",5,"C",4,"D",3,"E",2,"F",1)</f>
        <v>1</v>
      </c>
    </row>
    <row r="624" spans="1:12" x14ac:dyDescent="0.3">
      <c r="A624" t="s">
        <v>45</v>
      </c>
      <c r="B624">
        <v>50</v>
      </c>
      <c r="C624" s="1">
        <v>51825</v>
      </c>
      <c r="D624" t="s">
        <v>19</v>
      </c>
      <c r="E624" t="s">
        <v>13</v>
      </c>
      <c r="F624" t="s">
        <v>14</v>
      </c>
      <c r="G624" s="11">
        <v>43881</v>
      </c>
      <c r="H624" t="s">
        <v>38</v>
      </c>
      <c r="I624" t="s">
        <v>23</v>
      </c>
      <c r="J624" t="s">
        <v>24</v>
      </c>
      <c r="K624" s="11" t="str">
        <f t="shared" ca="1" si="9"/>
        <v>5 Years</v>
      </c>
      <c r="L624" s="3" cm="1">
        <f t="array" ref="L624">_xlfn.SWITCH(Table13_24[[#This Row],[Performance Score]],"A",6,"B",5,"C",4,"D",3,"E",2,"F",1)</f>
        <v>5</v>
      </c>
    </row>
    <row r="625" spans="1:12" x14ac:dyDescent="0.3">
      <c r="A625" t="s">
        <v>46</v>
      </c>
      <c r="B625">
        <v>35</v>
      </c>
      <c r="C625" s="1">
        <v>60000</v>
      </c>
      <c r="D625" t="s">
        <v>34</v>
      </c>
      <c r="E625" t="s">
        <v>13</v>
      </c>
      <c r="F625" t="s">
        <v>41</v>
      </c>
      <c r="G625" s="11">
        <v>43881</v>
      </c>
      <c r="H625" t="s">
        <v>27</v>
      </c>
      <c r="I625" t="s">
        <v>16</v>
      </c>
      <c r="J625" t="s">
        <v>24</v>
      </c>
      <c r="K625" s="11" t="str">
        <f t="shared" ca="1" si="9"/>
        <v>5 Years</v>
      </c>
      <c r="L625" s="3" cm="1">
        <f t="array" ref="L625">_xlfn.SWITCH(Table13_24[[#This Row],[Performance Score]],"A",6,"B",5,"C",4,"D",3,"E",2,"F",1)</f>
        <v>4</v>
      </c>
    </row>
    <row r="626" spans="1:12" x14ac:dyDescent="0.3">
      <c r="A626" t="s">
        <v>45</v>
      </c>
      <c r="B626">
        <v>35</v>
      </c>
      <c r="C626" s="1">
        <v>50000</v>
      </c>
      <c r="D626" t="s">
        <v>34</v>
      </c>
      <c r="E626" t="s">
        <v>13</v>
      </c>
      <c r="F626" t="s">
        <v>40</v>
      </c>
      <c r="G626" s="11">
        <v>43195</v>
      </c>
      <c r="H626" t="s">
        <v>38</v>
      </c>
      <c r="I626" t="s">
        <v>39</v>
      </c>
      <c r="J626" t="s">
        <v>24</v>
      </c>
      <c r="K626" s="11" t="str">
        <f t="shared" ca="1" si="9"/>
        <v>7 Years</v>
      </c>
      <c r="L626" s="3" cm="1">
        <f t="array" ref="L626">_xlfn.SWITCH(Table13_24[[#This Row],[Performance Score]],"A",6,"B",5,"C",4,"D",3,"E",2,"F",1)</f>
        <v>5</v>
      </c>
    </row>
    <row r="627" spans="1:12" x14ac:dyDescent="0.3">
      <c r="A627" t="s">
        <v>29</v>
      </c>
      <c r="B627">
        <v>30</v>
      </c>
      <c r="C627" s="1">
        <v>48417.431192660551</v>
      </c>
      <c r="D627" t="s">
        <v>34</v>
      </c>
      <c r="E627" t="s">
        <v>20</v>
      </c>
      <c r="F627" t="s">
        <v>40</v>
      </c>
      <c r="G627" s="11">
        <v>43477</v>
      </c>
      <c r="H627" t="s">
        <v>38</v>
      </c>
      <c r="I627" t="s">
        <v>16</v>
      </c>
      <c r="J627" t="s">
        <v>17</v>
      </c>
      <c r="K627" s="11" t="str">
        <f t="shared" ca="1" si="9"/>
        <v>6 Years</v>
      </c>
      <c r="L627" s="3" cm="1">
        <f t="array" ref="L627">_xlfn.SWITCH(Table13_24[[#This Row],[Performance Score]],"A",6,"B",5,"C",4,"D",3,"E",2,"F",1)</f>
        <v>5</v>
      </c>
    </row>
    <row r="628" spans="1:12" x14ac:dyDescent="0.3">
      <c r="A628" t="s">
        <v>18</v>
      </c>
      <c r="B628">
        <v>30</v>
      </c>
      <c r="C628" s="1">
        <v>65000</v>
      </c>
      <c r="D628" t="s">
        <v>19</v>
      </c>
      <c r="E628" t="s">
        <v>13</v>
      </c>
      <c r="F628" t="s">
        <v>41</v>
      </c>
      <c r="G628" s="11">
        <v>43477</v>
      </c>
      <c r="H628" t="s">
        <v>31</v>
      </c>
      <c r="I628" t="s">
        <v>23</v>
      </c>
      <c r="J628" t="s">
        <v>17</v>
      </c>
      <c r="K628" s="11" t="str">
        <f t="shared" ca="1" si="9"/>
        <v>6 Years</v>
      </c>
      <c r="L628" s="3" cm="1">
        <f t="array" ref="L628">_xlfn.SWITCH(Table13_24[[#This Row],[Performance Score]],"A",6,"B",5,"C",4,"D",3,"E",2,"F",1)</f>
        <v>6</v>
      </c>
    </row>
    <row r="629" spans="1:12" x14ac:dyDescent="0.3">
      <c r="A629" t="s">
        <v>36</v>
      </c>
      <c r="B629">
        <v>30</v>
      </c>
      <c r="C629" s="1">
        <v>70000</v>
      </c>
      <c r="D629" t="s">
        <v>19</v>
      </c>
      <c r="E629" t="s">
        <v>20</v>
      </c>
      <c r="F629" t="s">
        <v>14</v>
      </c>
      <c r="G629" s="11">
        <v>43881</v>
      </c>
      <c r="H629" t="s">
        <v>38</v>
      </c>
      <c r="I629" t="s">
        <v>32</v>
      </c>
      <c r="J629" t="s">
        <v>24</v>
      </c>
      <c r="K629" s="11" t="str">
        <f t="shared" ca="1" si="9"/>
        <v>5 Years</v>
      </c>
      <c r="L629" s="3" cm="1">
        <f t="array" ref="L629">_xlfn.SWITCH(Table13_24[[#This Row],[Performance Score]],"A",6,"B",5,"C",4,"D",3,"E",2,"F",1)</f>
        <v>5</v>
      </c>
    </row>
    <row r="630" spans="1:12" x14ac:dyDescent="0.3">
      <c r="A630" t="s">
        <v>43</v>
      </c>
      <c r="B630">
        <v>50</v>
      </c>
      <c r="C630" s="1">
        <v>70000</v>
      </c>
      <c r="D630" t="s">
        <v>12</v>
      </c>
      <c r="E630" t="s">
        <v>26</v>
      </c>
      <c r="F630" t="s">
        <v>37</v>
      </c>
      <c r="G630" s="11">
        <v>43845</v>
      </c>
      <c r="H630" t="s">
        <v>38</v>
      </c>
      <c r="I630" t="s">
        <v>16</v>
      </c>
      <c r="J630" t="s">
        <v>24</v>
      </c>
      <c r="K630" s="11" t="str">
        <f t="shared" ca="1" si="9"/>
        <v>5 Years</v>
      </c>
      <c r="L630" s="3" cm="1">
        <f t="array" ref="L630">_xlfn.SWITCH(Table13_24[[#This Row],[Performance Score]],"A",6,"B",5,"C",4,"D",3,"E",2,"F",1)</f>
        <v>5</v>
      </c>
    </row>
    <row r="631" spans="1:12" x14ac:dyDescent="0.3">
      <c r="A631" t="s">
        <v>44</v>
      </c>
      <c r="B631">
        <v>30</v>
      </c>
      <c r="C631" s="1">
        <v>55000</v>
      </c>
      <c r="D631" t="s">
        <v>34</v>
      </c>
      <c r="E631" t="s">
        <v>20</v>
      </c>
      <c r="F631" t="s">
        <v>40</v>
      </c>
      <c r="G631" s="11">
        <v>43845</v>
      </c>
      <c r="H631" t="s">
        <v>27</v>
      </c>
      <c r="I631" t="s">
        <v>39</v>
      </c>
      <c r="J631" t="s">
        <v>24</v>
      </c>
      <c r="K631" s="11" t="str">
        <f t="shared" ca="1" si="9"/>
        <v>5 Years</v>
      </c>
      <c r="L631" s="3" cm="1">
        <f t="array" ref="L631">_xlfn.SWITCH(Table13_24[[#This Row],[Performance Score]],"A",6,"B",5,"C",4,"D",3,"E",2,"F",1)</f>
        <v>4</v>
      </c>
    </row>
    <row r="632" spans="1:12" x14ac:dyDescent="0.3">
      <c r="A632" t="s">
        <v>36</v>
      </c>
      <c r="B632">
        <v>40</v>
      </c>
      <c r="C632" s="1">
        <v>55000</v>
      </c>
      <c r="D632" t="s">
        <v>19</v>
      </c>
      <c r="E632" t="s">
        <v>26</v>
      </c>
      <c r="F632" t="s">
        <v>40</v>
      </c>
      <c r="G632" s="11">
        <v>43845</v>
      </c>
      <c r="H632" t="s">
        <v>27</v>
      </c>
      <c r="I632" t="s">
        <v>32</v>
      </c>
      <c r="J632" t="s">
        <v>24</v>
      </c>
      <c r="K632" s="11" t="str">
        <f t="shared" ca="1" si="9"/>
        <v>5 Years</v>
      </c>
      <c r="L632" s="3" cm="1">
        <f t="array" ref="L632">_xlfn.SWITCH(Table13_24[[#This Row],[Performance Score]],"A",6,"B",5,"C",4,"D",3,"E",2,"F",1)</f>
        <v>4</v>
      </c>
    </row>
    <row r="633" spans="1:12" x14ac:dyDescent="0.3">
      <c r="A633" t="s">
        <v>29</v>
      </c>
      <c r="B633">
        <v>36</v>
      </c>
      <c r="C633" s="1">
        <v>70000</v>
      </c>
      <c r="D633" t="s">
        <v>34</v>
      </c>
      <c r="E633" t="s">
        <v>26</v>
      </c>
      <c r="F633" t="s">
        <v>37</v>
      </c>
      <c r="G633" s="11">
        <v>43477</v>
      </c>
      <c r="H633" t="s">
        <v>15</v>
      </c>
      <c r="I633" t="s">
        <v>39</v>
      </c>
      <c r="J633" t="s">
        <v>28</v>
      </c>
      <c r="K633" s="11" t="str">
        <f t="shared" ca="1" si="9"/>
        <v>6 Years</v>
      </c>
      <c r="L633" s="3" cm="1">
        <f t="array" ref="L633">_xlfn.SWITCH(Table13_24[[#This Row],[Performance Score]],"A",6,"B",5,"C",4,"D",3,"E",2,"F",1)</f>
        <v>3</v>
      </c>
    </row>
    <row r="634" spans="1:12" x14ac:dyDescent="0.3">
      <c r="A634" t="s">
        <v>46</v>
      </c>
      <c r="B634">
        <v>25</v>
      </c>
      <c r="C634" s="1">
        <v>70000</v>
      </c>
      <c r="D634" t="s">
        <v>34</v>
      </c>
      <c r="E634" t="s">
        <v>20</v>
      </c>
      <c r="F634" t="s">
        <v>41</v>
      </c>
      <c r="G634" s="11">
        <v>43195</v>
      </c>
      <c r="H634" t="s">
        <v>31</v>
      </c>
      <c r="I634" t="s">
        <v>39</v>
      </c>
      <c r="J634" t="s">
        <v>28</v>
      </c>
      <c r="K634" s="11" t="str">
        <f t="shared" ca="1" si="9"/>
        <v>7 Years</v>
      </c>
      <c r="L634" s="3" cm="1">
        <f t="array" ref="L634">_xlfn.SWITCH(Table13_24[[#This Row],[Performance Score]],"A",6,"B",5,"C",4,"D",3,"E",2,"F",1)</f>
        <v>6</v>
      </c>
    </row>
    <row r="635" spans="1:12" x14ac:dyDescent="0.3">
      <c r="A635" t="s">
        <v>44</v>
      </c>
      <c r="B635">
        <v>35</v>
      </c>
      <c r="C635" s="1">
        <v>65000</v>
      </c>
      <c r="D635" t="s">
        <v>12</v>
      </c>
      <c r="E635" t="s">
        <v>30</v>
      </c>
      <c r="F635" t="s">
        <v>14</v>
      </c>
      <c r="G635" s="11">
        <v>43881</v>
      </c>
      <c r="H635" t="s">
        <v>38</v>
      </c>
      <c r="I635" t="s">
        <v>39</v>
      </c>
      <c r="J635" t="s">
        <v>42</v>
      </c>
      <c r="K635" s="11" t="str">
        <f t="shared" ca="1" si="9"/>
        <v>5 Years</v>
      </c>
      <c r="L635" s="3" cm="1">
        <f t="array" ref="L635">_xlfn.SWITCH(Table13_24[[#This Row],[Performance Score]],"A",6,"B",5,"C",4,"D",3,"E",2,"F",1)</f>
        <v>5</v>
      </c>
    </row>
    <row r="636" spans="1:12" x14ac:dyDescent="0.3">
      <c r="A636" t="s">
        <v>33</v>
      </c>
      <c r="B636">
        <v>40</v>
      </c>
      <c r="C636" s="1">
        <v>60000</v>
      </c>
      <c r="D636" t="s">
        <v>12</v>
      </c>
      <c r="E636" t="s">
        <v>35</v>
      </c>
      <c r="F636" t="s">
        <v>41</v>
      </c>
      <c r="G636" s="11">
        <v>43549</v>
      </c>
      <c r="H636" t="s">
        <v>31</v>
      </c>
      <c r="I636" t="s">
        <v>16</v>
      </c>
      <c r="J636" t="s">
        <v>24</v>
      </c>
      <c r="K636" s="11" t="str">
        <f t="shared" ca="1" si="9"/>
        <v>6 Years</v>
      </c>
      <c r="L636" s="3" cm="1">
        <f t="array" ref="L636">_xlfn.SWITCH(Table13_24[[#This Row],[Performance Score]],"A",6,"B",5,"C",4,"D",3,"E",2,"F",1)</f>
        <v>6</v>
      </c>
    </row>
    <row r="637" spans="1:12" x14ac:dyDescent="0.3">
      <c r="A637" t="s">
        <v>25</v>
      </c>
      <c r="B637">
        <v>25</v>
      </c>
      <c r="C637" s="1">
        <v>55000</v>
      </c>
      <c r="D637" t="s">
        <v>12</v>
      </c>
      <c r="E637" t="s">
        <v>13</v>
      </c>
      <c r="F637" t="s">
        <v>21</v>
      </c>
      <c r="G637" s="11">
        <v>43195</v>
      </c>
      <c r="H637" t="s">
        <v>22</v>
      </c>
      <c r="I637" t="s">
        <v>39</v>
      </c>
      <c r="J637" t="s">
        <v>42</v>
      </c>
      <c r="K637" s="11" t="str">
        <f t="shared" ca="1" si="9"/>
        <v>7 Years</v>
      </c>
      <c r="L637" s="3" cm="1">
        <f t="array" ref="L637">_xlfn.SWITCH(Table13_24[[#This Row],[Performance Score]],"A",6,"B",5,"C",4,"D",3,"E",2,"F",1)</f>
        <v>1</v>
      </c>
    </row>
    <row r="638" spans="1:12" x14ac:dyDescent="0.3">
      <c r="A638" t="s">
        <v>44</v>
      </c>
      <c r="B638">
        <v>40</v>
      </c>
      <c r="C638" s="1">
        <v>60000</v>
      </c>
      <c r="D638" t="s">
        <v>12</v>
      </c>
      <c r="E638" t="s">
        <v>35</v>
      </c>
      <c r="F638" t="s">
        <v>40</v>
      </c>
      <c r="G638" s="11">
        <v>43549</v>
      </c>
      <c r="H638" t="s">
        <v>38</v>
      </c>
      <c r="I638" t="s">
        <v>32</v>
      </c>
      <c r="J638" t="s">
        <v>17</v>
      </c>
      <c r="K638" s="11" t="str">
        <f t="shared" ca="1" si="9"/>
        <v>6 Years</v>
      </c>
      <c r="L638" s="3" cm="1">
        <f t="array" ref="L638">_xlfn.SWITCH(Table13_24[[#This Row],[Performance Score]],"A",6,"B",5,"C",4,"D",3,"E",2,"F",1)</f>
        <v>5</v>
      </c>
    </row>
    <row r="639" spans="1:12" x14ac:dyDescent="0.3">
      <c r="A639" t="s">
        <v>29</v>
      </c>
      <c r="B639">
        <v>40</v>
      </c>
      <c r="C639" s="1">
        <v>65000</v>
      </c>
      <c r="D639" t="s">
        <v>34</v>
      </c>
      <c r="E639" t="s">
        <v>13</v>
      </c>
      <c r="F639" t="s">
        <v>21</v>
      </c>
      <c r="G639" s="11">
        <v>43195</v>
      </c>
      <c r="H639" t="s">
        <v>31</v>
      </c>
      <c r="I639" t="s">
        <v>23</v>
      </c>
      <c r="J639" t="s">
        <v>42</v>
      </c>
      <c r="K639" s="11" t="str">
        <f t="shared" ca="1" si="9"/>
        <v>7 Years</v>
      </c>
      <c r="L639" s="3" cm="1">
        <f t="array" ref="L639">_xlfn.SWITCH(Table13_24[[#This Row],[Performance Score]],"A",6,"B",5,"C",4,"D",3,"E",2,"F",1)</f>
        <v>6</v>
      </c>
    </row>
    <row r="640" spans="1:12" x14ac:dyDescent="0.3">
      <c r="A640" t="s">
        <v>11</v>
      </c>
      <c r="B640">
        <v>35</v>
      </c>
      <c r="C640" s="1">
        <v>70000</v>
      </c>
      <c r="D640" t="s">
        <v>12</v>
      </c>
      <c r="E640" t="s">
        <v>13</v>
      </c>
      <c r="F640" t="s">
        <v>40</v>
      </c>
      <c r="G640" s="11">
        <v>43845</v>
      </c>
      <c r="H640" t="s">
        <v>15</v>
      </c>
      <c r="I640" t="s">
        <v>39</v>
      </c>
      <c r="J640" t="s">
        <v>17</v>
      </c>
      <c r="K640" s="11" t="str">
        <f t="shared" ca="1" si="9"/>
        <v>5 Years</v>
      </c>
      <c r="L640" s="3" cm="1">
        <f t="array" ref="L640">_xlfn.SWITCH(Table13_24[[#This Row],[Performance Score]],"A",6,"B",5,"C",4,"D",3,"E",2,"F",1)</f>
        <v>3</v>
      </c>
    </row>
    <row r="641" spans="1:12" x14ac:dyDescent="0.3">
      <c r="A641" t="s">
        <v>25</v>
      </c>
      <c r="B641">
        <v>36</v>
      </c>
      <c r="C641" s="1">
        <v>50742.574257425746</v>
      </c>
      <c r="D641" t="s">
        <v>12</v>
      </c>
      <c r="E641" t="s">
        <v>26</v>
      </c>
      <c r="F641" t="s">
        <v>40</v>
      </c>
      <c r="G641" s="11">
        <v>43477</v>
      </c>
      <c r="H641" t="s">
        <v>15</v>
      </c>
      <c r="I641" t="s">
        <v>16</v>
      </c>
      <c r="J641" t="s">
        <v>28</v>
      </c>
      <c r="K641" s="11" t="str">
        <f t="shared" ca="1" si="9"/>
        <v>6 Years</v>
      </c>
      <c r="L641" s="3" cm="1">
        <f t="array" ref="L641">_xlfn.SWITCH(Table13_24[[#This Row],[Performance Score]],"A",6,"B",5,"C",4,"D",3,"E",2,"F",1)</f>
        <v>3</v>
      </c>
    </row>
    <row r="642" spans="1:12" x14ac:dyDescent="0.3">
      <c r="A642" t="s">
        <v>45</v>
      </c>
      <c r="B642">
        <v>30</v>
      </c>
      <c r="C642" s="1">
        <v>60000</v>
      </c>
      <c r="D642" t="s">
        <v>12</v>
      </c>
      <c r="E642" t="s">
        <v>13</v>
      </c>
      <c r="F642" t="s">
        <v>21</v>
      </c>
      <c r="G642" s="11">
        <v>43549</v>
      </c>
      <c r="H642" t="s">
        <v>38</v>
      </c>
      <c r="I642" t="s">
        <v>39</v>
      </c>
      <c r="J642" t="s">
        <v>28</v>
      </c>
      <c r="K642" s="11" t="str">
        <f t="shared" ca="1" si="9"/>
        <v>6 Years</v>
      </c>
      <c r="L642" s="3" cm="1">
        <f t="array" ref="L642">_xlfn.SWITCH(Table13_24[[#This Row],[Performance Score]],"A",6,"B",5,"C",4,"D",3,"E",2,"F",1)</f>
        <v>5</v>
      </c>
    </row>
    <row r="643" spans="1:12" x14ac:dyDescent="0.3">
      <c r="A643" t="s">
        <v>43</v>
      </c>
      <c r="B643">
        <v>50</v>
      </c>
      <c r="C643" s="1">
        <v>70000</v>
      </c>
      <c r="D643" t="s">
        <v>12</v>
      </c>
      <c r="E643" t="s">
        <v>13</v>
      </c>
      <c r="F643" t="s">
        <v>21</v>
      </c>
      <c r="G643" s="11">
        <v>43195</v>
      </c>
      <c r="H643" t="s">
        <v>22</v>
      </c>
      <c r="I643" t="s">
        <v>23</v>
      </c>
      <c r="J643" t="s">
        <v>24</v>
      </c>
      <c r="K643" s="11" t="str">
        <f t="shared" ref="K643:K706" ca="1" si="10">DATEDIF(G643,TODAY(),"Y") &amp; " Years"</f>
        <v>7 Years</v>
      </c>
      <c r="L643" s="3" cm="1">
        <f t="array" ref="L643">_xlfn.SWITCH(Table13_24[[#This Row],[Performance Score]],"A",6,"B",5,"C",4,"D",3,"E",2,"F",1)</f>
        <v>1</v>
      </c>
    </row>
    <row r="644" spans="1:12" x14ac:dyDescent="0.3">
      <c r="A644" t="s">
        <v>45</v>
      </c>
      <c r="B644">
        <v>36</v>
      </c>
      <c r="C644" s="1">
        <v>70000</v>
      </c>
      <c r="D644" t="s">
        <v>34</v>
      </c>
      <c r="E644" t="s">
        <v>20</v>
      </c>
      <c r="F644" t="s">
        <v>41</v>
      </c>
      <c r="G644" s="11">
        <v>43477</v>
      </c>
      <c r="H644" t="s">
        <v>15</v>
      </c>
      <c r="I644" t="s">
        <v>32</v>
      </c>
      <c r="J644" t="s">
        <v>24</v>
      </c>
      <c r="K644" s="11" t="str">
        <f t="shared" ca="1" si="10"/>
        <v>6 Years</v>
      </c>
      <c r="L644" s="3" cm="1">
        <f t="array" ref="L644">_xlfn.SWITCH(Table13_24[[#This Row],[Performance Score]],"A",6,"B",5,"C",4,"D",3,"E",2,"F",1)</f>
        <v>3</v>
      </c>
    </row>
    <row r="645" spans="1:12" x14ac:dyDescent="0.3">
      <c r="A645" t="s">
        <v>44</v>
      </c>
      <c r="B645">
        <v>50</v>
      </c>
      <c r="C645" s="1">
        <v>50000</v>
      </c>
      <c r="D645" t="s">
        <v>12</v>
      </c>
      <c r="E645" t="s">
        <v>35</v>
      </c>
      <c r="F645" t="s">
        <v>21</v>
      </c>
      <c r="G645" s="11">
        <v>43549</v>
      </c>
      <c r="H645" t="s">
        <v>15</v>
      </c>
      <c r="I645" t="s">
        <v>39</v>
      </c>
      <c r="J645" t="s">
        <v>17</v>
      </c>
      <c r="K645" s="11" t="str">
        <f t="shared" ca="1" si="10"/>
        <v>6 Years</v>
      </c>
      <c r="L645" s="3" cm="1">
        <f t="array" ref="L645">_xlfn.SWITCH(Table13_24[[#This Row],[Performance Score]],"A",6,"B",5,"C",4,"D",3,"E",2,"F",1)</f>
        <v>3</v>
      </c>
    </row>
    <row r="646" spans="1:12" x14ac:dyDescent="0.3">
      <c r="A646" t="s">
        <v>45</v>
      </c>
      <c r="B646">
        <v>35</v>
      </c>
      <c r="C646" s="1">
        <v>60000</v>
      </c>
      <c r="D646" t="s">
        <v>34</v>
      </c>
      <c r="E646" t="s">
        <v>20</v>
      </c>
      <c r="F646" t="s">
        <v>41</v>
      </c>
      <c r="G646" s="11">
        <v>43881</v>
      </c>
      <c r="H646" t="s">
        <v>22</v>
      </c>
      <c r="I646" t="s">
        <v>39</v>
      </c>
      <c r="J646" t="s">
        <v>17</v>
      </c>
      <c r="K646" s="11" t="str">
        <f t="shared" ca="1" si="10"/>
        <v>5 Years</v>
      </c>
      <c r="L646" s="3" cm="1">
        <f t="array" ref="L646">_xlfn.SWITCH(Table13_24[[#This Row],[Performance Score]],"A",6,"B",5,"C",4,"D",3,"E",2,"F",1)</f>
        <v>1</v>
      </c>
    </row>
    <row r="647" spans="1:12" x14ac:dyDescent="0.3">
      <c r="A647" t="s">
        <v>29</v>
      </c>
      <c r="B647">
        <v>35</v>
      </c>
      <c r="C647" s="1">
        <v>51825</v>
      </c>
      <c r="D647" t="s">
        <v>19</v>
      </c>
      <c r="E647" t="s">
        <v>13</v>
      </c>
      <c r="F647" t="s">
        <v>41</v>
      </c>
      <c r="G647" s="11">
        <v>43195</v>
      </c>
      <c r="H647" t="s">
        <v>31</v>
      </c>
      <c r="I647" t="s">
        <v>23</v>
      </c>
      <c r="J647" t="s">
        <v>17</v>
      </c>
      <c r="K647" s="11" t="str">
        <f t="shared" ca="1" si="10"/>
        <v>7 Years</v>
      </c>
      <c r="L647" s="3" cm="1">
        <f t="array" ref="L647">_xlfn.SWITCH(Table13_24[[#This Row],[Performance Score]],"A",6,"B",5,"C",4,"D",3,"E",2,"F",1)</f>
        <v>6</v>
      </c>
    </row>
    <row r="648" spans="1:12" x14ac:dyDescent="0.3">
      <c r="A648" t="s">
        <v>33</v>
      </c>
      <c r="B648">
        <v>35</v>
      </c>
      <c r="C648" s="1">
        <v>60000</v>
      </c>
      <c r="D648" t="s">
        <v>34</v>
      </c>
      <c r="E648" t="s">
        <v>26</v>
      </c>
      <c r="F648" t="s">
        <v>41</v>
      </c>
      <c r="G648" s="11">
        <v>43881</v>
      </c>
      <c r="H648" t="s">
        <v>15</v>
      </c>
      <c r="I648" t="s">
        <v>16</v>
      </c>
      <c r="J648" t="s">
        <v>24</v>
      </c>
      <c r="K648" s="11" t="str">
        <f t="shared" ca="1" si="10"/>
        <v>5 Years</v>
      </c>
      <c r="L648" s="3" cm="1">
        <f t="array" ref="L648">_xlfn.SWITCH(Table13_24[[#This Row],[Performance Score]],"A",6,"B",5,"C",4,"D",3,"E",2,"F",1)</f>
        <v>3</v>
      </c>
    </row>
    <row r="649" spans="1:12" x14ac:dyDescent="0.3">
      <c r="A649" t="s">
        <v>46</v>
      </c>
      <c r="B649">
        <v>25</v>
      </c>
      <c r="C649" s="1">
        <v>70000</v>
      </c>
      <c r="D649" t="s">
        <v>34</v>
      </c>
      <c r="E649" t="s">
        <v>20</v>
      </c>
      <c r="F649" t="s">
        <v>40</v>
      </c>
      <c r="G649" s="11">
        <v>43845</v>
      </c>
      <c r="H649" t="s">
        <v>27</v>
      </c>
      <c r="I649" t="s">
        <v>32</v>
      </c>
      <c r="J649" t="s">
        <v>24</v>
      </c>
      <c r="K649" s="11" t="str">
        <f t="shared" ca="1" si="10"/>
        <v>5 Years</v>
      </c>
      <c r="L649" s="3" cm="1">
        <f t="array" ref="L649">_xlfn.SWITCH(Table13_24[[#This Row],[Performance Score]],"A",6,"B",5,"C",4,"D",3,"E",2,"F",1)</f>
        <v>4</v>
      </c>
    </row>
    <row r="650" spans="1:12" x14ac:dyDescent="0.3">
      <c r="A650" t="s">
        <v>43</v>
      </c>
      <c r="B650">
        <v>50</v>
      </c>
      <c r="C650" s="1">
        <v>48417.431192660551</v>
      </c>
      <c r="D650" t="s">
        <v>12</v>
      </c>
      <c r="E650" t="s">
        <v>20</v>
      </c>
      <c r="F650" t="s">
        <v>40</v>
      </c>
      <c r="G650" s="11">
        <v>43881</v>
      </c>
      <c r="H650" t="s">
        <v>15</v>
      </c>
      <c r="I650" t="s">
        <v>23</v>
      </c>
      <c r="J650" t="s">
        <v>17</v>
      </c>
      <c r="K650" s="11" t="str">
        <f t="shared" ca="1" si="10"/>
        <v>5 Years</v>
      </c>
      <c r="L650" s="3" cm="1">
        <f t="array" ref="L650">_xlfn.SWITCH(Table13_24[[#This Row],[Performance Score]],"A",6,"B",5,"C",4,"D",3,"E",2,"F",1)</f>
        <v>3</v>
      </c>
    </row>
    <row r="651" spans="1:12" x14ac:dyDescent="0.3">
      <c r="A651" t="s">
        <v>45</v>
      </c>
      <c r="B651">
        <v>36</v>
      </c>
      <c r="C651" s="1">
        <v>65000</v>
      </c>
      <c r="D651" t="s">
        <v>19</v>
      </c>
      <c r="E651" t="s">
        <v>30</v>
      </c>
      <c r="F651" t="s">
        <v>21</v>
      </c>
      <c r="G651" s="11">
        <v>43881</v>
      </c>
      <c r="H651" t="s">
        <v>31</v>
      </c>
      <c r="I651" t="s">
        <v>39</v>
      </c>
      <c r="J651" t="s">
        <v>17</v>
      </c>
      <c r="K651" s="11" t="str">
        <f t="shared" ca="1" si="10"/>
        <v>5 Years</v>
      </c>
      <c r="L651" s="3" cm="1">
        <f t="array" ref="L651">_xlfn.SWITCH(Table13_24[[#This Row],[Performance Score]],"A",6,"B",5,"C",4,"D",3,"E",2,"F",1)</f>
        <v>6</v>
      </c>
    </row>
    <row r="652" spans="1:12" x14ac:dyDescent="0.3">
      <c r="A652" t="s">
        <v>45</v>
      </c>
      <c r="B652">
        <v>36</v>
      </c>
      <c r="C652" s="1">
        <v>50000</v>
      </c>
      <c r="D652" t="s">
        <v>19</v>
      </c>
      <c r="E652" t="s">
        <v>13</v>
      </c>
      <c r="F652" t="s">
        <v>40</v>
      </c>
      <c r="G652" s="11">
        <v>43195</v>
      </c>
      <c r="H652" t="s">
        <v>31</v>
      </c>
      <c r="I652" t="s">
        <v>32</v>
      </c>
      <c r="J652" t="s">
        <v>17</v>
      </c>
      <c r="K652" s="11" t="str">
        <f t="shared" ca="1" si="10"/>
        <v>7 Years</v>
      </c>
      <c r="L652" s="3" cm="1">
        <f t="array" ref="L652">_xlfn.SWITCH(Table13_24[[#This Row],[Performance Score]],"A",6,"B",5,"C",4,"D",3,"E",2,"F",1)</f>
        <v>6</v>
      </c>
    </row>
    <row r="653" spans="1:12" x14ac:dyDescent="0.3">
      <c r="A653" t="s">
        <v>44</v>
      </c>
      <c r="B653">
        <v>40</v>
      </c>
      <c r="C653" s="1">
        <v>70000</v>
      </c>
      <c r="D653" t="s">
        <v>19</v>
      </c>
      <c r="E653" t="s">
        <v>26</v>
      </c>
      <c r="F653" t="s">
        <v>21</v>
      </c>
      <c r="G653" s="11">
        <v>43845</v>
      </c>
      <c r="H653" t="s">
        <v>38</v>
      </c>
      <c r="I653" t="s">
        <v>39</v>
      </c>
      <c r="J653" t="s">
        <v>28</v>
      </c>
      <c r="K653" s="11" t="str">
        <f t="shared" ca="1" si="10"/>
        <v>5 Years</v>
      </c>
      <c r="L653" s="3" cm="1">
        <f t="array" ref="L653">_xlfn.SWITCH(Table13_24[[#This Row],[Performance Score]],"A",6,"B",5,"C",4,"D",3,"E",2,"F",1)</f>
        <v>5</v>
      </c>
    </row>
    <row r="654" spans="1:12" x14ac:dyDescent="0.3">
      <c r="A654" t="s">
        <v>46</v>
      </c>
      <c r="B654">
        <v>40</v>
      </c>
      <c r="C654" s="1">
        <v>55000</v>
      </c>
      <c r="D654" t="s">
        <v>19</v>
      </c>
      <c r="E654" t="s">
        <v>20</v>
      </c>
      <c r="F654" t="s">
        <v>40</v>
      </c>
      <c r="G654" s="11">
        <v>43881</v>
      </c>
      <c r="H654" t="s">
        <v>27</v>
      </c>
      <c r="I654" t="s">
        <v>23</v>
      </c>
      <c r="J654" t="s">
        <v>42</v>
      </c>
      <c r="K654" s="11" t="str">
        <f t="shared" ca="1" si="10"/>
        <v>5 Years</v>
      </c>
      <c r="L654" s="3" cm="1">
        <f t="array" ref="L654">_xlfn.SWITCH(Table13_24[[#This Row],[Performance Score]],"A",6,"B",5,"C",4,"D",3,"E",2,"F",1)</f>
        <v>4</v>
      </c>
    </row>
    <row r="655" spans="1:12" x14ac:dyDescent="0.3">
      <c r="A655" t="s">
        <v>36</v>
      </c>
      <c r="B655">
        <v>40</v>
      </c>
      <c r="C655" s="1">
        <v>55000</v>
      </c>
      <c r="D655" t="s">
        <v>34</v>
      </c>
      <c r="E655" t="s">
        <v>20</v>
      </c>
      <c r="F655" t="s">
        <v>14</v>
      </c>
      <c r="G655" s="11">
        <v>43477</v>
      </c>
      <c r="H655" t="s">
        <v>31</v>
      </c>
      <c r="I655" t="s">
        <v>39</v>
      </c>
      <c r="J655" t="s">
        <v>42</v>
      </c>
      <c r="K655" s="11" t="str">
        <f t="shared" ca="1" si="10"/>
        <v>6 Years</v>
      </c>
      <c r="L655" s="3" cm="1">
        <f t="array" ref="L655">_xlfn.SWITCH(Table13_24[[#This Row],[Performance Score]],"A",6,"B",5,"C",4,"D",3,"E",2,"F",1)</f>
        <v>6</v>
      </c>
    </row>
    <row r="656" spans="1:12" x14ac:dyDescent="0.3">
      <c r="A656" t="s">
        <v>45</v>
      </c>
      <c r="B656">
        <v>35</v>
      </c>
      <c r="C656" s="1">
        <v>50000</v>
      </c>
      <c r="D656" t="s">
        <v>19</v>
      </c>
      <c r="E656" t="s">
        <v>26</v>
      </c>
      <c r="F656" t="s">
        <v>14</v>
      </c>
      <c r="G656" s="11">
        <v>43549</v>
      </c>
      <c r="H656" t="s">
        <v>22</v>
      </c>
      <c r="I656" t="s">
        <v>39</v>
      </c>
      <c r="J656" t="s">
        <v>24</v>
      </c>
      <c r="K656" s="11" t="str">
        <f t="shared" ca="1" si="10"/>
        <v>6 Years</v>
      </c>
      <c r="L656" s="3" cm="1">
        <f t="array" ref="L656">_xlfn.SWITCH(Table13_24[[#This Row],[Performance Score]],"A",6,"B",5,"C",4,"D",3,"E",2,"F",1)</f>
        <v>1</v>
      </c>
    </row>
    <row r="657" spans="1:12" x14ac:dyDescent="0.3">
      <c r="A657" t="s">
        <v>29</v>
      </c>
      <c r="B657">
        <v>36</v>
      </c>
      <c r="C657" s="1">
        <v>65000</v>
      </c>
      <c r="D657" t="s">
        <v>34</v>
      </c>
      <c r="E657" t="s">
        <v>13</v>
      </c>
      <c r="F657" t="s">
        <v>21</v>
      </c>
      <c r="G657" s="11">
        <v>43881</v>
      </c>
      <c r="H657" t="s">
        <v>27</v>
      </c>
      <c r="I657" t="s">
        <v>39</v>
      </c>
      <c r="J657" t="s">
        <v>28</v>
      </c>
      <c r="K657" s="11" t="str">
        <f t="shared" ca="1" si="10"/>
        <v>5 Years</v>
      </c>
      <c r="L657" s="3" cm="1">
        <f t="array" ref="L657">_xlfn.SWITCH(Table13_24[[#This Row],[Performance Score]],"A",6,"B",5,"C",4,"D",3,"E",2,"F",1)</f>
        <v>4</v>
      </c>
    </row>
    <row r="658" spans="1:12" x14ac:dyDescent="0.3">
      <c r="A658" t="s">
        <v>11</v>
      </c>
      <c r="B658">
        <v>50</v>
      </c>
      <c r="C658" s="1">
        <v>70000</v>
      </c>
      <c r="D658" t="s">
        <v>34</v>
      </c>
      <c r="E658" t="s">
        <v>30</v>
      </c>
      <c r="F658" t="s">
        <v>40</v>
      </c>
      <c r="G658" s="11">
        <v>43845</v>
      </c>
      <c r="H658" t="s">
        <v>27</v>
      </c>
      <c r="I658" t="s">
        <v>16</v>
      </c>
      <c r="J658" t="s">
        <v>17</v>
      </c>
      <c r="K658" s="11" t="str">
        <f t="shared" ca="1" si="10"/>
        <v>5 Years</v>
      </c>
      <c r="L658" s="3" cm="1">
        <f t="array" ref="L658">_xlfn.SWITCH(Table13_24[[#This Row],[Performance Score]],"A",6,"B",5,"C",4,"D",3,"E",2,"F",1)</f>
        <v>4</v>
      </c>
    </row>
    <row r="659" spans="1:12" x14ac:dyDescent="0.3">
      <c r="A659" t="s">
        <v>43</v>
      </c>
      <c r="B659">
        <v>35</v>
      </c>
      <c r="C659" s="1">
        <v>60000</v>
      </c>
      <c r="D659" t="s">
        <v>34</v>
      </c>
      <c r="E659" t="s">
        <v>20</v>
      </c>
      <c r="F659" t="s">
        <v>40</v>
      </c>
      <c r="G659" s="11">
        <v>43881</v>
      </c>
      <c r="H659" t="s">
        <v>22</v>
      </c>
      <c r="I659" t="s">
        <v>39</v>
      </c>
      <c r="J659" t="s">
        <v>24</v>
      </c>
      <c r="K659" s="11" t="str">
        <f t="shared" ca="1" si="10"/>
        <v>5 Years</v>
      </c>
      <c r="L659" s="3" cm="1">
        <f t="array" ref="L659">_xlfn.SWITCH(Table13_24[[#This Row],[Performance Score]],"A",6,"B",5,"C",4,"D",3,"E",2,"F",1)</f>
        <v>1</v>
      </c>
    </row>
    <row r="660" spans="1:12" x14ac:dyDescent="0.3">
      <c r="A660" t="s">
        <v>45</v>
      </c>
      <c r="B660">
        <v>25</v>
      </c>
      <c r="C660" s="1">
        <v>50000</v>
      </c>
      <c r="D660" t="s">
        <v>19</v>
      </c>
      <c r="E660" t="s">
        <v>30</v>
      </c>
      <c r="F660" t="s">
        <v>41</v>
      </c>
      <c r="G660" s="11">
        <v>43549</v>
      </c>
      <c r="H660" t="s">
        <v>15</v>
      </c>
      <c r="I660" t="s">
        <v>39</v>
      </c>
      <c r="J660" t="s">
        <v>28</v>
      </c>
      <c r="K660" s="11" t="str">
        <f t="shared" ca="1" si="10"/>
        <v>6 Years</v>
      </c>
      <c r="L660" s="3" cm="1">
        <f t="array" ref="L660">_xlfn.SWITCH(Table13_24[[#This Row],[Performance Score]],"A",6,"B",5,"C",4,"D",3,"E",2,"F",1)</f>
        <v>3</v>
      </c>
    </row>
    <row r="661" spans="1:12" x14ac:dyDescent="0.3">
      <c r="A661" t="s">
        <v>29</v>
      </c>
      <c r="B661">
        <v>40</v>
      </c>
      <c r="C661" s="1">
        <v>65000</v>
      </c>
      <c r="D661" t="s">
        <v>12</v>
      </c>
      <c r="E661" t="s">
        <v>35</v>
      </c>
      <c r="F661" t="s">
        <v>37</v>
      </c>
      <c r="G661" s="11">
        <v>43845</v>
      </c>
      <c r="H661" t="s">
        <v>22</v>
      </c>
      <c r="I661" t="s">
        <v>39</v>
      </c>
      <c r="J661" t="s">
        <v>17</v>
      </c>
      <c r="K661" s="11" t="str">
        <f t="shared" ca="1" si="10"/>
        <v>5 Years</v>
      </c>
      <c r="L661" s="3" cm="1">
        <f t="array" ref="L661">_xlfn.SWITCH(Table13_24[[#This Row],[Performance Score]],"A",6,"B",5,"C",4,"D",3,"E",2,"F",1)</f>
        <v>1</v>
      </c>
    </row>
    <row r="662" spans="1:12" x14ac:dyDescent="0.3">
      <c r="A662" t="s">
        <v>29</v>
      </c>
      <c r="B662">
        <v>35</v>
      </c>
      <c r="C662" s="1">
        <v>60000</v>
      </c>
      <c r="D662" t="s">
        <v>12</v>
      </c>
      <c r="E662" t="s">
        <v>13</v>
      </c>
      <c r="F662" t="s">
        <v>21</v>
      </c>
      <c r="G662" s="11">
        <v>43195</v>
      </c>
      <c r="H662" t="s">
        <v>22</v>
      </c>
      <c r="I662" t="s">
        <v>32</v>
      </c>
      <c r="J662" t="s">
        <v>28</v>
      </c>
      <c r="K662" s="11" t="str">
        <f t="shared" ca="1" si="10"/>
        <v>7 Years</v>
      </c>
      <c r="L662" s="3" cm="1">
        <f t="array" ref="L662">_xlfn.SWITCH(Table13_24[[#This Row],[Performance Score]],"A",6,"B",5,"C",4,"D",3,"E",2,"F",1)</f>
        <v>1</v>
      </c>
    </row>
    <row r="663" spans="1:12" x14ac:dyDescent="0.3">
      <c r="A663" t="s">
        <v>43</v>
      </c>
      <c r="B663">
        <v>35</v>
      </c>
      <c r="C663" s="1">
        <v>55000</v>
      </c>
      <c r="D663" t="s">
        <v>19</v>
      </c>
      <c r="E663" t="s">
        <v>35</v>
      </c>
      <c r="F663" t="s">
        <v>37</v>
      </c>
      <c r="G663" s="11">
        <v>43845</v>
      </c>
      <c r="H663" t="s">
        <v>15</v>
      </c>
      <c r="I663" t="s">
        <v>39</v>
      </c>
      <c r="J663" t="s">
        <v>24</v>
      </c>
      <c r="K663" s="11" t="str">
        <f t="shared" ca="1" si="10"/>
        <v>5 Years</v>
      </c>
      <c r="L663" s="3" cm="1">
        <f t="array" ref="L663">_xlfn.SWITCH(Table13_24[[#This Row],[Performance Score]],"A",6,"B",5,"C",4,"D",3,"E",2,"F",1)</f>
        <v>3</v>
      </c>
    </row>
    <row r="664" spans="1:12" x14ac:dyDescent="0.3">
      <c r="A664" t="s">
        <v>36</v>
      </c>
      <c r="B664">
        <v>25</v>
      </c>
      <c r="C664" s="1">
        <v>55000</v>
      </c>
      <c r="D664" t="s">
        <v>12</v>
      </c>
      <c r="E664" t="s">
        <v>35</v>
      </c>
      <c r="F664" t="s">
        <v>37</v>
      </c>
      <c r="G664" s="11">
        <v>43195</v>
      </c>
      <c r="H664" t="s">
        <v>15</v>
      </c>
      <c r="I664" t="s">
        <v>39</v>
      </c>
      <c r="J664" t="s">
        <v>42</v>
      </c>
      <c r="K664" s="11" t="str">
        <f t="shared" ca="1" si="10"/>
        <v>7 Years</v>
      </c>
      <c r="L664" s="3" cm="1">
        <f t="array" ref="L664">_xlfn.SWITCH(Table13_24[[#This Row],[Performance Score]],"A",6,"B",5,"C",4,"D",3,"E",2,"F",1)</f>
        <v>3</v>
      </c>
    </row>
    <row r="665" spans="1:12" x14ac:dyDescent="0.3">
      <c r="A665" t="s">
        <v>29</v>
      </c>
      <c r="B665">
        <v>30</v>
      </c>
      <c r="C665" s="1">
        <v>60000</v>
      </c>
      <c r="D665" t="s">
        <v>12</v>
      </c>
      <c r="E665" t="s">
        <v>35</v>
      </c>
      <c r="F665" t="s">
        <v>21</v>
      </c>
      <c r="G665" s="11">
        <v>43845</v>
      </c>
      <c r="H665" t="s">
        <v>15</v>
      </c>
      <c r="I665" t="s">
        <v>23</v>
      </c>
      <c r="J665" t="s">
        <v>17</v>
      </c>
      <c r="K665" s="11" t="str">
        <f t="shared" ca="1" si="10"/>
        <v>5 Years</v>
      </c>
      <c r="L665" s="3" cm="1">
        <f t="array" ref="L665">_xlfn.SWITCH(Table13_24[[#This Row],[Performance Score]],"A",6,"B",5,"C",4,"D",3,"E",2,"F",1)</f>
        <v>3</v>
      </c>
    </row>
    <row r="666" spans="1:12" x14ac:dyDescent="0.3">
      <c r="A666" t="s">
        <v>11</v>
      </c>
      <c r="B666">
        <v>36</v>
      </c>
      <c r="C666" s="1">
        <v>50000</v>
      </c>
      <c r="D666" t="s">
        <v>34</v>
      </c>
      <c r="E666" t="s">
        <v>13</v>
      </c>
      <c r="F666" t="s">
        <v>40</v>
      </c>
      <c r="G666" s="11">
        <v>43549</v>
      </c>
      <c r="H666" t="s">
        <v>15</v>
      </c>
      <c r="I666" t="s">
        <v>16</v>
      </c>
      <c r="J666" t="s">
        <v>17</v>
      </c>
      <c r="K666" s="11" t="str">
        <f t="shared" ca="1" si="10"/>
        <v>6 Years</v>
      </c>
      <c r="L666" s="3" cm="1">
        <f t="array" ref="L666">_xlfn.SWITCH(Table13_24[[#This Row],[Performance Score]],"A",6,"B",5,"C",4,"D",3,"E",2,"F",1)</f>
        <v>3</v>
      </c>
    </row>
    <row r="667" spans="1:12" x14ac:dyDescent="0.3">
      <c r="A667" t="s">
        <v>29</v>
      </c>
      <c r="B667">
        <v>50</v>
      </c>
      <c r="C667" s="1">
        <v>55000</v>
      </c>
      <c r="D667" t="s">
        <v>34</v>
      </c>
      <c r="E667" t="s">
        <v>13</v>
      </c>
      <c r="F667" t="s">
        <v>21</v>
      </c>
      <c r="G667" s="11">
        <v>43549</v>
      </c>
      <c r="H667" t="s">
        <v>15</v>
      </c>
      <c r="I667" t="s">
        <v>32</v>
      </c>
      <c r="J667" t="s">
        <v>28</v>
      </c>
      <c r="K667" s="11" t="str">
        <f t="shared" ca="1" si="10"/>
        <v>6 Years</v>
      </c>
      <c r="L667" s="3" cm="1">
        <f t="array" ref="L667">_xlfn.SWITCH(Table13_24[[#This Row],[Performance Score]],"A",6,"B",5,"C",4,"D",3,"E",2,"F",1)</f>
        <v>3</v>
      </c>
    </row>
    <row r="668" spans="1:12" x14ac:dyDescent="0.3">
      <c r="A668" t="s">
        <v>29</v>
      </c>
      <c r="B668">
        <v>30</v>
      </c>
      <c r="C668" s="1">
        <v>70000</v>
      </c>
      <c r="D668" t="s">
        <v>19</v>
      </c>
      <c r="E668" t="s">
        <v>26</v>
      </c>
      <c r="F668" t="s">
        <v>37</v>
      </c>
      <c r="G668" s="11">
        <v>43845</v>
      </c>
      <c r="H668" t="s">
        <v>22</v>
      </c>
      <c r="I668" t="s">
        <v>39</v>
      </c>
      <c r="J668" t="s">
        <v>24</v>
      </c>
      <c r="K668" s="11" t="str">
        <f t="shared" ca="1" si="10"/>
        <v>5 Years</v>
      </c>
      <c r="L668" s="3" cm="1">
        <f t="array" ref="L668">_xlfn.SWITCH(Table13_24[[#This Row],[Performance Score]],"A",6,"B",5,"C",4,"D",3,"E",2,"F",1)</f>
        <v>1</v>
      </c>
    </row>
    <row r="669" spans="1:12" x14ac:dyDescent="0.3">
      <c r="A669" t="s">
        <v>29</v>
      </c>
      <c r="B669">
        <v>40</v>
      </c>
      <c r="C669" s="1">
        <v>50777.202072538857</v>
      </c>
      <c r="D669" t="s">
        <v>19</v>
      </c>
      <c r="E669" t="s">
        <v>30</v>
      </c>
      <c r="F669" t="s">
        <v>40</v>
      </c>
      <c r="G669" s="11">
        <v>43881</v>
      </c>
      <c r="H669" t="s">
        <v>38</v>
      </c>
      <c r="I669" t="s">
        <v>23</v>
      </c>
      <c r="J669" t="s">
        <v>24</v>
      </c>
      <c r="K669" s="11" t="str">
        <f t="shared" ca="1" si="10"/>
        <v>5 Years</v>
      </c>
      <c r="L669" s="3" cm="1">
        <f t="array" ref="L669">_xlfn.SWITCH(Table13_24[[#This Row],[Performance Score]],"A",6,"B",5,"C",4,"D",3,"E",2,"F",1)</f>
        <v>5</v>
      </c>
    </row>
    <row r="670" spans="1:12" x14ac:dyDescent="0.3">
      <c r="A670" t="s">
        <v>33</v>
      </c>
      <c r="B670">
        <v>35</v>
      </c>
      <c r="C670" s="1">
        <v>60000</v>
      </c>
      <c r="D670" t="s">
        <v>12</v>
      </c>
      <c r="E670" t="s">
        <v>30</v>
      </c>
      <c r="F670" t="s">
        <v>14</v>
      </c>
      <c r="G670" s="11">
        <v>43549</v>
      </c>
      <c r="H670" t="s">
        <v>38</v>
      </c>
      <c r="I670" t="s">
        <v>16</v>
      </c>
      <c r="J670" t="s">
        <v>17</v>
      </c>
      <c r="K670" s="11" t="str">
        <f t="shared" ca="1" si="10"/>
        <v>6 Years</v>
      </c>
      <c r="L670" s="3" cm="1">
        <f t="array" ref="L670">_xlfn.SWITCH(Table13_24[[#This Row],[Performance Score]],"A",6,"B",5,"C",4,"D",3,"E",2,"F",1)</f>
        <v>5</v>
      </c>
    </row>
    <row r="671" spans="1:12" x14ac:dyDescent="0.3">
      <c r="A671" t="s">
        <v>33</v>
      </c>
      <c r="B671">
        <v>25</v>
      </c>
      <c r="C671" s="1">
        <v>60000</v>
      </c>
      <c r="D671" t="s">
        <v>34</v>
      </c>
      <c r="E671" t="s">
        <v>26</v>
      </c>
      <c r="F671" t="s">
        <v>21</v>
      </c>
      <c r="G671" s="11">
        <v>43195</v>
      </c>
      <c r="H671" t="s">
        <v>31</v>
      </c>
      <c r="I671" t="s">
        <v>32</v>
      </c>
      <c r="J671" t="s">
        <v>24</v>
      </c>
      <c r="K671" s="11" t="str">
        <f t="shared" ca="1" si="10"/>
        <v>7 Years</v>
      </c>
      <c r="L671" s="3" cm="1">
        <f t="array" ref="L671">_xlfn.SWITCH(Table13_24[[#This Row],[Performance Score]],"A",6,"B",5,"C",4,"D",3,"E",2,"F",1)</f>
        <v>6</v>
      </c>
    </row>
    <row r="672" spans="1:12" x14ac:dyDescent="0.3">
      <c r="A672" t="s">
        <v>36</v>
      </c>
      <c r="B672">
        <v>25</v>
      </c>
      <c r="C672" s="1">
        <v>55000</v>
      </c>
      <c r="D672" t="s">
        <v>19</v>
      </c>
      <c r="E672" t="s">
        <v>26</v>
      </c>
      <c r="F672" t="s">
        <v>21</v>
      </c>
      <c r="G672" s="11">
        <v>43195</v>
      </c>
      <c r="H672" t="s">
        <v>38</v>
      </c>
      <c r="I672" t="s">
        <v>32</v>
      </c>
      <c r="J672" t="s">
        <v>24</v>
      </c>
      <c r="K672" s="11" t="str">
        <f t="shared" ca="1" si="10"/>
        <v>7 Years</v>
      </c>
      <c r="L672" s="3" cm="1">
        <f t="array" ref="L672">_xlfn.SWITCH(Table13_24[[#This Row],[Performance Score]],"A",6,"B",5,"C",4,"D",3,"E",2,"F",1)</f>
        <v>5</v>
      </c>
    </row>
    <row r="673" spans="1:12" x14ac:dyDescent="0.3">
      <c r="A673" t="s">
        <v>45</v>
      </c>
      <c r="B673">
        <v>36</v>
      </c>
      <c r="C673" s="1">
        <v>50000</v>
      </c>
      <c r="D673" t="s">
        <v>19</v>
      </c>
      <c r="E673" t="s">
        <v>35</v>
      </c>
      <c r="F673" t="s">
        <v>40</v>
      </c>
      <c r="G673" s="11">
        <v>43477</v>
      </c>
      <c r="H673" t="s">
        <v>38</v>
      </c>
      <c r="I673" t="s">
        <v>39</v>
      </c>
      <c r="J673" t="s">
        <v>17</v>
      </c>
      <c r="K673" s="11" t="str">
        <f t="shared" ca="1" si="10"/>
        <v>6 Years</v>
      </c>
      <c r="L673" s="3" cm="1">
        <f t="array" ref="L673">_xlfn.SWITCH(Table13_24[[#This Row],[Performance Score]],"A",6,"B",5,"C",4,"D",3,"E",2,"F",1)</f>
        <v>5</v>
      </c>
    </row>
    <row r="674" spans="1:12" x14ac:dyDescent="0.3">
      <c r="A674" t="s">
        <v>29</v>
      </c>
      <c r="B674">
        <v>30</v>
      </c>
      <c r="C674" s="1">
        <v>70000</v>
      </c>
      <c r="D674" t="s">
        <v>19</v>
      </c>
      <c r="E674" t="s">
        <v>26</v>
      </c>
      <c r="F674" t="s">
        <v>14</v>
      </c>
      <c r="G674" s="11">
        <v>43195</v>
      </c>
      <c r="H674" t="s">
        <v>22</v>
      </c>
      <c r="I674" t="s">
        <v>32</v>
      </c>
      <c r="J674" t="s">
        <v>17</v>
      </c>
      <c r="K674" s="11" t="str">
        <f t="shared" ca="1" si="10"/>
        <v>7 Years</v>
      </c>
      <c r="L674" s="3" cm="1">
        <f t="array" ref="L674">_xlfn.SWITCH(Table13_24[[#This Row],[Performance Score]],"A",6,"B",5,"C",4,"D",3,"E",2,"F",1)</f>
        <v>1</v>
      </c>
    </row>
    <row r="675" spans="1:12" x14ac:dyDescent="0.3">
      <c r="A675" t="s">
        <v>46</v>
      </c>
      <c r="B675">
        <v>36</v>
      </c>
      <c r="C675" s="1">
        <v>50000</v>
      </c>
      <c r="D675" t="s">
        <v>19</v>
      </c>
      <c r="E675" t="s">
        <v>20</v>
      </c>
      <c r="F675" t="s">
        <v>14</v>
      </c>
      <c r="G675" s="11">
        <v>43477</v>
      </c>
      <c r="H675" t="s">
        <v>15</v>
      </c>
      <c r="I675" t="s">
        <v>23</v>
      </c>
      <c r="J675" t="s">
        <v>42</v>
      </c>
      <c r="K675" s="11" t="str">
        <f t="shared" ca="1" si="10"/>
        <v>6 Years</v>
      </c>
      <c r="L675" s="3" cm="1">
        <f t="array" ref="L675">_xlfn.SWITCH(Table13_24[[#This Row],[Performance Score]],"A",6,"B",5,"C",4,"D",3,"E",2,"F",1)</f>
        <v>3</v>
      </c>
    </row>
    <row r="676" spans="1:12" x14ac:dyDescent="0.3">
      <c r="A676" t="s">
        <v>45</v>
      </c>
      <c r="B676">
        <v>35</v>
      </c>
      <c r="C676" s="1">
        <v>65000</v>
      </c>
      <c r="D676" t="s">
        <v>19</v>
      </c>
      <c r="E676" t="s">
        <v>30</v>
      </c>
      <c r="F676" t="s">
        <v>40</v>
      </c>
      <c r="G676" s="11">
        <v>43845</v>
      </c>
      <c r="H676" t="s">
        <v>15</v>
      </c>
      <c r="I676" t="s">
        <v>32</v>
      </c>
      <c r="J676" t="s">
        <v>42</v>
      </c>
      <c r="K676" s="11" t="str">
        <f t="shared" ca="1" si="10"/>
        <v>5 Years</v>
      </c>
      <c r="L676" s="3" cm="1">
        <f t="array" ref="L676">_xlfn.SWITCH(Table13_24[[#This Row],[Performance Score]],"A",6,"B",5,"C",4,"D",3,"E",2,"F",1)</f>
        <v>3</v>
      </c>
    </row>
    <row r="677" spans="1:12" x14ac:dyDescent="0.3">
      <c r="A677" t="s">
        <v>36</v>
      </c>
      <c r="B677">
        <v>36</v>
      </c>
      <c r="C677" s="1">
        <v>65000</v>
      </c>
      <c r="D677" t="s">
        <v>19</v>
      </c>
      <c r="E677" t="s">
        <v>26</v>
      </c>
      <c r="F677" t="s">
        <v>41</v>
      </c>
      <c r="G677" s="11">
        <v>43845</v>
      </c>
      <c r="H677" t="s">
        <v>22</v>
      </c>
      <c r="I677" t="s">
        <v>39</v>
      </c>
      <c r="J677" t="s">
        <v>28</v>
      </c>
      <c r="K677" s="11" t="str">
        <f t="shared" ca="1" si="10"/>
        <v>5 Years</v>
      </c>
      <c r="L677" s="3" cm="1">
        <f t="array" ref="L677">_xlfn.SWITCH(Table13_24[[#This Row],[Performance Score]],"A",6,"B",5,"C",4,"D",3,"E",2,"F",1)</f>
        <v>1</v>
      </c>
    </row>
    <row r="678" spans="1:12" x14ac:dyDescent="0.3">
      <c r="A678" t="s">
        <v>18</v>
      </c>
      <c r="B678">
        <v>50</v>
      </c>
      <c r="C678" s="1">
        <v>48417.431192660551</v>
      </c>
      <c r="D678" t="s">
        <v>12</v>
      </c>
      <c r="E678" t="s">
        <v>20</v>
      </c>
      <c r="F678" t="s">
        <v>21</v>
      </c>
      <c r="G678" s="11">
        <v>43845</v>
      </c>
      <c r="H678" t="s">
        <v>38</v>
      </c>
      <c r="I678" t="s">
        <v>23</v>
      </c>
      <c r="J678" t="s">
        <v>17</v>
      </c>
      <c r="K678" s="11" t="str">
        <f t="shared" ca="1" si="10"/>
        <v>5 Years</v>
      </c>
      <c r="L678" s="3" cm="1">
        <f t="array" ref="L678">_xlfn.SWITCH(Table13_24[[#This Row],[Performance Score]],"A",6,"B",5,"C",4,"D",3,"E",2,"F",1)</f>
        <v>5</v>
      </c>
    </row>
    <row r="679" spans="1:12" x14ac:dyDescent="0.3">
      <c r="A679" t="s">
        <v>45</v>
      </c>
      <c r="B679">
        <v>25</v>
      </c>
      <c r="C679" s="1">
        <v>55000</v>
      </c>
      <c r="D679" t="s">
        <v>34</v>
      </c>
      <c r="E679" t="s">
        <v>20</v>
      </c>
      <c r="F679" t="s">
        <v>21</v>
      </c>
      <c r="G679" s="11">
        <v>43881</v>
      </c>
      <c r="H679" t="s">
        <v>22</v>
      </c>
      <c r="I679" t="s">
        <v>16</v>
      </c>
      <c r="J679" t="s">
        <v>28</v>
      </c>
      <c r="K679" s="11" t="str">
        <f t="shared" ca="1" si="10"/>
        <v>5 Years</v>
      </c>
      <c r="L679" s="3" cm="1">
        <f t="array" ref="L679">_xlfn.SWITCH(Table13_24[[#This Row],[Performance Score]],"A",6,"B",5,"C",4,"D",3,"E",2,"F",1)</f>
        <v>1</v>
      </c>
    </row>
    <row r="680" spans="1:12" x14ac:dyDescent="0.3">
      <c r="A680" t="s">
        <v>45</v>
      </c>
      <c r="B680">
        <v>25</v>
      </c>
      <c r="C680" s="1">
        <v>55000</v>
      </c>
      <c r="D680" t="s">
        <v>34</v>
      </c>
      <c r="E680" t="s">
        <v>20</v>
      </c>
      <c r="F680" t="s">
        <v>37</v>
      </c>
      <c r="G680" s="11">
        <v>43881</v>
      </c>
      <c r="H680" t="s">
        <v>31</v>
      </c>
      <c r="I680" t="s">
        <v>16</v>
      </c>
      <c r="J680" t="s">
        <v>42</v>
      </c>
      <c r="K680" s="11" t="str">
        <f t="shared" ca="1" si="10"/>
        <v>5 Years</v>
      </c>
      <c r="L680" s="3" cm="1">
        <f t="array" ref="L680">_xlfn.SWITCH(Table13_24[[#This Row],[Performance Score]],"A",6,"B",5,"C",4,"D",3,"E",2,"F",1)</f>
        <v>6</v>
      </c>
    </row>
    <row r="681" spans="1:12" x14ac:dyDescent="0.3">
      <c r="A681" t="s">
        <v>25</v>
      </c>
      <c r="B681">
        <v>40</v>
      </c>
      <c r="C681" s="1">
        <v>55000</v>
      </c>
      <c r="D681" t="s">
        <v>19</v>
      </c>
      <c r="E681" t="s">
        <v>20</v>
      </c>
      <c r="F681" t="s">
        <v>40</v>
      </c>
      <c r="G681" s="11">
        <v>43477</v>
      </c>
      <c r="H681" t="s">
        <v>15</v>
      </c>
      <c r="I681" t="s">
        <v>39</v>
      </c>
      <c r="J681" t="s">
        <v>17</v>
      </c>
      <c r="K681" s="11" t="str">
        <f t="shared" ca="1" si="10"/>
        <v>6 Years</v>
      </c>
      <c r="L681" s="3" cm="1">
        <f t="array" ref="L681">_xlfn.SWITCH(Table13_24[[#This Row],[Performance Score]],"A",6,"B",5,"C",4,"D",3,"E",2,"F",1)</f>
        <v>3</v>
      </c>
    </row>
    <row r="682" spans="1:12" x14ac:dyDescent="0.3">
      <c r="A682" t="s">
        <v>44</v>
      </c>
      <c r="B682">
        <v>40</v>
      </c>
      <c r="C682" s="1">
        <v>49144.385026737968</v>
      </c>
      <c r="D682" t="s">
        <v>34</v>
      </c>
      <c r="E682" t="s">
        <v>35</v>
      </c>
      <c r="F682" t="s">
        <v>37</v>
      </c>
      <c r="G682" s="11">
        <v>43195</v>
      </c>
      <c r="H682" t="s">
        <v>27</v>
      </c>
      <c r="I682" t="s">
        <v>39</v>
      </c>
      <c r="J682" t="s">
        <v>24</v>
      </c>
      <c r="K682" s="11" t="str">
        <f t="shared" ca="1" si="10"/>
        <v>7 Years</v>
      </c>
      <c r="L682" s="3" cm="1">
        <f t="array" ref="L682">_xlfn.SWITCH(Table13_24[[#This Row],[Performance Score]],"A",6,"B",5,"C",4,"D",3,"E",2,"F",1)</f>
        <v>4</v>
      </c>
    </row>
    <row r="683" spans="1:12" x14ac:dyDescent="0.3">
      <c r="A683" t="s">
        <v>25</v>
      </c>
      <c r="B683">
        <v>35</v>
      </c>
      <c r="C683" s="1">
        <v>65000</v>
      </c>
      <c r="D683" t="s">
        <v>34</v>
      </c>
      <c r="E683" t="s">
        <v>20</v>
      </c>
      <c r="F683" t="s">
        <v>37</v>
      </c>
      <c r="G683" s="11">
        <v>43195</v>
      </c>
      <c r="H683" t="s">
        <v>31</v>
      </c>
      <c r="I683" t="s">
        <v>39</v>
      </c>
      <c r="J683" t="s">
        <v>42</v>
      </c>
      <c r="K683" s="11" t="str">
        <f t="shared" ca="1" si="10"/>
        <v>7 Years</v>
      </c>
      <c r="L683" s="3" cm="1">
        <f t="array" ref="L683">_xlfn.SWITCH(Table13_24[[#This Row],[Performance Score]],"A",6,"B",5,"C",4,"D",3,"E",2,"F",1)</f>
        <v>6</v>
      </c>
    </row>
    <row r="684" spans="1:12" x14ac:dyDescent="0.3">
      <c r="A684" t="s">
        <v>11</v>
      </c>
      <c r="B684">
        <v>50</v>
      </c>
      <c r="C684" s="1">
        <v>50000</v>
      </c>
      <c r="D684" t="s">
        <v>34</v>
      </c>
      <c r="E684" t="s">
        <v>35</v>
      </c>
      <c r="F684" t="s">
        <v>14</v>
      </c>
      <c r="G684" s="11">
        <v>43845</v>
      </c>
      <c r="H684" t="s">
        <v>31</v>
      </c>
      <c r="I684" t="s">
        <v>16</v>
      </c>
      <c r="J684" t="s">
        <v>17</v>
      </c>
      <c r="K684" s="11" t="str">
        <f t="shared" ca="1" si="10"/>
        <v>5 Years</v>
      </c>
      <c r="L684" s="3" cm="1">
        <f t="array" ref="L684">_xlfn.SWITCH(Table13_24[[#This Row],[Performance Score]],"A",6,"B",5,"C",4,"D",3,"E",2,"F",1)</f>
        <v>6</v>
      </c>
    </row>
    <row r="685" spans="1:12" x14ac:dyDescent="0.3">
      <c r="A685" t="s">
        <v>33</v>
      </c>
      <c r="B685">
        <v>30</v>
      </c>
      <c r="C685" s="1">
        <v>49144.385026737968</v>
      </c>
      <c r="D685" t="s">
        <v>19</v>
      </c>
      <c r="E685" t="s">
        <v>35</v>
      </c>
      <c r="F685" t="s">
        <v>21</v>
      </c>
      <c r="G685" s="11">
        <v>43549</v>
      </c>
      <c r="H685" t="s">
        <v>22</v>
      </c>
      <c r="I685" t="s">
        <v>16</v>
      </c>
      <c r="J685" t="s">
        <v>42</v>
      </c>
      <c r="K685" s="11" t="str">
        <f t="shared" ca="1" si="10"/>
        <v>6 Years</v>
      </c>
      <c r="L685" s="3" cm="1">
        <f t="array" ref="L685">_xlfn.SWITCH(Table13_24[[#This Row],[Performance Score]],"A",6,"B",5,"C",4,"D",3,"E",2,"F",1)</f>
        <v>1</v>
      </c>
    </row>
    <row r="686" spans="1:12" x14ac:dyDescent="0.3">
      <c r="A686" t="s">
        <v>33</v>
      </c>
      <c r="B686">
        <v>36</v>
      </c>
      <c r="C686" s="1">
        <v>48417.431192660551</v>
      </c>
      <c r="D686" t="s">
        <v>19</v>
      </c>
      <c r="E686" t="s">
        <v>20</v>
      </c>
      <c r="F686" t="s">
        <v>37</v>
      </c>
      <c r="G686" s="11">
        <v>43881</v>
      </c>
      <c r="H686" t="s">
        <v>38</v>
      </c>
      <c r="I686" t="s">
        <v>16</v>
      </c>
      <c r="J686" t="s">
        <v>17</v>
      </c>
      <c r="K686" s="11" t="str">
        <f t="shared" ca="1" si="10"/>
        <v>5 Years</v>
      </c>
      <c r="L686" s="3" cm="1">
        <f t="array" ref="L686">_xlfn.SWITCH(Table13_24[[#This Row],[Performance Score]],"A",6,"B",5,"C",4,"D",3,"E",2,"F",1)</f>
        <v>5</v>
      </c>
    </row>
    <row r="687" spans="1:12" x14ac:dyDescent="0.3">
      <c r="A687" t="s">
        <v>44</v>
      </c>
      <c r="B687">
        <v>35</v>
      </c>
      <c r="C687" s="1">
        <v>50000</v>
      </c>
      <c r="D687" t="s">
        <v>34</v>
      </c>
      <c r="E687" t="s">
        <v>30</v>
      </c>
      <c r="F687" t="s">
        <v>14</v>
      </c>
      <c r="G687" s="11">
        <v>43881</v>
      </c>
      <c r="H687" t="s">
        <v>15</v>
      </c>
      <c r="I687" t="s">
        <v>16</v>
      </c>
      <c r="J687" t="s">
        <v>17</v>
      </c>
      <c r="K687" s="11" t="str">
        <f t="shared" ca="1" si="10"/>
        <v>5 Years</v>
      </c>
      <c r="L687" s="3" cm="1">
        <f t="array" ref="L687">_xlfn.SWITCH(Table13_24[[#This Row],[Performance Score]],"A",6,"B",5,"C",4,"D",3,"E",2,"F",1)</f>
        <v>3</v>
      </c>
    </row>
    <row r="688" spans="1:12" x14ac:dyDescent="0.3">
      <c r="A688" t="s">
        <v>43</v>
      </c>
      <c r="B688">
        <v>40</v>
      </c>
      <c r="C688" s="1">
        <v>55000</v>
      </c>
      <c r="D688" t="s">
        <v>34</v>
      </c>
      <c r="E688" t="s">
        <v>20</v>
      </c>
      <c r="F688" t="s">
        <v>40</v>
      </c>
      <c r="G688" s="11">
        <v>43845</v>
      </c>
      <c r="H688" t="s">
        <v>27</v>
      </c>
      <c r="I688" t="s">
        <v>32</v>
      </c>
      <c r="J688" t="s">
        <v>17</v>
      </c>
      <c r="K688" s="11" t="str">
        <f t="shared" ca="1" si="10"/>
        <v>5 Years</v>
      </c>
      <c r="L688" s="3" cm="1">
        <f t="array" ref="L688">_xlfn.SWITCH(Table13_24[[#This Row],[Performance Score]],"A",6,"B",5,"C",4,"D",3,"E",2,"F",1)</f>
        <v>4</v>
      </c>
    </row>
    <row r="689" spans="1:12" x14ac:dyDescent="0.3">
      <c r="A689" t="s">
        <v>43</v>
      </c>
      <c r="B689">
        <v>36</v>
      </c>
      <c r="C689" s="1">
        <v>70000</v>
      </c>
      <c r="D689" t="s">
        <v>19</v>
      </c>
      <c r="E689" t="s">
        <v>20</v>
      </c>
      <c r="F689" t="s">
        <v>37</v>
      </c>
      <c r="G689" s="11">
        <v>43881</v>
      </c>
      <c r="H689" t="s">
        <v>31</v>
      </c>
      <c r="I689" t="s">
        <v>23</v>
      </c>
      <c r="J689" t="s">
        <v>28</v>
      </c>
      <c r="K689" s="11" t="str">
        <f t="shared" ca="1" si="10"/>
        <v>5 Years</v>
      </c>
      <c r="L689" s="3" cm="1">
        <f t="array" ref="L689">_xlfn.SWITCH(Table13_24[[#This Row],[Performance Score]],"A",6,"B",5,"C",4,"D",3,"E",2,"F",1)</f>
        <v>6</v>
      </c>
    </row>
    <row r="690" spans="1:12" x14ac:dyDescent="0.3">
      <c r="A690" t="s">
        <v>36</v>
      </c>
      <c r="B690">
        <v>40</v>
      </c>
      <c r="C690" s="1">
        <v>50000</v>
      </c>
      <c r="D690" t="s">
        <v>12</v>
      </c>
      <c r="E690" t="s">
        <v>20</v>
      </c>
      <c r="F690" t="s">
        <v>21</v>
      </c>
      <c r="G690" s="11">
        <v>43845</v>
      </c>
      <c r="H690" t="s">
        <v>27</v>
      </c>
      <c r="I690" t="s">
        <v>23</v>
      </c>
      <c r="J690" t="s">
        <v>17</v>
      </c>
      <c r="K690" s="11" t="str">
        <f t="shared" ca="1" si="10"/>
        <v>5 Years</v>
      </c>
      <c r="L690" s="3" cm="1">
        <f t="array" ref="L690">_xlfn.SWITCH(Table13_24[[#This Row],[Performance Score]],"A",6,"B",5,"C",4,"D",3,"E",2,"F",1)</f>
        <v>4</v>
      </c>
    </row>
    <row r="691" spans="1:12" x14ac:dyDescent="0.3">
      <c r="A691" t="s">
        <v>44</v>
      </c>
      <c r="B691">
        <v>36</v>
      </c>
      <c r="C691" s="1">
        <v>65000</v>
      </c>
      <c r="D691" t="s">
        <v>34</v>
      </c>
      <c r="E691" t="s">
        <v>30</v>
      </c>
      <c r="F691" t="s">
        <v>37</v>
      </c>
      <c r="G691" s="11">
        <v>43477</v>
      </c>
      <c r="H691" t="s">
        <v>38</v>
      </c>
      <c r="I691" t="s">
        <v>39</v>
      </c>
      <c r="J691" t="s">
        <v>42</v>
      </c>
      <c r="K691" s="11" t="str">
        <f t="shared" ca="1" si="10"/>
        <v>6 Years</v>
      </c>
      <c r="L691" s="3" cm="1">
        <f t="array" ref="L691">_xlfn.SWITCH(Table13_24[[#This Row],[Performance Score]],"A",6,"B",5,"C",4,"D",3,"E",2,"F",1)</f>
        <v>5</v>
      </c>
    </row>
    <row r="692" spans="1:12" x14ac:dyDescent="0.3">
      <c r="A692" t="s">
        <v>45</v>
      </c>
      <c r="B692">
        <v>30</v>
      </c>
      <c r="C692" s="1">
        <v>60000</v>
      </c>
      <c r="D692" t="s">
        <v>12</v>
      </c>
      <c r="E692" t="s">
        <v>13</v>
      </c>
      <c r="F692" t="s">
        <v>40</v>
      </c>
      <c r="G692" s="11">
        <v>43195</v>
      </c>
      <c r="H692" t="s">
        <v>38</v>
      </c>
      <c r="I692" t="s">
        <v>32</v>
      </c>
      <c r="J692" t="s">
        <v>17</v>
      </c>
      <c r="K692" s="11" t="str">
        <f t="shared" ca="1" si="10"/>
        <v>7 Years</v>
      </c>
      <c r="L692" s="3" cm="1">
        <f t="array" ref="L692">_xlfn.SWITCH(Table13_24[[#This Row],[Performance Score]],"A",6,"B",5,"C",4,"D",3,"E",2,"F",1)</f>
        <v>5</v>
      </c>
    </row>
    <row r="693" spans="1:12" x14ac:dyDescent="0.3">
      <c r="A693" t="s">
        <v>43</v>
      </c>
      <c r="B693">
        <v>35</v>
      </c>
      <c r="C693" s="1">
        <v>60000</v>
      </c>
      <c r="D693" t="s">
        <v>34</v>
      </c>
      <c r="E693" t="s">
        <v>13</v>
      </c>
      <c r="F693" t="s">
        <v>37</v>
      </c>
      <c r="G693" s="11">
        <v>43549</v>
      </c>
      <c r="H693" t="s">
        <v>27</v>
      </c>
      <c r="I693" t="s">
        <v>16</v>
      </c>
      <c r="J693" t="s">
        <v>24</v>
      </c>
      <c r="K693" s="11" t="str">
        <f t="shared" ca="1" si="10"/>
        <v>6 Years</v>
      </c>
      <c r="L693" s="3" cm="1">
        <f t="array" ref="L693">_xlfn.SWITCH(Table13_24[[#This Row],[Performance Score]],"A",6,"B",5,"C",4,"D",3,"E",2,"F",1)</f>
        <v>4</v>
      </c>
    </row>
    <row r="694" spans="1:12" x14ac:dyDescent="0.3">
      <c r="A694" t="s">
        <v>29</v>
      </c>
      <c r="B694">
        <v>36</v>
      </c>
      <c r="C694" s="1">
        <v>49144.385026737968</v>
      </c>
      <c r="D694" t="s">
        <v>12</v>
      </c>
      <c r="E694" t="s">
        <v>35</v>
      </c>
      <c r="F694" t="s">
        <v>21</v>
      </c>
      <c r="G694" s="11">
        <v>43195</v>
      </c>
      <c r="H694" t="s">
        <v>15</v>
      </c>
      <c r="I694" t="s">
        <v>16</v>
      </c>
      <c r="J694" t="s">
        <v>42</v>
      </c>
      <c r="K694" s="11" t="str">
        <f t="shared" ca="1" si="10"/>
        <v>7 Years</v>
      </c>
      <c r="L694" s="3" cm="1">
        <f t="array" ref="L694">_xlfn.SWITCH(Table13_24[[#This Row],[Performance Score]],"A",6,"B",5,"C",4,"D",3,"E",2,"F",1)</f>
        <v>3</v>
      </c>
    </row>
    <row r="695" spans="1:12" x14ac:dyDescent="0.3">
      <c r="A695" t="s">
        <v>46</v>
      </c>
      <c r="B695">
        <v>50</v>
      </c>
      <c r="C695" s="1">
        <v>60000</v>
      </c>
      <c r="D695" t="s">
        <v>12</v>
      </c>
      <c r="E695" t="s">
        <v>35</v>
      </c>
      <c r="F695" t="s">
        <v>14</v>
      </c>
      <c r="G695" s="11">
        <v>43195</v>
      </c>
      <c r="H695" t="s">
        <v>38</v>
      </c>
      <c r="I695" t="s">
        <v>39</v>
      </c>
      <c r="J695" t="s">
        <v>17</v>
      </c>
      <c r="K695" s="11" t="str">
        <f t="shared" ca="1" si="10"/>
        <v>7 Years</v>
      </c>
      <c r="L695" s="3" cm="1">
        <f t="array" ref="L695">_xlfn.SWITCH(Table13_24[[#This Row],[Performance Score]],"A",6,"B",5,"C",4,"D",3,"E",2,"F",1)</f>
        <v>5</v>
      </c>
    </row>
    <row r="696" spans="1:12" x14ac:dyDescent="0.3">
      <c r="A696" t="s">
        <v>45</v>
      </c>
      <c r="B696">
        <v>25</v>
      </c>
      <c r="C696" s="1">
        <v>70000</v>
      </c>
      <c r="D696" t="s">
        <v>12</v>
      </c>
      <c r="E696" t="s">
        <v>30</v>
      </c>
      <c r="F696" t="s">
        <v>21</v>
      </c>
      <c r="G696" s="11">
        <v>43477</v>
      </c>
      <c r="H696" t="s">
        <v>27</v>
      </c>
      <c r="I696" t="s">
        <v>39</v>
      </c>
      <c r="J696" t="s">
        <v>17</v>
      </c>
      <c r="K696" s="11" t="str">
        <f t="shared" ca="1" si="10"/>
        <v>6 Years</v>
      </c>
      <c r="L696" s="3" cm="1">
        <f t="array" ref="L696">_xlfn.SWITCH(Table13_24[[#This Row],[Performance Score]],"A",6,"B",5,"C",4,"D",3,"E",2,"F",1)</f>
        <v>4</v>
      </c>
    </row>
    <row r="697" spans="1:12" x14ac:dyDescent="0.3">
      <c r="A697" t="s">
        <v>11</v>
      </c>
      <c r="B697">
        <v>50</v>
      </c>
      <c r="C697" s="1">
        <v>55000</v>
      </c>
      <c r="D697" t="s">
        <v>19</v>
      </c>
      <c r="E697" t="s">
        <v>26</v>
      </c>
      <c r="F697" t="s">
        <v>14</v>
      </c>
      <c r="G697" s="11">
        <v>43881</v>
      </c>
      <c r="H697" t="s">
        <v>31</v>
      </c>
      <c r="I697" t="s">
        <v>39</v>
      </c>
      <c r="J697" t="s">
        <v>24</v>
      </c>
      <c r="K697" s="11" t="str">
        <f t="shared" ca="1" si="10"/>
        <v>5 Years</v>
      </c>
      <c r="L697" s="3" cm="1">
        <f t="array" ref="L697">_xlfn.SWITCH(Table13_24[[#This Row],[Performance Score]],"A",6,"B",5,"C",4,"D",3,"E",2,"F",1)</f>
        <v>6</v>
      </c>
    </row>
    <row r="698" spans="1:12" x14ac:dyDescent="0.3">
      <c r="A698" t="s">
        <v>29</v>
      </c>
      <c r="B698">
        <v>50</v>
      </c>
      <c r="C698" s="1">
        <v>65000</v>
      </c>
      <c r="D698" t="s">
        <v>12</v>
      </c>
      <c r="E698" t="s">
        <v>13</v>
      </c>
      <c r="F698" t="s">
        <v>41</v>
      </c>
      <c r="G698" s="11">
        <v>43549</v>
      </c>
      <c r="H698" t="s">
        <v>27</v>
      </c>
      <c r="I698" t="s">
        <v>16</v>
      </c>
      <c r="J698" t="s">
        <v>17</v>
      </c>
      <c r="K698" s="11" t="str">
        <f t="shared" ca="1" si="10"/>
        <v>6 Years</v>
      </c>
      <c r="L698" s="3" cm="1">
        <f t="array" ref="L698">_xlfn.SWITCH(Table13_24[[#This Row],[Performance Score]],"A",6,"B",5,"C",4,"D",3,"E",2,"F",1)</f>
        <v>4</v>
      </c>
    </row>
    <row r="699" spans="1:12" x14ac:dyDescent="0.3">
      <c r="A699" t="s">
        <v>29</v>
      </c>
      <c r="B699">
        <v>25</v>
      </c>
      <c r="C699" s="1">
        <v>70000</v>
      </c>
      <c r="D699" t="s">
        <v>12</v>
      </c>
      <c r="E699" t="s">
        <v>35</v>
      </c>
      <c r="F699" t="s">
        <v>21</v>
      </c>
      <c r="G699" s="11">
        <v>43881</v>
      </c>
      <c r="H699" t="s">
        <v>27</v>
      </c>
      <c r="I699" t="s">
        <v>39</v>
      </c>
      <c r="J699" t="s">
        <v>42</v>
      </c>
      <c r="K699" s="11" t="str">
        <f t="shared" ca="1" si="10"/>
        <v>5 Years</v>
      </c>
      <c r="L699" s="3" cm="1">
        <f t="array" ref="L699">_xlfn.SWITCH(Table13_24[[#This Row],[Performance Score]],"A",6,"B",5,"C",4,"D",3,"E",2,"F",1)</f>
        <v>4</v>
      </c>
    </row>
    <row r="700" spans="1:12" x14ac:dyDescent="0.3">
      <c r="A700" t="s">
        <v>44</v>
      </c>
      <c r="B700">
        <v>50</v>
      </c>
      <c r="C700" s="1">
        <v>65000</v>
      </c>
      <c r="D700" t="s">
        <v>12</v>
      </c>
      <c r="E700" t="s">
        <v>13</v>
      </c>
      <c r="F700" t="s">
        <v>21</v>
      </c>
      <c r="G700" s="11">
        <v>43195</v>
      </c>
      <c r="H700" t="s">
        <v>22</v>
      </c>
      <c r="I700" t="s">
        <v>32</v>
      </c>
      <c r="J700" t="s">
        <v>42</v>
      </c>
      <c r="K700" s="11" t="str">
        <f t="shared" ca="1" si="10"/>
        <v>7 Years</v>
      </c>
      <c r="L700" s="3" cm="1">
        <f t="array" ref="L700">_xlfn.SWITCH(Table13_24[[#This Row],[Performance Score]],"A",6,"B",5,"C",4,"D",3,"E",2,"F",1)</f>
        <v>1</v>
      </c>
    </row>
    <row r="701" spans="1:12" x14ac:dyDescent="0.3">
      <c r="A701" t="s">
        <v>36</v>
      </c>
      <c r="B701">
        <v>36</v>
      </c>
      <c r="C701" s="1">
        <v>65000</v>
      </c>
      <c r="D701" t="s">
        <v>34</v>
      </c>
      <c r="E701" t="s">
        <v>30</v>
      </c>
      <c r="F701" t="s">
        <v>40</v>
      </c>
      <c r="G701" s="11">
        <v>43845</v>
      </c>
      <c r="H701" t="s">
        <v>38</v>
      </c>
      <c r="I701" t="s">
        <v>23</v>
      </c>
      <c r="J701" t="s">
        <v>24</v>
      </c>
      <c r="K701" s="11" t="str">
        <f t="shared" ca="1" si="10"/>
        <v>5 Years</v>
      </c>
      <c r="L701" s="3" cm="1">
        <f t="array" ref="L701">_xlfn.SWITCH(Table13_24[[#This Row],[Performance Score]],"A",6,"B",5,"C",4,"D",3,"E",2,"F",1)</f>
        <v>5</v>
      </c>
    </row>
    <row r="702" spans="1:12" x14ac:dyDescent="0.3">
      <c r="A702" t="s">
        <v>11</v>
      </c>
      <c r="B702">
        <v>36</v>
      </c>
      <c r="C702" s="1">
        <v>55000</v>
      </c>
      <c r="D702" t="s">
        <v>12</v>
      </c>
      <c r="E702" t="s">
        <v>30</v>
      </c>
      <c r="F702" t="s">
        <v>37</v>
      </c>
      <c r="G702" s="11">
        <v>43195</v>
      </c>
      <c r="H702" t="s">
        <v>15</v>
      </c>
      <c r="I702" t="s">
        <v>16</v>
      </c>
      <c r="J702" t="s">
        <v>17</v>
      </c>
      <c r="K702" s="11" t="str">
        <f t="shared" ca="1" si="10"/>
        <v>7 Years</v>
      </c>
      <c r="L702" s="3" cm="1">
        <f t="array" ref="L702">_xlfn.SWITCH(Table13_24[[#This Row],[Performance Score]],"A",6,"B",5,"C",4,"D",3,"E",2,"F",1)</f>
        <v>3</v>
      </c>
    </row>
    <row r="703" spans="1:12" x14ac:dyDescent="0.3">
      <c r="A703" t="s">
        <v>43</v>
      </c>
      <c r="B703">
        <v>36</v>
      </c>
      <c r="C703" s="1">
        <v>50742.574257425746</v>
      </c>
      <c r="D703" t="s">
        <v>34</v>
      </c>
      <c r="E703" t="s">
        <v>26</v>
      </c>
      <c r="F703" t="s">
        <v>14</v>
      </c>
      <c r="G703" s="11">
        <v>43881</v>
      </c>
      <c r="H703" t="s">
        <v>15</v>
      </c>
      <c r="I703" t="s">
        <v>32</v>
      </c>
      <c r="J703" t="s">
        <v>42</v>
      </c>
      <c r="K703" s="11" t="str">
        <f t="shared" ca="1" si="10"/>
        <v>5 Years</v>
      </c>
      <c r="L703" s="3" cm="1">
        <f t="array" ref="L703">_xlfn.SWITCH(Table13_24[[#This Row],[Performance Score]],"A",6,"B",5,"C",4,"D",3,"E",2,"F",1)</f>
        <v>3</v>
      </c>
    </row>
    <row r="704" spans="1:12" x14ac:dyDescent="0.3">
      <c r="A704" t="s">
        <v>44</v>
      </c>
      <c r="B704">
        <v>25</v>
      </c>
      <c r="C704" s="1">
        <v>60000</v>
      </c>
      <c r="D704" t="s">
        <v>12</v>
      </c>
      <c r="E704" t="s">
        <v>26</v>
      </c>
      <c r="F704" t="s">
        <v>14</v>
      </c>
      <c r="G704" s="11">
        <v>43195</v>
      </c>
      <c r="H704" t="s">
        <v>22</v>
      </c>
      <c r="I704" t="s">
        <v>16</v>
      </c>
      <c r="J704" t="s">
        <v>42</v>
      </c>
      <c r="K704" s="11" t="str">
        <f t="shared" ca="1" si="10"/>
        <v>7 Years</v>
      </c>
      <c r="L704" s="3" cm="1">
        <f t="array" ref="L704">_xlfn.SWITCH(Table13_24[[#This Row],[Performance Score]],"A",6,"B",5,"C",4,"D",3,"E",2,"F",1)</f>
        <v>1</v>
      </c>
    </row>
    <row r="705" spans="1:12" x14ac:dyDescent="0.3">
      <c r="A705" t="s">
        <v>43</v>
      </c>
      <c r="B705">
        <v>50</v>
      </c>
      <c r="C705" s="1">
        <v>55000</v>
      </c>
      <c r="D705" t="s">
        <v>12</v>
      </c>
      <c r="E705" t="s">
        <v>30</v>
      </c>
      <c r="F705" t="s">
        <v>40</v>
      </c>
      <c r="G705" s="11">
        <v>43845</v>
      </c>
      <c r="H705" t="s">
        <v>15</v>
      </c>
      <c r="I705" t="s">
        <v>39</v>
      </c>
      <c r="J705" t="s">
        <v>42</v>
      </c>
      <c r="K705" s="11" t="str">
        <f t="shared" ca="1" si="10"/>
        <v>5 Years</v>
      </c>
      <c r="L705" s="3" cm="1">
        <f t="array" ref="L705">_xlfn.SWITCH(Table13_24[[#This Row],[Performance Score]],"A",6,"B",5,"C",4,"D",3,"E",2,"F",1)</f>
        <v>3</v>
      </c>
    </row>
    <row r="706" spans="1:12" x14ac:dyDescent="0.3">
      <c r="A706" t="s">
        <v>44</v>
      </c>
      <c r="B706">
        <v>25</v>
      </c>
      <c r="C706" s="1">
        <v>70000</v>
      </c>
      <c r="D706" t="s">
        <v>19</v>
      </c>
      <c r="E706" t="s">
        <v>35</v>
      </c>
      <c r="F706" t="s">
        <v>40</v>
      </c>
      <c r="G706" s="11">
        <v>43477</v>
      </c>
      <c r="H706" t="s">
        <v>27</v>
      </c>
      <c r="I706" t="s">
        <v>39</v>
      </c>
      <c r="J706" t="s">
        <v>17</v>
      </c>
      <c r="K706" s="11" t="str">
        <f t="shared" ca="1" si="10"/>
        <v>6 Years</v>
      </c>
      <c r="L706" s="3" cm="1">
        <f t="array" ref="L706">_xlfn.SWITCH(Table13_24[[#This Row],[Performance Score]],"A",6,"B",5,"C",4,"D",3,"E",2,"F",1)</f>
        <v>4</v>
      </c>
    </row>
    <row r="707" spans="1:12" x14ac:dyDescent="0.3">
      <c r="A707" t="s">
        <v>44</v>
      </c>
      <c r="B707">
        <v>36</v>
      </c>
      <c r="C707" s="1">
        <v>51825</v>
      </c>
      <c r="D707" t="s">
        <v>34</v>
      </c>
      <c r="E707" t="s">
        <v>13</v>
      </c>
      <c r="F707" t="s">
        <v>37</v>
      </c>
      <c r="G707" s="11">
        <v>43881</v>
      </c>
      <c r="H707" t="s">
        <v>22</v>
      </c>
      <c r="I707" t="s">
        <v>39</v>
      </c>
      <c r="J707" t="s">
        <v>24</v>
      </c>
      <c r="K707" s="11" t="str">
        <f t="shared" ref="K707:K770" ca="1" si="11">DATEDIF(G707,TODAY(),"Y") &amp; " Years"</f>
        <v>5 Years</v>
      </c>
      <c r="L707" s="3" cm="1">
        <f t="array" ref="L707">_xlfn.SWITCH(Table13_24[[#This Row],[Performance Score]],"A",6,"B",5,"C",4,"D",3,"E",2,"F",1)</f>
        <v>1</v>
      </c>
    </row>
    <row r="708" spans="1:12" x14ac:dyDescent="0.3">
      <c r="A708" t="s">
        <v>44</v>
      </c>
      <c r="B708">
        <v>50</v>
      </c>
      <c r="C708" s="1">
        <v>70000</v>
      </c>
      <c r="D708" t="s">
        <v>12</v>
      </c>
      <c r="E708" t="s">
        <v>20</v>
      </c>
      <c r="F708" t="s">
        <v>37</v>
      </c>
      <c r="G708" s="11">
        <v>43195</v>
      </c>
      <c r="H708" t="s">
        <v>31</v>
      </c>
      <c r="I708" t="s">
        <v>23</v>
      </c>
      <c r="J708" t="s">
        <v>42</v>
      </c>
      <c r="K708" s="11" t="str">
        <f t="shared" ca="1" si="11"/>
        <v>7 Years</v>
      </c>
      <c r="L708" s="3" cm="1">
        <f t="array" ref="L708">_xlfn.SWITCH(Table13_24[[#This Row],[Performance Score]],"A",6,"B",5,"C",4,"D",3,"E",2,"F",1)</f>
        <v>6</v>
      </c>
    </row>
    <row r="709" spans="1:12" x14ac:dyDescent="0.3">
      <c r="A709" t="s">
        <v>36</v>
      </c>
      <c r="B709">
        <v>50</v>
      </c>
      <c r="C709" s="1">
        <v>50742.574257425746</v>
      </c>
      <c r="D709" t="s">
        <v>34</v>
      </c>
      <c r="E709" t="s">
        <v>26</v>
      </c>
      <c r="F709" t="s">
        <v>21</v>
      </c>
      <c r="G709" s="11">
        <v>43881</v>
      </c>
      <c r="H709" t="s">
        <v>38</v>
      </c>
      <c r="I709" t="s">
        <v>39</v>
      </c>
      <c r="J709" t="s">
        <v>17</v>
      </c>
      <c r="K709" s="11" t="str">
        <f t="shared" ca="1" si="11"/>
        <v>5 Years</v>
      </c>
      <c r="L709" s="3" cm="1">
        <f t="array" ref="L709">_xlfn.SWITCH(Table13_24[[#This Row],[Performance Score]],"A",6,"B",5,"C",4,"D",3,"E",2,"F",1)</f>
        <v>5</v>
      </c>
    </row>
    <row r="710" spans="1:12" x14ac:dyDescent="0.3">
      <c r="A710" t="s">
        <v>44</v>
      </c>
      <c r="B710">
        <v>40</v>
      </c>
      <c r="C710" s="1">
        <v>70000</v>
      </c>
      <c r="D710" t="s">
        <v>34</v>
      </c>
      <c r="E710" t="s">
        <v>20</v>
      </c>
      <c r="F710" t="s">
        <v>41</v>
      </c>
      <c r="G710" s="11">
        <v>43477</v>
      </c>
      <c r="H710" t="s">
        <v>38</v>
      </c>
      <c r="I710" t="s">
        <v>16</v>
      </c>
      <c r="J710" t="s">
        <v>17</v>
      </c>
      <c r="K710" s="11" t="str">
        <f t="shared" ca="1" si="11"/>
        <v>6 Years</v>
      </c>
      <c r="L710" s="3" cm="1">
        <f t="array" ref="L710">_xlfn.SWITCH(Table13_24[[#This Row],[Performance Score]],"A",6,"B",5,"C",4,"D",3,"E",2,"F",1)</f>
        <v>5</v>
      </c>
    </row>
    <row r="711" spans="1:12" x14ac:dyDescent="0.3">
      <c r="A711" t="s">
        <v>18</v>
      </c>
      <c r="B711">
        <v>40</v>
      </c>
      <c r="C711" s="1">
        <v>55000</v>
      </c>
      <c r="D711" t="s">
        <v>19</v>
      </c>
      <c r="E711" t="s">
        <v>35</v>
      </c>
      <c r="F711" t="s">
        <v>37</v>
      </c>
      <c r="G711" s="11">
        <v>43195</v>
      </c>
      <c r="H711" t="s">
        <v>38</v>
      </c>
      <c r="I711" t="s">
        <v>39</v>
      </c>
      <c r="J711" t="s">
        <v>28</v>
      </c>
      <c r="K711" s="11" t="str">
        <f t="shared" ca="1" si="11"/>
        <v>7 Years</v>
      </c>
      <c r="L711" s="3" cm="1">
        <f t="array" ref="L711">_xlfn.SWITCH(Table13_24[[#This Row],[Performance Score]],"A",6,"B",5,"C",4,"D",3,"E",2,"F",1)</f>
        <v>5</v>
      </c>
    </row>
    <row r="712" spans="1:12" x14ac:dyDescent="0.3">
      <c r="A712" t="s">
        <v>46</v>
      </c>
      <c r="B712">
        <v>30</v>
      </c>
      <c r="C712" s="1">
        <v>50742.574257425746</v>
      </c>
      <c r="D712" t="s">
        <v>19</v>
      </c>
      <c r="E712" t="s">
        <v>26</v>
      </c>
      <c r="F712" t="s">
        <v>40</v>
      </c>
      <c r="G712" s="11">
        <v>43195</v>
      </c>
      <c r="H712" t="s">
        <v>27</v>
      </c>
      <c r="I712" t="s">
        <v>16</v>
      </c>
      <c r="J712" t="s">
        <v>24</v>
      </c>
      <c r="K712" s="11" t="str">
        <f t="shared" ca="1" si="11"/>
        <v>7 Years</v>
      </c>
      <c r="L712" s="3" cm="1">
        <f t="array" ref="L712">_xlfn.SWITCH(Table13_24[[#This Row],[Performance Score]],"A",6,"B",5,"C",4,"D",3,"E",2,"F",1)</f>
        <v>4</v>
      </c>
    </row>
    <row r="713" spans="1:12" x14ac:dyDescent="0.3">
      <c r="A713" t="s">
        <v>43</v>
      </c>
      <c r="B713">
        <v>35</v>
      </c>
      <c r="C713" s="1">
        <v>48417.431192660551</v>
      </c>
      <c r="D713" t="s">
        <v>19</v>
      </c>
      <c r="E713" t="s">
        <v>20</v>
      </c>
      <c r="F713" t="s">
        <v>37</v>
      </c>
      <c r="G713" s="11">
        <v>43881</v>
      </c>
      <c r="H713" t="s">
        <v>31</v>
      </c>
      <c r="I713" t="s">
        <v>23</v>
      </c>
      <c r="J713" t="s">
        <v>17</v>
      </c>
      <c r="K713" s="11" t="str">
        <f t="shared" ca="1" si="11"/>
        <v>5 Years</v>
      </c>
      <c r="L713" s="3" cm="1">
        <f t="array" ref="L713">_xlfn.SWITCH(Table13_24[[#This Row],[Performance Score]],"A",6,"B",5,"C",4,"D",3,"E",2,"F",1)</f>
        <v>6</v>
      </c>
    </row>
    <row r="714" spans="1:12" x14ac:dyDescent="0.3">
      <c r="A714" t="s">
        <v>45</v>
      </c>
      <c r="B714">
        <v>40</v>
      </c>
      <c r="C714" s="1">
        <v>65000</v>
      </c>
      <c r="D714" t="s">
        <v>19</v>
      </c>
      <c r="E714" t="s">
        <v>35</v>
      </c>
      <c r="F714" t="s">
        <v>14</v>
      </c>
      <c r="G714" s="11">
        <v>43881</v>
      </c>
      <c r="H714" t="s">
        <v>22</v>
      </c>
      <c r="I714" t="s">
        <v>39</v>
      </c>
      <c r="J714" t="s">
        <v>42</v>
      </c>
      <c r="K714" s="11" t="str">
        <f t="shared" ca="1" si="11"/>
        <v>5 Years</v>
      </c>
      <c r="L714" s="3" cm="1">
        <f t="array" ref="L714">_xlfn.SWITCH(Table13_24[[#This Row],[Performance Score]],"A",6,"B",5,"C",4,"D",3,"E",2,"F",1)</f>
        <v>1</v>
      </c>
    </row>
    <row r="715" spans="1:12" x14ac:dyDescent="0.3">
      <c r="A715" t="s">
        <v>25</v>
      </c>
      <c r="B715">
        <v>25</v>
      </c>
      <c r="C715" s="1">
        <v>65000</v>
      </c>
      <c r="D715" t="s">
        <v>19</v>
      </c>
      <c r="E715" t="s">
        <v>13</v>
      </c>
      <c r="F715" t="s">
        <v>41</v>
      </c>
      <c r="G715" s="11">
        <v>43845</v>
      </c>
      <c r="H715" t="s">
        <v>22</v>
      </c>
      <c r="I715" t="s">
        <v>39</v>
      </c>
      <c r="J715" t="s">
        <v>28</v>
      </c>
      <c r="K715" s="11" t="str">
        <f t="shared" ca="1" si="11"/>
        <v>5 Years</v>
      </c>
      <c r="L715" s="3" cm="1">
        <f t="array" ref="L715">_xlfn.SWITCH(Table13_24[[#This Row],[Performance Score]],"A",6,"B",5,"C",4,"D",3,"E",2,"F",1)</f>
        <v>1</v>
      </c>
    </row>
    <row r="716" spans="1:12" x14ac:dyDescent="0.3">
      <c r="A716" t="s">
        <v>11</v>
      </c>
      <c r="B716">
        <v>40</v>
      </c>
      <c r="C716" s="1">
        <v>50000</v>
      </c>
      <c r="D716" t="s">
        <v>19</v>
      </c>
      <c r="E716" t="s">
        <v>35</v>
      </c>
      <c r="F716" t="s">
        <v>21</v>
      </c>
      <c r="G716" s="11">
        <v>43477</v>
      </c>
      <c r="H716" t="s">
        <v>38</v>
      </c>
      <c r="I716" t="s">
        <v>39</v>
      </c>
      <c r="J716" t="s">
        <v>24</v>
      </c>
      <c r="K716" s="11" t="str">
        <f t="shared" ca="1" si="11"/>
        <v>6 Years</v>
      </c>
      <c r="L716" s="3" cm="1">
        <f t="array" ref="L716">_xlfn.SWITCH(Table13_24[[#This Row],[Performance Score]],"A",6,"B",5,"C",4,"D",3,"E",2,"F",1)</f>
        <v>5</v>
      </c>
    </row>
    <row r="717" spans="1:12" x14ac:dyDescent="0.3">
      <c r="A717" t="s">
        <v>33</v>
      </c>
      <c r="B717">
        <v>30</v>
      </c>
      <c r="C717" s="1">
        <v>70000</v>
      </c>
      <c r="D717" t="s">
        <v>19</v>
      </c>
      <c r="E717" t="s">
        <v>26</v>
      </c>
      <c r="F717" t="s">
        <v>14</v>
      </c>
      <c r="G717" s="11">
        <v>43845</v>
      </c>
      <c r="H717" t="s">
        <v>31</v>
      </c>
      <c r="I717" t="s">
        <v>39</v>
      </c>
      <c r="J717" t="s">
        <v>17</v>
      </c>
      <c r="K717" s="11" t="str">
        <f t="shared" ca="1" si="11"/>
        <v>5 Years</v>
      </c>
      <c r="L717" s="3" cm="1">
        <f t="array" ref="L717">_xlfn.SWITCH(Table13_24[[#This Row],[Performance Score]],"A",6,"B",5,"C",4,"D",3,"E",2,"F",1)</f>
        <v>6</v>
      </c>
    </row>
    <row r="718" spans="1:12" x14ac:dyDescent="0.3">
      <c r="A718" t="s">
        <v>36</v>
      </c>
      <c r="B718">
        <v>50</v>
      </c>
      <c r="C718" s="1">
        <v>65000</v>
      </c>
      <c r="D718" t="s">
        <v>19</v>
      </c>
      <c r="E718" t="s">
        <v>30</v>
      </c>
      <c r="F718" t="s">
        <v>14</v>
      </c>
      <c r="G718" s="11">
        <v>43195</v>
      </c>
      <c r="H718" t="s">
        <v>31</v>
      </c>
      <c r="I718" t="s">
        <v>39</v>
      </c>
      <c r="J718" t="s">
        <v>28</v>
      </c>
      <c r="K718" s="11" t="str">
        <f t="shared" ca="1" si="11"/>
        <v>7 Years</v>
      </c>
      <c r="L718" s="3" cm="1">
        <f t="array" ref="L718">_xlfn.SWITCH(Table13_24[[#This Row],[Performance Score]],"A",6,"B",5,"C",4,"D",3,"E",2,"F",1)</f>
        <v>6</v>
      </c>
    </row>
    <row r="719" spans="1:12" x14ac:dyDescent="0.3">
      <c r="A719" t="s">
        <v>45</v>
      </c>
      <c r="B719">
        <v>30</v>
      </c>
      <c r="C719" s="1">
        <v>50000</v>
      </c>
      <c r="D719" t="s">
        <v>12</v>
      </c>
      <c r="E719" t="s">
        <v>13</v>
      </c>
      <c r="F719" t="s">
        <v>41</v>
      </c>
      <c r="G719" s="11">
        <v>43881</v>
      </c>
      <c r="H719" t="s">
        <v>31</v>
      </c>
      <c r="I719" t="s">
        <v>39</v>
      </c>
      <c r="J719" t="s">
        <v>28</v>
      </c>
      <c r="K719" s="11" t="str">
        <f t="shared" ca="1" si="11"/>
        <v>5 Years</v>
      </c>
      <c r="L719" s="3" cm="1">
        <f t="array" ref="L719">_xlfn.SWITCH(Table13_24[[#This Row],[Performance Score]],"A",6,"B",5,"C",4,"D",3,"E",2,"F",1)</f>
        <v>6</v>
      </c>
    </row>
    <row r="720" spans="1:12" x14ac:dyDescent="0.3">
      <c r="A720" t="s">
        <v>29</v>
      </c>
      <c r="B720">
        <v>50</v>
      </c>
      <c r="C720" s="1">
        <v>65000</v>
      </c>
      <c r="D720" t="s">
        <v>34</v>
      </c>
      <c r="E720" t="s">
        <v>20</v>
      </c>
      <c r="F720" t="s">
        <v>21</v>
      </c>
      <c r="G720" s="11">
        <v>43195</v>
      </c>
      <c r="H720" t="s">
        <v>15</v>
      </c>
      <c r="I720" t="s">
        <v>39</v>
      </c>
      <c r="J720" t="s">
        <v>17</v>
      </c>
      <c r="K720" s="11" t="str">
        <f t="shared" ca="1" si="11"/>
        <v>7 Years</v>
      </c>
      <c r="L720" s="3" cm="1">
        <f t="array" ref="L720">_xlfn.SWITCH(Table13_24[[#This Row],[Performance Score]],"A",6,"B",5,"C",4,"D",3,"E",2,"F",1)</f>
        <v>3</v>
      </c>
    </row>
    <row r="721" spans="1:12" x14ac:dyDescent="0.3">
      <c r="A721" t="s">
        <v>18</v>
      </c>
      <c r="B721">
        <v>50</v>
      </c>
      <c r="C721" s="1">
        <v>70000</v>
      </c>
      <c r="D721" t="s">
        <v>19</v>
      </c>
      <c r="E721" t="s">
        <v>26</v>
      </c>
      <c r="F721" t="s">
        <v>40</v>
      </c>
      <c r="G721" s="11">
        <v>43195</v>
      </c>
      <c r="H721" t="s">
        <v>15</v>
      </c>
      <c r="I721" t="s">
        <v>16</v>
      </c>
      <c r="J721" t="s">
        <v>24</v>
      </c>
      <c r="K721" s="11" t="str">
        <f t="shared" ca="1" si="11"/>
        <v>7 Years</v>
      </c>
      <c r="L721" s="3" cm="1">
        <f t="array" ref="L721">_xlfn.SWITCH(Table13_24[[#This Row],[Performance Score]],"A",6,"B",5,"C",4,"D",3,"E",2,"F",1)</f>
        <v>3</v>
      </c>
    </row>
    <row r="722" spans="1:12" x14ac:dyDescent="0.3">
      <c r="A722" t="s">
        <v>33</v>
      </c>
      <c r="B722">
        <v>35</v>
      </c>
      <c r="C722" s="1">
        <v>50777.202072538857</v>
      </c>
      <c r="D722" t="s">
        <v>19</v>
      </c>
      <c r="E722" t="s">
        <v>30</v>
      </c>
      <c r="F722" t="s">
        <v>21</v>
      </c>
      <c r="G722" s="11">
        <v>43549</v>
      </c>
      <c r="H722" t="s">
        <v>38</v>
      </c>
      <c r="I722" t="s">
        <v>23</v>
      </c>
      <c r="J722" t="s">
        <v>17</v>
      </c>
      <c r="K722" s="11" t="str">
        <f t="shared" ca="1" si="11"/>
        <v>6 Years</v>
      </c>
      <c r="L722" s="3" cm="1">
        <f t="array" ref="L722">_xlfn.SWITCH(Table13_24[[#This Row],[Performance Score]],"A",6,"B",5,"C",4,"D",3,"E",2,"F",1)</f>
        <v>5</v>
      </c>
    </row>
    <row r="723" spans="1:12" x14ac:dyDescent="0.3">
      <c r="A723" t="s">
        <v>25</v>
      </c>
      <c r="B723">
        <v>40</v>
      </c>
      <c r="C723" s="1">
        <v>60000</v>
      </c>
      <c r="D723" t="s">
        <v>34</v>
      </c>
      <c r="E723" t="s">
        <v>35</v>
      </c>
      <c r="F723" t="s">
        <v>37</v>
      </c>
      <c r="G723" s="11">
        <v>43549</v>
      </c>
      <c r="H723" t="s">
        <v>31</v>
      </c>
      <c r="I723" t="s">
        <v>39</v>
      </c>
      <c r="J723" t="s">
        <v>17</v>
      </c>
      <c r="K723" s="11" t="str">
        <f t="shared" ca="1" si="11"/>
        <v>6 Years</v>
      </c>
      <c r="L723" s="3" cm="1">
        <f t="array" ref="L723">_xlfn.SWITCH(Table13_24[[#This Row],[Performance Score]],"A",6,"B",5,"C",4,"D",3,"E",2,"F",1)</f>
        <v>6</v>
      </c>
    </row>
    <row r="724" spans="1:12" x14ac:dyDescent="0.3">
      <c r="A724" t="s">
        <v>45</v>
      </c>
      <c r="B724">
        <v>25</v>
      </c>
      <c r="C724" s="1">
        <v>70000</v>
      </c>
      <c r="D724" t="s">
        <v>12</v>
      </c>
      <c r="E724" t="s">
        <v>30</v>
      </c>
      <c r="F724" t="s">
        <v>14</v>
      </c>
      <c r="G724" s="11">
        <v>43195</v>
      </c>
      <c r="H724" t="s">
        <v>31</v>
      </c>
      <c r="I724" t="s">
        <v>16</v>
      </c>
      <c r="J724" t="s">
        <v>42</v>
      </c>
      <c r="K724" s="11" t="str">
        <f t="shared" ca="1" si="11"/>
        <v>7 Years</v>
      </c>
      <c r="L724" s="3" cm="1">
        <f t="array" ref="L724">_xlfn.SWITCH(Table13_24[[#This Row],[Performance Score]],"A",6,"B",5,"C",4,"D",3,"E",2,"F",1)</f>
        <v>6</v>
      </c>
    </row>
    <row r="725" spans="1:12" x14ac:dyDescent="0.3">
      <c r="A725" t="s">
        <v>33</v>
      </c>
      <c r="B725">
        <v>25</v>
      </c>
      <c r="C725" s="1">
        <v>55000</v>
      </c>
      <c r="D725" t="s">
        <v>34</v>
      </c>
      <c r="E725" t="s">
        <v>26</v>
      </c>
      <c r="F725" t="s">
        <v>37</v>
      </c>
      <c r="G725" s="11">
        <v>43881</v>
      </c>
      <c r="H725" t="s">
        <v>22</v>
      </c>
      <c r="I725" t="s">
        <v>39</v>
      </c>
      <c r="J725" t="s">
        <v>17</v>
      </c>
      <c r="K725" s="11" t="str">
        <f t="shared" ca="1" si="11"/>
        <v>5 Years</v>
      </c>
      <c r="L725" s="3" cm="1">
        <f t="array" ref="L725">_xlfn.SWITCH(Table13_24[[#This Row],[Performance Score]],"A",6,"B",5,"C",4,"D",3,"E",2,"F",1)</f>
        <v>1</v>
      </c>
    </row>
    <row r="726" spans="1:12" x14ac:dyDescent="0.3">
      <c r="A726" t="s">
        <v>45</v>
      </c>
      <c r="B726">
        <v>36</v>
      </c>
      <c r="C726" s="1">
        <v>65000</v>
      </c>
      <c r="D726" t="s">
        <v>34</v>
      </c>
      <c r="E726" t="s">
        <v>26</v>
      </c>
      <c r="F726" t="s">
        <v>40</v>
      </c>
      <c r="G726" s="11">
        <v>43195</v>
      </c>
      <c r="H726" t="s">
        <v>22</v>
      </c>
      <c r="I726" t="s">
        <v>16</v>
      </c>
      <c r="J726" t="s">
        <v>28</v>
      </c>
      <c r="K726" s="11" t="str">
        <f t="shared" ca="1" si="11"/>
        <v>7 Years</v>
      </c>
      <c r="L726" s="3" cm="1">
        <f t="array" ref="L726">_xlfn.SWITCH(Table13_24[[#This Row],[Performance Score]],"A",6,"B",5,"C",4,"D",3,"E",2,"F",1)</f>
        <v>1</v>
      </c>
    </row>
    <row r="727" spans="1:12" x14ac:dyDescent="0.3">
      <c r="A727" t="s">
        <v>18</v>
      </c>
      <c r="B727">
        <v>50</v>
      </c>
      <c r="C727" s="1">
        <v>65000</v>
      </c>
      <c r="D727" t="s">
        <v>19</v>
      </c>
      <c r="E727" t="s">
        <v>30</v>
      </c>
      <c r="F727" t="s">
        <v>37</v>
      </c>
      <c r="G727" s="11">
        <v>43549</v>
      </c>
      <c r="H727" t="s">
        <v>38</v>
      </c>
      <c r="I727" t="s">
        <v>39</v>
      </c>
      <c r="J727" t="s">
        <v>24</v>
      </c>
      <c r="K727" s="11" t="str">
        <f t="shared" ca="1" si="11"/>
        <v>6 Years</v>
      </c>
      <c r="L727" s="3" cm="1">
        <f t="array" ref="L727">_xlfn.SWITCH(Table13_24[[#This Row],[Performance Score]],"A",6,"B",5,"C",4,"D",3,"E",2,"F",1)</f>
        <v>5</v>
      </c>
    </row>
    <row r="728" spans="1:12" x14ac:dyDescent="0.3">
      <c r="A728" t="s">
        <v>25</v>
      </c>
      <c r="B728">
        <v>25</v>
      </c>
      <c r="C728" s="1">
        <v>49144.385026737968</v>
      </c>
      <c r="D728" t="s">
        <v>34</v>
      </c>
      <c r="E728" t="s">
        <v>35</v>
      </c>
      <c r="F728" t="s">
        <v>21</v>
      </c>
      <c r="G728" s="11">
        <v>43881</v>
      </c>
      <c r="H728" t="s">
        <v>31</v>
      </c>
      <c r="I728" t="s">
        <v>39</v>
      </c>
      <c r="J728" t="s">
        <v>17</v>
      </c>
      <c r="K728" s="11" t="str">
        <f t="shared" ca="1" si="11"/>
        <v>5 Years</v>
      </c>
      <c r="L728" s="3" cm="1">
        <f t="array" ref="L728">_xlfn.SWITCH(Table13_24[[#This Row],[Performance Score]],"A",6,"B",5,"C",4,"D",3,"E",2,"F",1)</f>
        <v>6</v>
      </c>
    </row>
    <row r="729" spans="1:12" x14ac:dyDescent="0.3">
      <c r="A729" t="s">
        <v>29</v>
      </c>
      <c r="B729">
        <v>35</v>
      </c>
      <c r="C729" s="1">
        <v>55000</v>
      </c>
      <c r="D729" t="s">
        <v>34</v>
      </c>
      <c r="E729" t="s">
        <v>30</v>
      </c>
      <c r="F729" t="s">
        <v>37</v>
      </c>
      <c r="G729" s="11">
        <v>43195</v>
      </c>
      <c r="H729" t="s">
        <v>38</v>
      </c>
      <c r="I729" t="s">
        <v>39</v>
      </c>
      <c r="J729" t="s">
        <v>17</v>
      </c>
      <c r="K729" s="11" t="str">
        <f t="shared" ca="1" si="11"/>
        <v>7 Years</v>
      </c>
      <c r="L729" s="3" cm="1">
        <f t="array" ref="L729">_xlfn.SWITCH(Table13_24[[#This Row],[Performance Score]],"A",6,"B",5,"C",4,"D",3,"E",2,"F",1)</f>
        <v>5</v>
      </c>
    </row>
    <row r="730" spans="1:12" x14ac:dyDescent="0.3">
      <c r="A730" t="s">
        <v>44</v>
      </c>
      <c r="B730">
        <v>50</v>
      </c>
      <c r="C730" s="1">
        <v>50742.574257425746</v>
      </c>
      <c r="D730" t="s">
        <v>19</v>
      </c>
      <c r="E730" t="s">
        <v>26</v>
      </c>
      <c r="F730" t="s">
        <v>40</v>
      </c>
      <c r="G730" s="11">
        <v>43477</v>
      </c>
      <c r="H730" t="s">
        <v>22</v>
      </c>
      <c r="I730" t="s">
        <v>39</v>
      </c>
      <c r="J730" t="s">
        <v>24</v>
      </c>
      <c r="K730" s="11" t="str">
        <f t="shared" ca="1" si="11"/>
        <v>6 Years</v>
      </c>
      <c r="L730" s="3" cm="1">
        <f t="array" ref="L730">_xlfn.SWITCH(Table13_24[[#This Row],[Performance Score]],"A",6,"B",5,"C",4,"D",3,"E",2,"F",1)</f>
        <v>1</v>
      </c>
    </row>
    <row r="731" spans="1:12" x14ac:dyDescent="0.3">
      <c r="A731" t="s">
        <v>43</v>
      </c>
      <c r="B731">
        <v>35</v>
      </c>
      <c r="C731" s="1">
        <v>55000</v>
      </c>
      <c r="D731" t="s">
        <v>19</v>
      </c>
      <c r="E731" t="s">
        <v>26</v>
      </c>
      <c r="F731" t="s">
        <v>40</v>
      </c>
      <c r="G731" s="11">
        <v>43477</v>
      </c>
      <c r="H731" t="s">
        <v>22</v>
      </c>
      <c r="I731" t="s">
        <v>32</v>
      </c>
      <c r="J731" t="s">
        <v>17</v>
      </c>
      <c r="K731" s="11" t="str">
        <f t="shared" ca="1" si="11"/>
        <v>6 Years</v>
      </c>
      <c r="L731" s="3" cm="1">
        <f t="array" ref="L731">_xlfn.SWITCH(Table13_24[[#This Row],[Performance Score]],"A",6,"B",5,"C",4,"D",3,"E",2,"F",1)</f>
        <v>1</v>
      </c>
    </row>
    <row r="732" spans="1:12" x14ac:dyDescent="0.3">
      <c r="A732" t="s">
        <v>29</v>
      </c>
      <c r="B732">
        <v>25</v>
      </c>
      <c r="C732" s="1">
        <v>60000</v>
      </c>
      <c r="D732" t="s">
        <v>19</v>
      </c>
      <c r="E732" t="s">
        <v>20</v>
      </c>
      <c r="F732" t="s">
        <v>40</v>
      </c>
      <c r="G732" s="11">
        <v>43195</v>
      </c>
      <c r="H732" t="s">
        <v>15</v>
      </c>
      <c r="I732" t="s">
        <v>16</v>
      </c>
      <c r="J732" t="s">
        <v>42</v>
      </c>
      <c r="K732" s="11" t="str">
        <f t="shared" ca="1" si="11"/>
        <v>7 Years</v>
      </c>
      <c r="L732" s="3" cm="1">
        <f t="array" ref="L732">_xlfn.SWITCH(Table13_24[[#This Row],[Performance Score]],"A",6,"B",5,"C",4,"D",3,"E",2,"F",1)</f>
        <v>3</v>
      </c>
    </row>
    <row r="733" spans="1:12" x14ac:dyDescent="0.3">
      <c r="A733" t="s">
        <v>44</v>
      </c>
      <c r="B733">
        <v>25</v>
      </c>
      <c r="C733" s="1">
        <v>65000</v>
      </c>
      <c r="D733" t="s">
        <v>19</v>
      </c>
      <c r="E733" t="s">
        <v>20</v>
      </c>
      <c r="F733" t="s">
        <v>21</v>
      </c>
      <c r="G733" s="11">
        <v>43881</v>
      </c>
      <c r="H733" t="s">
        <v>38</v>
      </c>
      <c r="I733" t="s">
        <v>32</v>
      </c>
      <c r="J733" t="s">
        <v>17</v>
      </c>
      <c r="K733" s="11" t="str">
        <f t="shared" ca="1" si="11"/>
        <v>5 Years</v>
      </c>
      <c r="L733" s="3" cm="1">
        <f t="array" ref="L733">_xlfn.SWITCH(Table13_24[[#This Row],[Performance Score]],"A",6,"B",5,"C",4,"D",3,"E",2,"F",1)</f>
        <v>5</v>
      </c>
    </row>
    <row r="734" spans="1:12" x14ac:dyDescent="0.3">
      <c r="A734" t="s">
        <v>36</v>
      </c>
      <c r="B734">
        <v>36</v>
      </c>
      <c r="C734" s="1">
        <v>65000</v>
      </c>
      <c r="D734" t="s">
        <v>34</v>
      </c>
      <c r="E734" t="s">
        <v>13</v>
      </c>
      <c r="F734" t="s">
        <v>40</v>
      </c>
      <c r="G734" s="11">
        <v>43195</v>
      </c>
      <c r="H734" t="s">
        <v>38</v>
      </c>
      <c r="I734" t="s">
        <v>16</v>
      </c>
      <c r="J734" t="s">
        <v>42</v>
      </c>
      <c r="K734" s="11" t="str">
        <f t="shared" ca="1" si="11"/>
        <v>7 Years</v>
      </c>
      <c r="L734" s="3" cm="1">
        <f t="array" ref="L734">_xlfn.SWITCH(Table13_24[[#This Row],[Performance Score]],"A",6,"B",5,"C",4,"D",3,"E",2,"F",1)</f>
        <v>5</v>
      </c>
    </row>
    <row r="735" spans="1:12" x14ac:dyDescent="0.3">
      <c r="A735" t="s">
        <v>46</v>
      </c>
      <c r="B735">
        <v>25</v>
      </c>
      <c r="C735" s="1">
        <v>60000</v>
      </c>
      <c r="D735" t="s">
        <v>34</v>
      </c>
      <c r="E735" t="s">
        <v>26</v>
      </c>
      <c r="F735" t="s">
        <v>14</v>
      </c>
      <c r="G735" s="11">
        <v>43195</v>
      </c>
      <c r="H735" t="s">
        <v>31</v>
      </c>
      <c r="I735" t="s">
        <v>23</v>
      </c>
      <c r="J735" t="s">
        <v>28</v>
      </c>
      <c r="K735" s="11" t="str">
        <f t="shared" ca="1" si="11"/>
        <v>7 Years</v>
      </c>
      <c r="L735" s="3" cm="1">
        <f t="array" ref="L735">_xlfn.SWITCH(Table13_24[[#This Row],[Performance Score]],"A",6,"B",5,"C",4,"D",3,"E",2,"F",1)</f>
        <v>6</v>
      </c>
    </row>
    <row r="736" spans="1:12" x14ac:dyDescent="0.3">
      <c r="A736" t="s">
        <v>11</v>
      </c>
      <c r="B736">
        <v>50</v>
      </c>
      <c r="C736" s="1">
        <v>50000</v>
      </c>
      <c r="D736" t="s">
        <v>12</v>
      </c>
      <c r="E736" t="s">
        <v>20</v>
      </c>
      <c r="F736" t="s">
        <v>40</v>
      </c>
      <c r="G736" s="11">
        <v>43549</v>
      </c>
      <c r="H736" t="s">
        <v>31</v>
      </c>
      <c r="I736" t="s">
        <v>39</v>
      </c>
      <c r="J736" t="s">
        <v>28</v>
      </c>
      <c r="K736" s="11" t="str">
        <f t="shared" ca="1" si="11"/>
        <v>6 Years</v>
      </c>
      <c r="L736" s="3" cm="1">
        <f t="array" ref="L736">_xlfn.SWITCH(Table13_24[[#This Row],[Performance Score]],"A",6,"B",5,"C",4,"D",3,"E",2,"F",1)</f>
        <v>6</v>
      </c>
    </row>
    <row r="737" spans="1:12" x14ac:dyDescent="0.3">
      <c r="A737" t="s">
        <v>11</v>
      </c>
      <c r="B737">
        <v>50</v>
      </c>
      <c r="C737" s="1">
        <v>50777.202072538857</v>
      </c>
      <c r="D737" t="s">
        <v>12</v>
      </c>
      <c r="E737" t="s">
        <v>30</v>
      </c>
      <c r="F737" t="s">
        <v>37</v>
      </c>
      <c r="G737" s="11">
        <v>43477</v>
      </c>
      <c r="H737" t="s">
        <v>15</v>
      </c>
      <c r="I737" t="s">
        <v>23</v>
      </c>
      <c r="J737" t="s">
        <v>17</v>
      </c>
      <c r="K737" s="11" t="str">
        <f t="shared" ca="1" si="11"/>
        <v>6 Years</v>
      </c>
      <c r="L737" s="3" cm="1">
        <f t="array" ref="L737">_xlfn.SWITCH(Table13_24[[#This Row],[Performance Score]],"A",6,"B",5,"C",4,"D",3,"E",2,"F",1)</f>
        <v>3</v>
      </c>
    </row>
    <row r="738" spans="1:12" x14ac:dyDescent="0.3">
      <c r="A738" t="s">
        <v>43</v>
      </c>
      <c r="B738">
        <v>50</v>
      </c>
      <c r="C738" s="1">
        <v>60000</v>
      </c>
      <c r="D738" t="s">
        <v>34</v>
      </c>
      <c r="E738" t="s">
        <v>35</v>
      </c>
      <c r="F738" t="s">
        <v>37</v>
      </c>
      <c r="G738" s="11">
        <v>43549</v>
      </c>
      <c r="H738" t="s">
        <v>27</v>
      </c>
      <c r="I738" t="s">
        <v>23</v>
      </c>
      <c r="J738" t="s">
        <v>42</v>
      </c>
      <c r="K738" s="11" t="str">
        <f t="shared" ca="1" si="11"/>
        <v>6 Years</v>
      </c>
      <c r="L738" s="3" cm="1">
        <f t="array" ref="L738">_xlfn.SWITCH(Table13_24[[#This Row],[Performance Score]],"A",6,"B",5,"C",4,"D",3,"E",2,"F",1)</f>
        <v>4</v>
      </c>
    </row>
    <row r="739" spans="1:12" x14ac:dyDescent="0.3">
      <c r="A739" t="s">
        <v>25</v>
      </c>
      <c r="B739">
        <v>36</v>
      </c>
      <c r="C739" s="1">
        <v>50777.202072538857</v>
      </c>
      <c r="D739" t="s">
        <v>12</v>
      </c>
      <c r="E739" t="s">
        <v>30</v>
      </c>
      <c r="F739" t="s">
        <v>37</v>
      </c>
      <c r="G739" s="11">
        <v>43549</v>
      </c>
      <c r="H739" t="s">
        <v>27</v>
      </c>
      <c r="I739" t="s">
        <v>16</v>
      </c>
      <c r="J739" t="s">
        <v>28</v>
      </c>
      <c r="K739" s="11" t="str">
        <f t="shared" ca="1" si="11"/>
        <v>6 Years</v>
      </c>
      <c r="L739" s="3" cm="1">
        <f t="array" ref="L739">_xlfn.SWITCH(Table13_24[[#This Row],[Performance Score]],"A",6,"B",5,"C",4,"D",3,"E",2,"F",1)</f>
        <v>4</v>
      </c>
    </row>
    <row r="740" spans="1:12" x14ac:dyDescent="0.3">
      <c r="A740" t="s">
        <v>18</v>
      </c>
      <c r="B740">
        <v>36</v>
      </c>
      <c r="C740" s="1">
        <v>70000</v>
      </c>
      <c r="D740" t="s">
        <v>34</v>
      </c>
      <c r="E740" t="s">
        <v>35</v>
      </c>
      <c r="F740" t="s">
        <v>21</v>
      </c>
      <c r="G740" s="11">
        <v>43195</v>
      </c>
      <c r="H740" t="s">
        <v>27</v>
      </c>
      <c r="I740" t="s">
        <v>32</v>
      </c>
      <c r="J740" t="s">
        <v>17</v>
      </c>
      <c r="K740" s="11" t="str">
        <f t="shared" ca="1" si="11"/>
        <v>7 Years</v>
      </c>
      <c r="L740" s="3" cm="1">
        <f t="array" ref="L740">_xlfn.SWITCH(Table13_24[[#This Row],[Performance Score]],"A",6,"B",5,"C",4,"D",3,"E",2,"F",1)</f>
        <v>4</v>
      </c>
    </row>
    <row r="741" spans="1:12" x14ac:dyDescent="0.3">
      <c r="A741" t="s">
        <v>25</v>
      </c>
      <c r="B741">
        <v>25</v>
      </c>
      <c r="C741" s="1">
        <v>65000</v>
      </c>
      <c r="D741" t="s">
        <v>12</v>
      </c>
      <c r="E741" t="s">
        <v>20</v>
      </c>
      <c r="F741" t="s">
        <v>37</v>
      </c>
      <c r="G741" s="11">
        <v>43549</v>
      </c>
      <c r="H741" t="s">
        <v>38</v>
      </c>
      <c r="I741" t="s">
        <v>39</v>
      </c>
      <c r="J741" t="s">
        <v>24</v>
      </c>
      <c r="K741" s="11" t="str">
        <f t="shared" ca="1" si="11"/>
        <v>6 Years</v>
      </c>
      <c r="L741" s="3" cm="1">
        <f t="array" ref="L741">_xlfn.SWITCH(Table13_24[[#This Row],[Performance Score]],"A",6,"B",5,"C",4,"D",3,"E",2,"F",1)</f>
        <v>5</v>
      </c>
    </row>
    <row r="742" spans="1:12" x14ac:dyDescent="0.3">
      <c r="A742" t="s">
        <v>18</v>
      </c>
      <c r="B742">
        <v>30</v>
      </c>
      <c r="C742" s="1">
        <v>51825</v>
      </c>
      <c r="D742" t="s">
        <v>19</v>
      </c>
      <c r="E742" t="s">
        <v>13</v>
      </c>
      <c r="F742" t="s">
        <v>21</v>
      </c>
      <c r="G742" s="11">
        <v>43477</v>
      </c>
      <c r="H742" t="s">
        <v>38</v>
      </c>
      <c r="I742" t="s">
        <v>16</v>
      </c>
      <c r="J742" t="s">
        <v>24</v>
      </c>
      <c r="K742" s="11" t="str">
        <f t="shared" ca="1" si="11"/>
        <v>6 Years</v>
      </c>
      <c r="L742" s="3" cm="1">
        <f t="array" ref="L742">_xlfn.SWITCH(Table13_24[[#This Row],[Performance Score]],"A",6,"B",5,"C",4,"D",3,"E",2,"F",1)</f>
        <v>5</v>
      </c>
    </row>
    <row r="743" spans="1:12" x14ac:dyDescent="0.3">
      <c r="A743" t="s">
        <v>25</v>
      </c>
      <c r="B743">
        <v>30</v>
      </c>
      <c r="C743" s="1">
        <v>55000</v>
      </c>
      <c r="D743" t="s">
        <v>12</v>
      </c>
      <c r="E743" t="s">
        <v>30</v>
      </c>
      <c r="F743" t="s">
        <v>21</v>
      </c>
      <c r="G743" s="11">
        <v>43549</v>
      </c>
      <c r="H743" t="s">
        <v>22</v>
      </c>
      <c r="I743" t="s">
        <v>39</v>
      </c>
      <c r="J743" t="s">
        <v>42</v>
      </c>
      <c r="K743" s="11" t="str">
        <f t="shared" ca="1" si="11"/>
        <v>6 Years</v>
      </c>
      <c r="L743" s="3" cm="1">
        <f t="array" ref="L743">_xlfn.SWITCH(Table13_24[[#This Row],[Performance Score]],"A",6,"B",5,"C",4,"D",3,"E",2,"F",1)</f>
        <v>1</v>
      </c>
    </row>
    <row r="744" spans="1:12" x14ac:dyDescent="0.3">
      <c r="A744" t="s">
        <v>46</v>
      </c>
      <c r="B744">
        <v>36</v>
      </c>
      <c r="C744" s="1">
        <v>50777.202072538857</v>
      </c>
      <c r="D744" t="s">
        <v>19</v>
      </c>
      <c r="E744" t="s">
        <v>30</v>
      </c>
      <c r="F744" t="s">
        <v>40</v>
      </c>
      <c r="G744" s="11">
        <v>43477</v>
      </c>
      <c r="H744" t="s">
        <v>38</v>
      </c>
      <c r="I744" t="s">
        <v>23</v>
      </c>
      <c r="J744" t="s">
        <v>17</v>
      </c>
      <c r="K744" s="11" t="str">
        <f t="shared" ca="1" si="11"/>
        <v>6 Years</v>
      </c>
      <c r="L744" s="3" cm="1">
        <f t="array" ref="L744">_xlfn.SWITCH(Table13_24[[#This Row],[Performance Score]],"A",6,"B",5,"C",4,"D",3,"E",2,"F",1)</f>
        <v>5</v>
      </c>
    </row>
    <row r="745" spans="1:12" x14ac:dyDescent="0.3">
      <c r="A745" t="s">
        <v>36</v>
      </c>
      <c r="B745">
        <v>25</v>
      </c>
      <c r="C745" s="1">
        <v>70000</v>
      </c>
      <c r="D745" t="s">
        <v>19</v>
      </c>
      <c r="E745" t="s">
        <v>30</v>
      </c>
      <c r="F745" t="s">
        <v>14</v>
      </c>
      <c r="G745" s="11">
        <v>43549</v>
      </c>
      <c r="H745" t="s">
        <v>38</v>
      </c>
      <c r="I745" t="s">
        <v>39</v>
      </c>
      <c r="J745" t="s">
        <v>17</v>
      </c>
      <c r="K745" s="11" t="str">
        <f t="shared" ca="1" si="11"/>
        <v>6 Years</v>
      </c>
      <c r="L745" s="3" cm="1">
        <f t="array" ref="L745">_xlfn.SWITCH(Table13_24[[#This Row],[Performance Score]],"A",6,"B",5,"C",4,"D",3,"E",2,"F",1)</f>
        <v>5</v>
      </c>
    </row>
    <row r="746" spans="1:12" x14ac:dyDescent="0.3">
      <c r="A746" t="s">
        <v>36</v>
      </c>
      <c r="B746">
        <v>30</v>
      </c>
      <c r="C746" s="1">
        <v>65000</v>
      </c>
      <c r="D746" t="s">
        <v>19</v>
      </c>
      <c r="E746" t="s">
        <v>35</v>
      </c>
      <c r="F746" t="s">
        <v>40</v>
      </c>
      <c r="G746" s="11">
        <v>43477</v>
      </c>
      <c r="H746" t="s">
        <v>38</v>
      </c>
      <c r="I746" t="s">
        <v>32</v>
      </c>
      <c r="J746" t="s">
        <v>42</v>
      </c>
      <c r="K746" s="11" t="str">
        <f t="shared" ca="1" si="11"/>
        <v>6 Years</v>
      </c>
      <c r="L746" s="3" cm="1">
        <f t="array" ref="L746">_xlfn.SWITCH(Table13_24[[#This Row],[Performance Score]],"A",6,"B",5,"C",4,"D",3,"E",2,"F",1)</f>
        <v>5</v>
      </c>
    </row>
    <row r="747" spans="1:12" x14ac:dyDescent="0.3">
      <c r="A747" t="s">
        <v>44</v>
      </c>
      <c r="B747">
        <v>25</v>
      </c>
      <c r="C747" s="1">
        <v>60000</v>
      </c>
      <c r="D747" t="s">
        <v>19</v>
      </c>
      <c r="E747" t="s">
        <v>20</v>
      </c>
      <c r="F747" t="s">
        <v>40</v>
      </c>
      <c r="G747" s="11">
        <v>43549</v>
      </c>
      <c r="H747" t="s">
        <v>15</v>
      </c>
      <c r="I747" t="s">
        <v>16</v>
      </c>
      <c r="J747" t="s">
        <v>24</v>
      </c>
      <c r="K747" s="11" t="str">
        <f t="shared" ca="1" si="11"/>
        <v>6 Years</v>
      </c>
      <c r="L747" s="3" cm="1">
        <f t="array" ref="L747">_xlfn.SWITCH(Table13_24[[#This Row],[Performance Score]],"A",6,"B",5,"C",4,"D",3,"E",2,"F",1)</f>
        <v>3</v>
      </c>
    </row>
    <row r="748" spans="1:12" x14ac:dyDescent="0.3">
      <c r="A748" t="s">
        <v>33</v>
      </c>
      <c r="B748">
        <v>25</v>
      </c>
      <c r="C748" s="1">
        <v>70000</v>
      </c>
      <c r="D748" t="s">
        <v>12</v>
      </c>
      <c r="E748" t="s">
        <v>30</v>
      </c>
      <c r="F748" t="s">
        <v>21</v>
      </c>
      <c r="G748" s="11">
        <v>43549</v>
      </c>
      <c r="H748" t="s">
        <v>38</v>
      </c>
      <c r="I748" t="s">
        <v>32</v>
      </c>
      <c r="J748" t="s">
        <v>42</v>
      </c>
      <c r="K748" s="11" t="str">
        <f t="shared" ca="1" si="11"/>
        <v>6 Years</v>
      </c>
      <c r="L748" s="3" cm="1">
        <f t="array" ref="L748">_xlfn.SWITCH(Table13_24[[#This Row],[Performance Score]],"A",6,"B",5,"C",4,"D",3,"E",2,"F",1)</f>
        <v>5</v>
      </c>
    </row>
    <row r="749" spans="1:12" x14ac:dyDescent="0.3">
      <c r="A749" t="s">
        <v>36</v>
      </c>
      <c r="B749">
        <v>25</v>
      </c>
      <c r="C749" s="1">
        <v>65000</v>
      </c>
      <c r="D749" t="s">
        <v>34</v>
      </c>
      <c r="E749" t="s">
        <v>30</v>
      </c>
      <c r="F749" t="s">
        <v>21</v>
      </c>
      <c r="G749" s="11">
        <v>43881</v>
      </c>
      <c r="H749" t="s">
        <v>31</v>
      </c>
      <c r="I749" t="s">
        <v>32</v>
      </c>
      <c r="J749" t="s">
        <v>17</v>
      </c>
      <c r="K749" s="11" t="str">
        <f t="shared" ca="1" si="11"/>
        <v>5 Years</v>
      </c>
      <c r="L749" s="3" cm="1">
        <f t="array" ref="L749">_xlfn.SWITCH(Table13_24[[#This Row],[Performance Score]],"A",6,"B",5,"C",4,"D",3,"E",2,"F",1)</f>
        <v>6</v>
      </c>
    </row>
    <row r="750" spans="1:12" x14ac:dyDescent="0.3">
      <c r="A750" t="s">
        <v>36</v>
      </c>
      <c r="B750">
        <v>40</v>
      </c>
      <c r="C750" s="1">
        <v>51825</v>
      </c>
      <c r="D750" t="s">
        <v>19</v>
      </c>
      <c r="E750" t="s">
        <v>13</v>
      </c>
      <c r="F750" t="s">
        <v>37</v>
      </c>
      <c r="G750" s="11">
        <v>43477</v>
      </c>
      <c r="H750" t="s">
        <v>31</v>
      </c>
      <c r="I750" t="s">
        <v>16</v>
      </c>
      <c r="J750" t="s">
        <v>28</v>
      </c>
      <c r="K750" s="11" t="str">
        <f t="shared" ca="1" si="11"/>
        <v>6 Years</v>
      </c>
      <c r="L750" s="3" cm="1">
        <f t="array" ref="L750">_xlfn.SWITCH(Table13_24[[#This Row],[Performance Score]],"A",6,"B",5,"C",4,"D",3,"E",2,"F",1)</f>
        <v>6</v>
      </c>
    </row>
    <row r="751" spans="1:12" x14ac:dyDescent="0.3">
      <c r="A751" t="s">
        <v>29</v>
      </c>
      <c r="B751">
        <v>50</v>
      </c>
      <c r="C751" s="1">
        <v>50000</v>
      </c>
      <c r="D751" t="s">
        <v>12</v>
      </c>
      <c r="E751" t="s">
        <v>13</v>
      </c>
      <c r="F751" t="s">
        <v>37</v>
      </c>
      <c r="G751" s="11">
        <v>43477</v>
      </c>
      <c r="H751" t="s">
        <v>22</v>
      </c>
      <c r="I751" t="s">
        <v>32</v>
      </c>
      <c r="J751" t="s">
        <v>17</v>
      </c>
      <c r="K751" s="11" t="str">
        <f t="shared" ca="1" si="11"/>
        <v>6 Years</v>
      </c>
      <c r="L751" s="3" cm="1">
        <f t="array" ref="L751">_xlfn.SWITCH(Table13_24[[#This Row],[Performance Score]],"A",6,"B",5,"C",4,"D",3,"E",2,"F",1)</f>
        <v>1</v>
      </c>
    </row>
    <row r="752" spans="1:12" x14ac:dyDescent="0.3">
      <c r="A752" t="s">
        <v>29</v>
      </c>
      <c r="B752">
        <v>25</v>
      </c>
      <c r="C752" s="1">
        <v>50000</v>
      </c>
      <c r="D752" t="s">
        <v>19</v>
      </c>
      <c r="E752" t="s">
        <v>20</v>
      </c>
      <c r="F752" t="s">
        <v>40</v>
      </c>
      <c r="G752" s="11">
        <v>43477</v>
      </c>
      <c r="H752" t="s">
        <v>15</v>
      </c>
      <c r="I752" t="s">
        <v>39</v>
      </c>
      <c r="J752" t="s">
        <v>28</v>
      </c>
      <c r="K752" s="11" t="str">
        <f t="shared" ca="1" si="11"/>
        <v>6 Years</v>
      </c>
      <c r="L752" s="3" cm="1">
        <f t="array" ref="L752">_xlfn.SWITCH(Table13_24[[#This Row],[Performance Score]],"A",6,"B",5,"C",4,"D",3,"E",2,"F",1)</f>
        <v>3</v>
      </c>
    </row>
    <row r="753" spans="1:12" x14ac:dyDescent="0.3">
      <c r="A753" t="s">
        <v>44</v>
      </c>
      <c r="B753">
        <v>40</v>
      </c>
      <c r="C753" s="1">
        <v>55000</v>
      </c>
      <c r="D753" t="s">
        <v>12</v>
      </c>
      <c r="E753" t="s">
        <v>20</v>
      </c>
      <c r="F753" t="s">
        <v>41</v>
      </c>
      <c r="G753" s="11">
        <v>43845</v>
      </c>
      <c r="H753" t="s">
        <v>31</v>
      </c>
      <c r="I753" t="s">
        <v>39</v>
      </c>
      <c r="J753" t="s">
        <v>28</v>
      </c>
      <c r="K753" s="11" t="str">
        <f t="shared" ca="1" si="11"/>
        <v>5 Years</v>
      </c>
      <c r="L753" s="3" cm="1">
        <f t="array" ref="L753">_xlfn.SWITCH(Table13_24[[#This Row],[Performance Score]],"A",6,"B",5,"C",4,"D",3,"E",2,"F",1)</f>
        <v>6</v>
      </c>
    </row>
    <row r="754" spans="1:12" x14ac:dyDescent="0.3">
      <c r="A754" t="s">
        <v>33</v>
      </c>
      <c r="B754">
        <v>36</v>
      </c>
      <c r="C754" s="1">
        <v>65000</v>
      </c>
      <c r="D754" t="s">
        <v>12</v>
      </c>
      <c r="E754" t="s">
        <v>26</v>
      </c>
      <c r="F754" t="s">
        <v>41</v>
      </c>
      <c r="G754" s="11">
        <v>43549</v>
      </c>
      <c r="H754" t="s">
        <v>15</v>
      </c>
      <c r="I754" t="s">
        <v>39</v>
      </c>
      <c r="J754" t="s">
        <v>28</v>
      </c>
      <c r="K754" s="11" t="str">
        <f t="shared" ca="1" si="11"/>
        <v>6 Years</v>
      </c>
      <c r="L754" s="3" cm="1">
        <f t="array" ref="L754">_xlfn.SWITCH(Table13_24[[#This Row],[Performance Score]],"A",6,"B",5,"C",4,"D",3,"E",2,"F",1)</f>
        <v>3</v>
      </c>
    </row>
    <row r="755" spans="1:12" x14ac:dyDescent="0.3">
      <c r="A755" t="s">
        <v>43</v>
      </c>
      <c r="B755">
        <v>30</v>
      </c>
      <c r="C755" s="1">
        <v>50000</v>
      </c>
      <c r="D755" t="s">
        <v>12</v>
      </c>
      <c r="E755" t="s">
        <v>13</v>
      </c>
      <c r="F755" t="s">
        <v>37</v>
      </c>
      <c r="G755" s="11">
        <v>43477</v>
      </c>
      <c r="H755" t="s">
        <v>15</v>
      </c>
      <c r="I755" t="s">
        <v>39</v>
      </c>
      <c r="J755" t="s">
        <v>42</v>
      </c>
      <c r="K755" s="11" t="str">
        <f t="shared" ca="1" si="11"/>
        <v>6 Years</v>
      </c>
      <c r="L755" s="3" cm="1">
        <f t="array" ref="L755">_xlfn.SWITCH(Table13_24[[#This Row],[Performance Score]],"A",6,"B",5,"C",4,"D",3,"E",2,"F",1)</f>
        <v>3</v>
      </c>
    </row>
    <row r="756" spans="1:12" x14ac:dyDescent="0.3">
      <c r="A756" t="s">
        <v>29</v>
      </c>
      <c r="B756">
        <v>50</v>
      </c>
      <c r="C756" s="1">
        <v>60000</v>
      </c>
      <c r="D756" t="s">
        <v>34</v>
      </c>
      <c r="E756" t="s">
        <v>26</v>
      </c>
      <c r="F756" t="s">
        <v>41</v>
      </c>
      <c r="G756" s="11">
        <v>43845</v>
      </c>
      <c r="H756" t="s">
        <v>22</v>
      </c>
      <c r="I756" t="s">
        <v>32</v>
      </c>
      <c r="J756" t="s">
        <v>24</v>
      </c>
      <c r="K756" s="11" t="str">
        <f t="shared" ca="1" si="11"/>
        <v>5 Years</v>
      </c>
      <c r="L756" s="3" cm="1">
        <f t="array" ref="L756">_xlfn.SWITCH(Table13_24[[#This Row],[Performance Score]],"A",6,"B",5,"C",4,"D",3,"E",2,"F",1)</f>
        <v>1</v>
      </c>
    </row>
    <row r="757" spans="1:12" x14ac:dyDescent="0.3">
      <c r="A757" t="s">
        <v>43</v>
      </c>
      <c r="B757">
        <v>30</v>
      </c>
      <c r="C757" s="1">
        <v>65000</v>
      </c>
      <c r="D757" t="s">
        <v>12</v>
      </c>
      <c r="E757" t="s">
        <v>35</v>
      </c>
      <c r="F757" t="s">
        <v>37</v>
      </c>
      <c r="G757" s="11">
        <v>43881</v>
      </c>
      <c r="H757" t="s">
        <v>15</v>
      </c>
      <c r="I757" t="s">
        <v>16</v>
      </c>
      <c r="J757" t="s">
        <v>42</v>
      </c>
      <c r="K757" s="11" t="str">
        <f t="shared" ca="1" si="11"/>
        <v>5 Years</v>
      </c>
      <c r="L757" s="3" cm="1">
        <f t="array" ref="L757">_xlfn.SWITCH(Table13_24[[#This Row],[Performance Score]],"A",6,"B",5,"C",4,"D",3,"E",2,"F",1)</f>
        <v>3</v>
      </c>
    </row>
    <row r="758" spans="1:12" x14ac:dyDescent="0.3">
      <c r="A758" t="s">
        <v>45</v>
      </c>
      <c r="B758">
        <v>50</v>
      </c>
      <c r="C758" s="1">
        <v>60000</v>
      </c>
      <c r="D758" t="s">
        <v>12</v>
      </c>
      <c r="E758" t="s">
        <v>26</v>
      </c>
      <c r="F758" t="s">
        <v>21</v>
      </c>
      <c r="G758" s="11">
        <v>43477</v>
      </c>
      <c r="H758" t="s">
        <v>38</v>
      </c>
      <c r="I758" t="s">
        <v>16</v>
      </c>
      <c r="J758" t="s">
        <v>24</v>
      </c>
      <c r="K758" s="11" t="str">
        <f t="shared" ca="1" si="11"/>
        <v>6 Years</v>
      </c>
      <c r="L758" s="3" cm="1">
        <f t="array" ref="L758">_xlfn.SWITCH(Table13_24[[#This Row],[Performance Score]],"A",6,"B",5,"C",4,"D",3,"E",2,"F",1)</f>
        <v>5</v>
      </c>
    </row>
    <row r="759" spans="1:12" x14ac:dyDescent="0.3">
      <c r="A759" t="s">
        <v>29</v>
      </c>
      <c r="B759">
        <v>30</v>
      </c>
      <c r="C759" s="1">
        <v>60000</v>
      </c>
      <c r="D759" t="s">
        <v>34</v>
      </c>
      <c r="E759" t="s">
        <v>30</v>
      </c>
      <c r="F759" t="s">
        <v>40</v>
      </c>
      <c r="G759" s="11">
        <v>43477</v>
      </c>
      <c r="H759" t="s">
        <v>15</v>
      </c>
      <c r="I759" t="s">
        <v>39</v>
      </c>
      <c r="J759" t="s">
        <v>17</v>
      </c>
      <c r="K759" s="11" t="str">
        <f t="shared" ca="1" si="11"/>
        <v>6 Years</v>
      </c>
      <c r="L759" s="3" cm="1">
        <f t="array" ref="L759">_xlfn.SWITCH(Table13_24[[#This Row],[Performance Score]],"A",6,"B",5,"C",4,"D",3,"E",2,"F",1)</f>
        <v>3</v>
      </c>
    </row>
    <row r="760" spans="1:12" x14ac:dyDescent="0.3">
      <c r="A760" t="s">
        <v>46</v>
      </c>
      <c r="B760">
        <v>50</v>
      </c>
      <c r="C760" s="1">
        <v>50000</v>
      </c>
      <c r="D760" t="s">
        <v>34</v>
      </c>
      <c r="E760" t="s">
        <v>26</v>
      </c>
      <c r="F760" t="s">
        <v>14</v>
      </c>
      <c r="G760" s="11">
        <v>43845</v>
      </c>
      <c r="H760" t="s">
        <v>22</v>
      </c>
      <c r="I760" t="s">
        <v>16</v>
      </c>
      <c r="J760" t="s">
        <v>17</v>
      </c>
      <c r="K760" s="11" t="str">
        <f t="shared" ca="1" si="11"/>
        <v>5 Years</v>
      </c>
      <c r="L760" s="3" cm="1">
        <f t="array" ref="L760">_xlfn.SWITCH(Table13_24[[#This Row],[Performance Score]],"A",6,"B",5,"C",4,"D",3,"E",2,"F",1)</f>
        <v>1</v>
      </c>
    </row>
    <row r="761" spans="1:12" x14ac:dyDescent="0.3">
      <c r="A761" t="s">
        <v>33</v>
      </c>
      <c r="B761">
        <v>30</v>
      </c>
      <c r="C761" s="1">
        <v>65000</v>
      </c>
      <c r="D761" t="s">
        <v>12</v>
      </c>
      <c r="E761" t="s">
        <v>20</v>
      </c>
      <c r="F761" t="s">
        <v>40</v>
      </c>
      <c r="G761" s="11">
        <v>43549</v>
      </c>
      <c r="H761" t="s">
        <v>22</v>
      </c>
      <c r="I761" t="s">
        <v>39</v>
      </c>
      <c r="J761" t="s">
        <v>17</v>
      </c>
      <c r="K761" s="11" t="str">
        <f t="shared" ca="1" si="11"/>
        <v>6 Years</v>
      </c>
      <c r="L761" s="3" cm="1">
        <f t="array" ref="L761">_xlfn.SWITCH(Table13_24[[#This Row],[Performance Score]],"A",6,"B",5,"C",4,"D",3,"E",2,"F",1)</f>
        <v>1</v>
      </c>
    </row>
    <row r="762" spans="1:12" x14ac:dyDescent="0.3">
      <c r="A762" t="s">
        <v>44</v>
      </c>
      <c r="B762">
        <v>30</v>
      </c>
      <c r="C762" s="1">
        <v>49144.385026737968</v>
      </c>
      <c r="D762" t="s">
        <v>34</v>
      </c>
      <c r="E762" t="s">
        <v>35</v>
      </c>
      <c r="F762" t="s">
        <v>37</v>
      </c>
      <c r="G762" s="11">
        <v>43881</v>
      </c>
      <c r="H762" t="s">
        <v>22</v>
      </c>
      <c r="I762" t="s">
        <v>32</v>
      </c>
      <c r="J762" t="s">
        <v>42</v>
      </c>
      <c r="K762" s="11" t="str">
        <f t="shared" ca="1" si="11"/>
        <v>5 Years</v>
      </c>
      <c r="L762" s="3" cm="1">
        <f t="array" ref="L762">_xlfn.SWITCH(Table13_24[[#This Row],[Performance Score]],"A",6,"B",5,"C",4,"D",3,"E",2,"F",1)</f>
        <v>1</v>
      </c>
    </row>
    <row r="763" spans="1:12" x14ac:dyDescent="0.3">
      <c r="A763" t="s">
        <v>45</v>
      </c>
      <c r="B763">
        <v>30</v>
      </c>
      <c r="C763" s="1">
        <v>70000</v>
      </c>
      <c r="D763" t="s">
        <v>19</v>
      </c>
      <c r="E763" t="s">
        <v>30</v>
      </c>
      <c r="F763" t="s">
        <v>37</v>
      </c>
      <c r="G763" s="11">
        <v>43477</v>
      </c>
      <c r="H763" t="s">
        <v>31</v>
      </c>
      <c r="I763" t="s">
        <v>16</v>
      </c>
      <c r="J763" t="s">
        <v>42</v>
      </c>
      <c r="K763" s="11" t="str">
        <f t="shared" ca="1" si="11"/>
        <v>6 Years</v>
      </c>
      <c r="L763" s="3" cm="1">
        <f t="array" ref="L763">_xlfn.SWITCH(Table13_24[[#This Row],[Performance Score]],"A",6,"B",5,"C",4,"D",3,"E",2,"F",1)</f>
        <v>6</v>
      </c>
    </row>
    <row r="764" spans="1:12" x14ac:dyDescent="0.3">
      <c r="A764" t="s">
        <v>33</v>
      </c>
      <c r="B764">
        <v>30</v>
      </c>
      <c r="C764" s="1">
        <v>50000</v>
      </c>
      <c r="D764" t="s">
        <v>19</v>
      </c>
      <c r="E764" t="s">
        <v>26</v>
      </c>
      <c r="F764" t="s">
        <v>40</v>
      </c>
      <c r="G764" s="11">
        <v>43549</v>
      </c>
      <c r="H764" t="s">
        <v>38</v>
      </c>
      <c r="I764" t="s">
        <v>16</v>
      </c>
      <c r="J764" t="s">
        <v>24</v>
      </c>
      <c r="K764" s="11" t="str">
        <f t="shared" ca="1" si="11"/>
        <v>6 Years</v>
      </c>
      <c r="L764" s="3" cm="1">
        <f t="array" ref="L764">_xlfn.SWITCH(Table13_24[[#This Row],[Performance Score]],"A",6,"B",5,"C",4,"D",3,"E",2,"F",1)</f>
        <v>5</v>
      </c>
    </row>
    <row r="765" spans="1:12" x14ac:dyDescent="0.3">
      <c r="A765" t="s">
        <v>46</v>
      </c>
      <c r="B765">
        <v>36</v>
      </c>
      <c r="C765" s="1">
        <v>50000</v>
      </c>
      <c r="D765" t="s">
        <v>34</v>
      </c>
      <c r="E765" t="s">
        <v>35</v>
      </c>
      <c r="F765" t="s">
        <v>37</v>
      </c>
      <c r="G765" s="11">
        <v>43881</v>
      </c>
      <c r="H765" t="s">
        <v>31</v>
      </c>
      <c r="I765" t="s">
        <v>23</v>
      </c>
      <c r="J765" t="s">
        <v>42</v>
      </c>
      <c r="K765" s="11" t="str">
        <f t="shared" ca="1" si="11"/>
        <v>5 Years</v>
      </c>
      <c r="L765" s="3" cm="1">
        <f t="array" ref="L765">_xlfn.SWITCH(Table13_24[[#This Row],[Performance Score]],"A",6,"B",5,"C",4,"D",3,"E",2,"F",1)</f>
        <v>6</v>
      </c>
    </row>
    <row r="766" spans="1:12" x14ac:dyDescent="0.3">
      <c r="A766" t="s">
        <v>33</v>
      </c>
      <c r="B766">
        <v>25</v>
      </c>
      <c r="C766" s="1">
        <v>49144.385026737968</v>
      </c>
      <c r="D766" t="s">
        <v>34</v>
      </c>
      <c r="E766" t="s">
        <v>35</v>
      </c>
      <c r="F766" t="s">
        <v>41</v>
      </c>
      <c r="G766" s="11">
        <v>43195</v>
      </c>
      <c r="H766" t="s">
        <v>27</v>
      </c>
      <c r="I766" t="s">
        <v>23</v>
      </c>
      <c r="J766" t="s">
        <v>28</v>
      </c>
      <c r="K766" s="11" t="str">
        <f t="shared" ca="1" si="11"/>
        <v>7 Years</v>
      </c>
      <c r="L766" s="3" cm="1">
        <f t="array" ref="L766">_xlfn.SWITCH(Table13_24[[#This Row],[Performance Score]],"A",6,"B",5,"C",4,"D",3,"E",2,"F",1)</f>
        <v>4</v>
      </c>
    </row>
    <row r="767" spans="1:12" x14ac:dyDescent="0.3">
      <c r="A767" t="s">
        <v>46</v>
      </c>
      <c r="B767">
        <v>35</v>
      </c>
      <c r="C767" s="1">
        <v>65000</v>
      </c>
      <c r="D767" t="s">
        <v>12</v>
      </c>
      <c r="E767" t="s">
        <v>30</v>
      </c>
      <c r="F767" t="s">
        <v>41</v>
      </c>
      <c r="G767" s="11">
        <v>43195</v>
      </c>
      <c r="H767" t="s">
        <v>38</v>
      </c>
      <c r="I767" t="s">
        <v>23</v>
      </c>
      <c r="J767" t="s">
        <v>42</v>
      </c>
      <c r="K767" s="11" t="str">
        <f t="shared" ca="1" si="11"/>
        <v>7 Years</v>
      </c>
      <c r="L767" s="3" cm="1">
        <f t="array" ref="L767">_xlfn.SWITCH(Table13_24[[#This Row],[Performance Score]],"A",6,"B",5,"C",4,"D",3,"E",2,"F",1)</f>
        <v>5</v>
      </c>
    </row>
    <row r="768" spans="1:12" x14ac:dyDescent="0.3">
      <c r="A768" t="s">
        <v>46</v>
      </c>
      <c r="B768">
        <v>40</v>
      </c>
      <c r="C768" s="1">
        <v>65000</v>
      </c>
      <c r="D768" t="s">
        <v>34</v>
      </c>
      <c r="E768" t="s">
        <v>26</v>
      </c>
      <c r="F768" t="s">
        <v>37</v>
      </c>
      <c r="G768" s="11">
        <v>43881</v>
      </c>
      <c r="H768" t="s">
        <v>15</v>
      </c>
      <c r="I768" t="s">
        <v>32</v>
      </c>
      <c r="J768" t="s">
        <v>24</v>
      </c>
      <c r="K768" s="11" t="str">
        <f t="shared" ca="1" si="11"/>
        <v>5 Years</v>
      </c>
      <c r="L768" s="3" cm="1">
        <f t="array" ref="L768">_xlfn.SWITCH(Table13_24[[#This Row],[Performance Score]],"A",6,"B",5,"C",4,"D",3,"E",2,"F",1)</f>
        <v>3</v>
      </c>
    </row>
    <row r="769" spans="1:12" x14ac:dyDescent="0.3">
      <c r="A769" t="s">
        <v>43</v>
      </c>
      <c r="B769">
        <v>35</v>
      </c>
      <c r="C769" s="1">
        <v>60000</v>
      </c>
      <c r="D769" t="s">
        <v>12</v>
      </c>
      <c r="E769" t="s">
        <v>35</v>
      </c>
      <c r="F769" t="s">
        <v>37</v>
      </c>
      <c r="G769" s="11">
        <v>43845</v>
      </c>
      <c r="H769" t="s">
        <v>22</v>
      </c>
      <c r="I769" t="s">
        <v>39</v>
      </c>
      <c r="J769" t="s">
        <v>24</v>
      </c>
      <c r="K769" s="11" t="str">
        <f t="shared" ca="1" si="11"/>
        <v>5 Years</v>
      </c>
      <c r="L769" s="3" cm="1">
        <f t="array" ref="L769">_xlfn.SWITCH(Table13_24[[#This Row],[Performance Score]],"A",6,"B",5,"C",4,"D",3,"E",2,"F",1)</f>
        <v>1</v>
      </c>
    </row>
    <row r="770" spans="1:12" x14ac:dyDescent="0.3">
      <c r="A770" t="s">
        <v>25</v>
      </c>
      <c r="B770">
        <v>35</v>
      </c>
      <c r="C770" s="1">
        <v>49144.385026737968</v>
      </c>
      <c r="D770" t="s">
        <v>19</v>
      </c>
      <c r="E770" t="s">
        <v>35</v>
      </c>
      <c r="F770" t="s">
        <v>41</v>
      </c>
      <c r="G770" s="11">
        <v>43881</v>
      </c>
      <c r="H770" t="s">
        <v>27</v>
      </c>
      <c r="I770" t="s">
        <v>39</v>
      </c>
      <c r="J770" t="s">
        <v>28</v>
      </c>
      <c r="K770" s="11" t="str">
        <f t="shared" ca="1" si="11"/>
        <v>5 Years</v>
      </c>
      <c r="L770" s="3" cm="1">
        <f t="array" ref="L770">_xlfn.SWITCH(Table13_24[[#This Row],[Performance Score]],"A",6,"B",5,"C",4,"D",3,"E",2,"F",1)</f>
        <v>4</v>
      </c>
    </row>
    <row r="771" spans="1:12" x14ac:dyDescent="0.3">
      <c r="A771" t="s">
        <v>45</v>
      </c>
      <c r="B771">
        <v>50</v>
      </c>
      <c r="C771" s="1">
        <v>51825</v>
      </c>
      <c r="D771" t="s">
        <v>34</v>
      </c>
      <c r="E771" t="s">
        <v>13</v>
      </c>
      <c r="F771" t="s">
        <v>37</v>
      </c>
      <c r="G771" s="11">
        <v>43881</v>
      </c>
      <c r="H771" t="s">
        <v>38</v>
      </c>
      <c r="I771" t="s">
        <v>39</v>
      </c>
      <c r="J771" t="s">
        <v>24</v>
      </c>
      <c r="K771" s="11" t="str">
        <f t="shared" ref="K771:K834" ca="1" si="12">DATEDIF(G771,TODAY(),"Y") &amp; " Years"</f>
        <v>5 Years</v>
      </c>
      <c r="L771" s="3" cm="1">
        <f t="array" ref="L771">_xlfn.SWITCH(Table13_24[[#This Row],[Performance Score]],"A",6,"B",5,"C",4,"D",3,"E",2,"F",1)</f>
        <v>5</v>
      </c>
    </row>
    <row r="772" spans="1:12" x14ac:dyDescent="0.3">
      <c r="A772" t="s">
        <v>33</v>
      </c>
      <c r="B772">
        <v>25</v>
      </c>
      <c r="C772" s="1">
        <v>65000</v>
      </c>
      <c r="D772" t="s">
        <v>12</v>
      </c>
      <c r="E772" t="s">
        <v>35</v>
      </c>
      <c r="F772" t="s">
        <v>37</v>
      </c>
      <c r="G772" s="11">
        <v>43845</v>
      </c>
      <c r="H772" t="s">
        <v>31</v>
      </c>
      <c r="I772" t="s">
        <v>32</v>
      </c>
      <c r="J772" t="s">
        <v>17</v>
      </c>
      <c r="K772" s="11" t="str">
        <f t="shared" ca="1" si="12"/>
        <v>5 Years</v>
      </c>
      <c r="L772" s="3" cm="1">
        <f t="array" ref="L772">_xlfn.SWITCH(Table13_24[[#This Row],[Performance Score]],"A",6,"B",5,"C",4,"D",3,"E",2,"F",1)</f>
        <v>6</v>
      </c>
    </row>
    <row r="773" spans="1:12" x14ac:dyDescent="0.3">
      <c r="A773" t="s">
        <v>18</v>
      </c>
      <c r="B773">
        <v>50</v>
      </c>
      <c r="C773" s="1">
        <v>60000</v>
      </c>
      <c r="D773" t="s">
        <v>12</v>
      </c>
      <c r="E773" t="s">
        <v>13</v>
      </c>
      <c r="F773" t="s">
        <v>40</v>
      </c>
      <c r="G773" s="11">
        <v>43845</v>
      </c>
      <c r="H773" t="s">
        <v>22</v>
      </c>
      <c r="I773" t="s">
        <v>32</v>
      </c>
      <c r="J773" t="s">
        <v>17</v>
      </c>
      <c r="K773" s="11" t="str">
        <f t="shared" ca="1" si="12"/>
        <v>5 Years</v>
      </c>
      <c r="L773" s="3" cm="1">
        <f t="array" ref="L773">_xlfn.SWITCH(Table13_24[[#This Row],[Performance Score]],"A",6,"B",5,"C",4,"D",3,"E",2,"F",1)</f>
        <v>1</v>
      </c>
    </row>
    <row r="774" spans="1:12" x14ac:dyDescent="0.3">
      <c r="A774" t="s">
        <v>45</v>
      </c>
      <c r="B774">
        <v>25</v>
      </c>
      <c r="C774" s="1">
        <v>50000</v>
      </c>
      <c r="D774" t="s">
        <v>19</v>
      </c>
      <c r="E774" t="s">
        <v>26</v>
      </c>
      <c r="F774" t="s">
        <v>14</v>
      </c>
      <c r="G774" s="11">
        <v>43549</v>
      </c>
      <c r="H774" t="s">
        <v>31</v>
      </c>
      <c r="I774" t="s">
        <v>23</v>
      </c>
      <c r="J774" t="s">
        <v>42</v>
      </c>
      <c r="K774" s="11" t="str">
        <f t="shared" ca="1" si="12"/>
        <v>6 Years</v>
      </c>
      <c r="L774" s="3" cm="1">
        <f t="array" ref="L774">_xlfn.SWITCH(Table13_24[[#This Row],[Performance Score]],"A",6,"B",5,"C",4,"D",3,"E",2,"F",1)</f>
        <v>6</v>
      </c>
    </row>
    <row r="775" spans="1:12" x14ac:dyDescent="0.3">
      <c r="A775" t="s">
        <v>25</v>
      </c>
      <c r="B775">
        <v>25</v>
      </c>
      <c r="C775" s="1">
        <v>55000</v>
      </c>
      <c r="D775" t="s">
        <v>34</v>
      </c>
      <c r="E775" t="s">
        <v>26</v>
      </c>
      <c r="F775" t="s">
        <v>41</v>
      </c>
      <c r="G775" s="11">
        <v>43549</v>
      </c>
      <c r="H775" t="s">
        <v>38</v>
      </c>
      <c r="I775" t="s">
        <v>16</v>
      </c>
      <c r="J775" t="s">
        <v>17</v>
      </c>
      <c r="K775" s="11" t="str">
        <f t="shared" ca="1" si="12"/>
        <v>6 Years</v>
      </c>
      <c r="L775" s="3" cm="1">
        <f t="array" ref="L775">_xlfn.SWITCH(Table13_24[[#This Row],[Performance Score]],"A",6,"B",5,"C",4,"D",3,"E",2,"F",1)</f>
        <v>5</v>
      </c>
    </row>
    <row r="776" spans="1:12" x14ac:dyDescent="0.3">
      <c r="A776" t="s">
        <v>45</v>
      </c>
      <c r="B776">
        <v>30</v>
      </c>
      <c r="C776" s="1">
        <v>70000</v>
      </c>
      <c r="D776" t="s">
        <v>19</v>
      </c>
      <c r="E776" t="s">
        <v>26</v>
      </c>
      <c r="F776" t="s">
        <v>40</v>
      </c>
      <c r="G776" s="11">
        <v>43845</v>
      </c>
      <c r="H776" t="s">
        <v>38</v>
      </c>
      <c r="I776" t="s">
        <v>39</v>
      </c>
      <c r="J776" t="s">
        <v>42</v>
      </c>
      <c r="K776" s="11" t="str">
        <f t="shared" ca="1" si="12"/>
        <v>5 Years</v>
      </c>
      <c r="L776" s="3" cm="1">
        <f t="array" ref="L776">_xlfn.SWITCH(Table13_24[[#This Row],[Performance Score]],"A",6,"B",5,"C",4,"D",3,"E",2,"F",1)</f>
        <v>5</v>
      </c>
    </row>
    <row r="777" spans="1:12" x14ac:dyDescent="0.3">
      <c r="A777" t="s">
        <v>36</v>
      </c>
      <c r="B777">
        <v>36</v>
      </c>
      <c r="C777" s="1">
        <v>50000</v>
      </c>
      <c r="D777" t="s">
        <v>12</v>
      </c>
      <c r="E777" t="s">
        <v>20</v>
      </c>
      <c r="F777" t="s">
        <v>14</v>
      </c>
      <c r="G777" s="11">
        <v>43195</v>
      </c>
      <c r="H777" t="s">
        <v>27</v>
      </c>
      <c r="I777" t="s">
        <v>39</v>
      </c>
      <c r="J777" t="s">
        <v>17</v>
      </c>
      <c r="K777" s="11" t="str">
        <f t="shared" ca="1" si="12"/>
        <v>7 Years</v>
      </c>
      <c r="L777" s="3" cm="1">
        <f t="array" ref="L777">_xlfn.SWITCH(Table13_24[[#This Row],[Performance Score]],"A",6,"B",5,"C",4,"D",3,"E",2,"F",1)</f>
        <v>4</v>
      </c>
    </row>
    <row r="778" spans="1:12" x14ac:dyDescent="0.3">
      <c r="A778" t="s">
        <v>18</v>
      </c>
      <c r="B778">
        <v>30</v>
      </c>
      <c r="C778" s="1">
        <v>65000</v>
      </c>
      <c r="D778" t="s">
        <v>12</v>
      </c>
      <c r="E778" t="s">
        <v>26</v>
      </c>
      <c r="F778" t="s">
        <v>37</v>
      </c>
      <c r="G778" s="11">
        <v>43195</v>
      </c>
      <c r="H778" t="s">
        <v>15</v>
      </c>
      <c r="I778" t="s">
        <v>16</v>
      </c>
      <c r="J778" t="s">
        <v>42</v>
      </c>
      <c r="K778" s="11" t="str">
        <f t="shared" ca="1" si="12"/>
        <v>7 Years</v>
      </c>
      <c r="L778" s="3" cm="1">
        <f t="array" ref="L778">_xlfn.SWITCH(Table13_24[[#This Row],[Performance Score]],"A",6,"B",5,"C",4,"D",3,"E",2,"F",1)</f>
        <v>3</v>
      </c>
    </row>
    <row r="779" spans="1:12" x14ac:dyDescent="0.3">
      <c r="A779" t="s">
        <v>25</v>
      </c>
      <c r="B779">
        <v>36</v>
      </c>
      <c r="C779" s="1">
        <v>70000</v>
      </c>
      <c r="D779" t="s">
        <v>34</v>
      </c>
      <c r="E779" t="s">
        <v>35</v>
      </c>
      <c r="F779" t="s">
        <v>37</v>
      </c>
      <c r="G779" s="11">
        <v>43881</v>
      </c>
      <c r="H779" t="s">
        <v>31</v>
      </c>
      <c r="I779" t="s">
        <v>23</v>
      </c>
      <c r="J779" t="s">
        <v>28</v>
      </c>
      <c r="K779" s="11" t="str">
        <f t="shared" ca="1" si="12"/>
        <v>5 Years</v>
      </c>
      <c r="L779" s="3" cm="1">
        <f t="array" ref="L779">_xlfn.SWITCH(Table13_24[[#This Row],[Performance Score]],"A",6,"B",5,"C",4,"D",3,"E",2,"F",1)</f>
        <v>6</v>
      </c>
    </row>
    <row r="780" spans="1:12" x14ac:dyDescent="0.3">
      <c r="A780" t="s">
        <v>43</v>
      </c>
      <c r="B780">
        <v>50</v>
      </c>
      <c r="C780" s="1">
        <v>55000</v>
      </c>
      <c r="D780" t="s">
        <v>12</v>
      </c>
      <c r="E780" t="s">
        <v>30</v>
      </c>
      <c r="F780" t="s">
        <v>40</v>
      </c>
      <c r="G780" s="11">
        <v>43477</v>
      </c>
      <c r="H780" t="s">
        <v>27</v>
      </c>
      <c r="I780" t="s">
        <v>16</v>
      </c>
      <c r="J780" t="s">
        <v>24</v>
      </c>
      <c r="K780" s="11" t="str">
        <f t="shared" ca="1" si="12"/>
        <v>6 Years</v>
      </c>
      <c r="L780" s="3" cm="1">
        <f t="array" ref="L780">_xlfn.SWITCH(Table13_24[[#This Row],[Performance Score]],"A",6,"B",5,"C",4,"D",3,"E",2,"F",1)</f>
        <v>4</v>
      </c>
    </row>
    <row r="781" spans="1:12" x14ac:dyDescent="0.3">
      <c r="A781" t="s">
        <v>33</v>
      </c>
      <c r="B781">
        <v>36</v>
      </c>
      <c r="C781" s="1">
        <v>55000</v>
      </c>
      <c r="D781" t="s">
        <v>34</v>
      </c>
      <c r="E781" t="s">
        <v>13</v>
      </c>
      <c r="F781" t="s">
        <v>37</v>
      </c>
      <c r="G781" s="11">
        <v>43881</v>
      </c>
      <c r="H781" t="s">
        <v>22</v>
      </c>
      <c r="I781" t="s">
        <v>16</v>
      </c>
      <c r="J781" t="s">
        <v>24</v>
      </c>
      <c r="K781" s="11" t="str">
        <f t="shared" ca="1" si="12"/>
        <v>5 Years</v>
      </c>
      <c r="L781" s="3" cm="1">
        <f t="array" ref="L781">_xlfn.SWITCH(Table13_24[[#This Row],[Performance Score]],"A",6,"B",5,"C",4,"D",3,"E",2,"F",1)</f>
        <v>1</v>
      </c>
    </row>
    <row r="782" spans="1:12" x14ac:dyDescent="0.3">
      <c r="A782" t="s">
        <v>11</v>
      </c>
      <c r="B782">
        <v>50</v>
      </c>
      <c r="C782" s="1">
        <v>60000</v>
      </c>
      <c r="D782" t="s">
        <v>19</v>
      </c>
      <c r="E782" t="s">
        <v>20</v>
      </c>
      <c r="F782" t="s">
        <v>21</v>
      </c>
      <c r="G782" s="11">
        <v>43881</v>
      </c>
      <c r="H782" t="s">
        <v>15</v>
      </c>
      <c r="I782" t="s">
        <v>39</v>
      </c>
      <c r="J782" t="s">
        <v>28</v>
      </c>
      <c r="K782" s="11" t="str">
        <f t="shared" ca="1" si="12"/>
        <v>5 Years</v>
      </c>
      <c r="L782" s="3" cm="1">
        <f t="array" ref="L782">_xlfn.SWITCH(Table13_24[[#This Row],[Performance Score]],"A",6,"B",5,"C",4,"D",3,"E",2,"F",1)</f>
        <v>3</v>
      </c>
    </row>
    <row r="783" spans="1:12" x14ac:dyDescent="0.3">
      <c r="A783" t="s">
        <v>25</v>
      </c>
      <c r="B783">
        <v>35</v>
      </c>
      <c r="C783" s="1">
        <v>70000</v>
      </c>
      <c r="D783" t="s">
        <v>34</v>
      </c>
      <c r="E783" t="s">
        <v>26</v>
      </c>
      <c r="F783" t="s">
        <v>40</v>
      </c>
      <c r="G783" s="11">
        <v>43477</v>
      </c>
      <c r="H783" t="s">
        <v>27</v>
      </c>
      <c r="I783" t="s">
        <v>23</v>
      </c>
      <c r="J783" t="s">
        <v>17</v>
      </c>
      <c r="K783" s="11" t="str">
        <f t="shared" ca="1" si="12"/>
        <v>6 Years</v>
      </c>
      <c r="L783" s="3" cm="1">
        <f t="array" ref="L783">_xlfn.SWITCH(Table13_24[[#This Row],[Performance Score]],"A",6,"B",5,"C",4,"D",3,"E",2,"F",1)</f>
        <v>4</v>
      </c>
    </row>
    <row r="784" spans="1:12" x14ac:dyDescent="0.3">
      <c r="A784" t="s">
        <v>44</v>
      </c>
      <c r="B784">
        <v>35</v>
      </c>
      <c r="C784" s="1">
        <v>60000</v>
      </c>
      <c r="D784" t="s">
        <v>34</v>
      </c>
      <c r="E784" t="s">
        <v>26</v>
      </c>
      <c r="F784" t="s">
        <v>14</v>
      </c>
      <c r="G784" s="11">
        <v>43845</v>
      </c>
      <c r="H784" t="s">
        <v>31</v>
      </c>
      <c r="I784" t="s">
        <v>32</v>
      </c>
      <c r="J784" t="s">
        <v>17</v>
      </c>
      <c r="K784" s="11" t="str">
        <f t="shared" ca="1" si="12"/>
        <v>5 Years</v>
      </c>
      <c r="L784" s="3" cm="1">
        <f t="array" ref="L784">_xlfn.SWITCH(Table13_24[[#This Row],[Performance Score]],"A",6,"B",5,"C",4,"D",3,"E",2,"F",1)</f>
        <v>6</v>
      </c>
    </row>
    <row r="785" spans="1:12" x14ac:dyDescent="0.3">
      <c r="A785" t="s">
        <v>33</v>
      </c>
      <c r="B785">
        <v>36</v>
      </c>
      <c r="C785" s="1">
        <v>50000</v>
      </c>
      <c r="D785" t="s">
        <v>12</v>
      </c>
      <c r="E785" t="s">
        <v>30</v>
      </c>
      <c r="F785" t="s">
        <v>40</v>
      </c>
      <c r="G785" s="11">
        <v>43195</v>
      </c>
      <c r="H785" t="s">
        <v>38</v>
      </c>
      <c r="I785" t="s">
        <v>39</v>
      </c>
      <c r="J785" t="s">
        <v>17</v>
      </c>
      <c r="K785" s="11" t="str">
        <f t="shared" ca="1" si="12"/>
        <v>7 Years</v>
      </c>
      <c r="L785" s="3" cm="1">
        <f t="array" ref="L785">_xlfn.SWITCH(Table13_24[[#This Row],[Performance Score]],"A",6,"B",5,"C",4,"D",3,"E",2,"F",1)</f>
        <v>5</v>
      </c>
    </row>
    <row r="786" spans="1:12" x14ac:dyDescent="0.3">
      <c r="A786" t="s">
        <v>25</v>
      </c>
      <c r="B786">
        <v>36</v>
      </c>
      <c r="C786" s="1">
        <v>50777.202072538857</v>
      </c>
      <c r="D786" t="s">
        <v>12</v>
      </c>
      <c r="E786" t="s">
        <v>30</v>
      </c>
      <c r="F786" t="s">
        <v>41</v>
      </c>
      <c r="G786" s="11">
        <v>43881</v>
      </c>
      <c r="H786" t="s">
        <v>22</v>
      </c>
      <c r="I786" t="s">
        <v>32</v>
      </c>
      <c r="J786" t="s">
        <v>24</v>
      </c>
      <c r="K786" s="11" t="str">
        <f t="shared" ca="1" si="12"/>
        <v>5 Years</v>
      </c>
      <c r="L786" s="3" cm="1">
        <f t="array" ref="L786">_xlfn.SWITCH(Table13_24[[#This Row],[Performance Score]],"A",6,"B",5,"C",4,"D",3,"E",2,"F",1)</f>
        <v>1</v>
      </c>
    </row>
    <row r="787" spans="1:12" x14ac:dyDescent="0.3">
      <c r="A787" t="s">
        <v>36</v>
      </c>
      <c r="B787">
        <v>50</v>
      </c>
      <c r="C787" s="1">
        <v>48417.431192660551</v>
      </c>
      <c r="D787" t="s">
        <v>34</v>
      </c>
      <c r="E787" t="s">
        <v>20</v>
      </c>
      <c r="F787" t="s">
        <v>40</v>
      </c>
      <c r="G787" s="11">
        <v>43477</v>
      </c>
      <c r="H787" t="s">
        <v>31</v>
      </c>
      <c r="I787" t="s">
        <v>23</v>
      </c>
      <c r="J787" t="s">
        <v>17</v>
      </c>
      <c r="K787" s="11" t="str">
        <f t="shared" ca="1" si="12"/>
        <v>6 Years</v>
      </c>
      <c r="L787" s="3" cm="1">
        <f t="array" ref="L787">_xlfn.SWITCH(Table13_24[[#This Row],[Performance Score]],"A",6,"B",5,"C",4,"D",3,"E",2,"F",1)</f>
        <v>6</v>
      </c>
    </row>
    <row r="788" spans="1:12" x14ac:dyDescent="0.3">
      <c r="A788" t="s">
        <v>11</v>
      </c>
      <c r="B788">
        <v>30</v>
      </c>
      <c r="C788" s="1">
        <v>51825</v>
      </c>
      <c r="D788" t="s">
        <v>12</v>
      </c>
      <c r="E788" t="s">
        <v>13</v>
      </c>
      <c r="F788" t="s">
        <v>37</v>
      </c>
      <c r="G788" s="11">
        <v>43549</v>
      </c>
      <c r="H788" t="s">
        <v>15</v>
      </c>
      <c r="I788" t="s">
        <v>16</v>
      </c>
      <c r="J788" t="s">
        <v>42</v>
      </c>
      <c r="K788" s="11" t="str">
        <f t="shared" ca="1" si="12"/>
        <v>6 Years</v>
      </c>
      <c r="L788" s="3" cm="1">
        <f t="array" ref="L788">_xlfn.SWITCH(Table13_24[[#This Row],[Performance Score]],"A",6,"B",5,"C",4,"D",3,"E",2,"F",1)</f>
        <v>3</v>
      </c>
    </row>
    <row r="789" spans="1:12" x14ac:dyDescent="0.3">
      <c r="A789" t="s">
        <v>36</v>
      </c>
      <c r="B789">
        <v>50</v>
      </c>
      <c r="C789" s="1">
        <v>70000</v>
      </c>
      <c r="D789" t="s">
        <v>12</v>
      </c>
      <c r="E789" t="s">
        <v>26</v>
      </c>
      <c r="F789" t="s">
        <v>37</v>
      </c>
      <c r="G789" s="11">
        <v>43881</v>
      </c>
      <c r="H789" t="s">
        <v>15</v>
      </c>
      <c r="I789" t="s">
        <v>39</v>
      </c>
      <c r="J789" t="s">
        <v>17</v>
      </c>
      <c r="K789" s="11" t="str">
        <f t="shared" ca="1" si="12"/>
        <v>5 Years</v>
      </c>
      <c r="L789" s="3" cm="1">
        <f t="array" ref="L789">_xlfn.SWITCH(Table13_24[[#This Row],[Performance Score]],"A",6,"B",5,"C",4,"D",3,"E",2,"F",1)</f>
        <v>3</v>
      </c>
    </row>
    <row r="790" spans="1:12" x14ac:dyDescent="0.3">
      <c r="A790" t="s">
        <v>11</v>
      </c>
      <c r="B790">
        <v>30</v>
      </c>
      <c r="C790" s="1">
        <v>48417.431192660551</v>
      </c>
      <c r="D790" t="s">
        <v>12</v>
      </c>
      <c r="E790" t="s">
        <v>20</v>
      </c>
      <c r="F790" t="s">
        <v>21</v>
      </c>
      <c r="G790" s="11">
        <v>43195</v>
      </c>
      <c r="H790" t="s">
        <v>38</v>
      </c>
      <c r="I790" t="s">
        <v>39</v>
      </c>
      <c r="J790" t="s">
        <v>17</v>
      </c>
      <c r="K790" s="11" t="str">
        <f t="shared" ca="1" si="12"/>
        <v>7 Years</v>
      </c>
      <c r="L790" s="3" cm="1">
        <f t="array" ref="L790">_xlfn.SWITCH(Table13_24[[#This Row],[Performance Score]],"A",6,"B",5,"C",4,"D",3,"E",2,"F",1)</f>
        <v>5</v>
      </c>
    </row>
    <row r="791" spans="1:12" x14ac:dyDescent="0.3">
      <c r="A791" t="s">
        <v>44</v>
      </c>
      <c r="B791">
        <v>35</v>
      </c>
      <c r="C791" s="1">
        <v>50000</v>
      </c>
      <c r="D791" t="s">
        <v>34</v>
      </c>
      <c r="E791" t="s">
        <v>35</v>
      </c>
      <c r="F791" t="s">
        <v>21</v>
      </c>
      <c r="G791" s="11">
        <v>43845</v>
      </c>
      <c r="H791" t="s">
        <v>38</v>
      </c>
      <c r="I791" t="s">
        <v>23</v>
      </c>
      <c r="J791" t="s">
        <v>28</v>
      </c>
      <c r="K791" s="11" t="str">
        <f t="shared" ca="1" si="12"/>
        <v>5 Years</v>
      </c>
      <c r="L791" s="3" cm="1">
        <f t="array" ref="L791">_xlfn.SWITCH(Table13_24[[#This Row],[Performance Score]],"A",6,"B",5,"C",4,"D",3,"E",2,"F",1)</f>
        <v>5</v>
      </c>
    </row>
    <row r="792" spans="1:12" x14ac:dyDescent="0.3">
      <c r="A792" t="s">
        <v>33</v>
      </c>
      <c r="B792">
        <v>25</v>
      </c>
      <c r="C792" s="1">
        <v>60000</v>
      </c>
      <c r="D792" t="s">
        <v>12</v>
      </c>
      <c r="E792" t="s">
        <v>35</v>
      </c>
      <c r="F792" t="s">
        <v>21</v>
      </c>
      <c r="G792" s="11">
        <v>43881</v>
      </c>
      <c r="H792" t="s">
        <v>22</v>
      </c>
      <c r="I792" t="s">
        <v>39</v>
      </c>
      <c r="J792" t="s">
        <v>42</v>
      </c>
      <c r="K792" s="11" t="str">
        <f t="shared" ca="1" si="12"/>
        <v>5 Years</v>
      </c>
      <c r="L792" s="3" cm="1">
        <f t="array" ref="L792">_xlfn.SWITCH(Table13_24[[#This Row],[Performance Score]],"A",6,"B",5,"C",4,"D",3,"E",2,"F",1)</f>
        <v>1</v>
      </c>
    </row>
    <row r="793" spans="1:12" x14ac:dyDescent="0.3">
      <c r="A793" t="s">
        <v>43</v>
      </c>
      <c r="B793">
        <v>36</v>
      </c>
      <c r="C793" s="1">
        <v>70000</v>
      </c>
      <c r="D793" t="s">
        <v>34</v>
      </c>
      <c r="E793" t="s">
        <v>20</v>
      </c>
      <c r="F793" t="s">
        <v>14</v>
      </c>
      <c r="G793" s="11">
        <v>43881</v>
      </c>
      <c r="H793" t="s">
        <v>22</v>
      </c>
      <c r="I793" t="s">
        <v>32</v>
      </c>
      <c r="J793" t="s">
        <v>17</v>
      </c>
      <c r="K793" s="11" t="str">
        <f t="shared" ca="1" si="12"/>
        <v>5 Years</v>
      </c>
      <c r="L793" s="3" cm="1">
        <f t="array" ref="L793">_xlfn.SWITCH(Table13_24[[#This Row],[Performance Score]],"A",6,"B",5,"C",4,"D",3,"E",2,"F",1)</f>
        <v>1</v>
      </c>
    </row>
    <row r="794" spans="1:12" x14ac:dyDescent="0.3">
      <c r="A794" t="s">
        <v>36</v>
      </c>
      <c r="B794">
        <v>30</v>
      </c>
      <c r="C794" s="1">
        <v>60000</v>
      </c>
      <c r="D794" t="s">
        <v>12</v>
      </c>
      <c r="E794" t="s">
        <v>26</v>
      </c>
      <c r="F794" t="s">
        <v>21</v>
      </c>
      <c r="G794" s="11">
        <v>43477</v>
      </c>
      <c r="H794" t="s">
        <v>38</v>
      </c>
      <c r="I794" t="s">
        <v>39</v>
      </c>
      <c r="J794" t="s">
        <v>42</v>
      </c>
      <c r="K794" s="11" t="str">
        <f t="shared" ca="1" si="12"/>
        <v>6 Years</v>
      </c>
      <c r="L794" s="3" cm="1">
        <f t="array" ref="L794">_xlfn.SWITCH(Table13_24[[#This Row],[Performance Score]],"A",6,"B",5,"C",4,"D",3,"E",2,"F",1)</f>
        <v>5</v>
      </c>
    </row>
    <row r="795" spans="1:12" x14ac:dyDescent="0.3">
      <c r="A795" t="s">
        <v>36</v>
      </c>
      <c r="B795">
        <v>50</v>
      </c>
      <c r="C795" s="1">
        <v>70000</v>
      </c>
      <c r="D795" t="s">
        <v>19</v>
      </c>
      <c r="E795" t="s">
        <v>20</v>
      </c>
      <c r="F795" t="s">
        <v>14</v>
      </c>
      <c r="G795" s="11">
        <v>43549</v>
      </c>
      <c r="H795" t="s">
        <v>38</v>
      </c>
      <c r="I795" t="s">
        <v>23</v>
      </c>
      <c r="J795" t="s">
        <v>17</v>
      </c>
      <c r="K795" s="11" t="str">
        <f t="shared" ca="1" si="12"/>
        <v>6 Years</v>
      </c>
      <c r="L795" s="3" cm="1">
        <f t="array" ref="L795">_xlfn.SWITCH(Table13_24[[#This Row],[Performance Score]],"A",6,"B",5,"C",4,"D",3,"E",2,"F",1)</f>
        <v>5</v>
      </c>
    </row>
    <row r="796" spans="1:12" x14ac:dyDescent="0.3">
      <c r="A796" t="s">
        <v>46</v>
      </c>
      <c r="B796">
        <v>35</v>
      </c>
      <c r="C796" s="1">
        <v>60000</v>
      </c>
      <c r="D796" t="s">
        <v>12</v>
      </c>
      <c r="E796" t="s">
        <v>26</v>
      </c>
      <c r="F796" t="s">
        <v>21</v>
      </c>
      <c r="G796" s="11">
        <v>43549</v>
      </c>
      <c r="H796" t="s">
        <v>15</v>
      </c>
      <c r="I796" t="s">
        <v>23</v>
      </c>
      <c r="J796" t="s">
        <v>24</v>
      </c>
      <c r="K796" s="11" t="str">
        <f t="shared" ca="1" si="12"/>
        <v>6 Years</v>
      </c>
      <c r="L796" s="3" cm="1">
        <f t="array" ref="L796">_xlfn.SWITCH(Table13_24[[#This Row],[Performance Score]],"A",6,"B",5,"C",4,"D",3,"E",2,"F",1)</f>
        <v>3</v>
      </c>
    </row>
    <row r="797" spans="1:12" x14ac:dyDescent="0.3">
      <c r="A797" t="s">
        <v>11</v>
      </c>
      <c r="B797">
        <v>30</v>
      </c>
      <c r="C797" s="1">
        <v>55000</v>
      </c>
      <c r="D797" t="s">
        <v>12</v>
      </c>
      <c r="E797" t="s">
        <v>30</v>
      </c>
      <c r="F797" t="s">
        <v>14</v>
      </c>
      <c r="G797" s="11">
        <v>43845</v>
      </c>
      <c r="H797" t="s">
        <v>38</v>
      </c>
      <c r="I797" t="s">
        <v>32</v>
      </c>
      <c r="J797" t="s">
        <v>17</v>
      </c>
      <c r="K797" s="11" t="str">
        <f t="shared" ca="1" si="12"/>
        <v>5 Years</v>
      </c>
      <c r="L797" s="3" cm="1">
        <f t="array" ref="L797">_xlfn.SWITCH(Table13_24[[#This Row],[Performance Score]],"A",6,"B",5,"C",4,"D",3,"E",2,"F",1)</f>
        <v>5</v>
      </c>
    </row>
    <row r="798" spans="1:12" x14ac:dyDescent="0.3">
      <c r="A798" t="s">
        <v>29</v>
      </c>
      <c r="B798">
        <v>50</v>
      </c>
      <c r="C798" s="1">
        <v>60000</v>
      </c>
      <c r="D798" t="s">
        <v>34</v>
      </c>
      <c r="E798" t="s">
        <v>20</v>
      </c>
      <c r="F798" t="s">
        <v>40</v>
      </c>
      <c r="G798" s="11">
        <v>43195</v>
      </c>
      <c r="H798" t="s">
        <v>27</v>
      </c>
      <c r="I798" t="s">
        <v>39</v>
      </c>
      <c r="J798" t="s">
        <v>28</v>
      </c>
      <c r="K798" s="11" t="str">
        <f t="shared" ca="1" si="12"/>
        <v>7 Years</v>
      </c>
      <c r="L798" s="3" cm="1">
        <f t="array" ref="L798">_xlfn.SWITCH(Table13_24[[#This Row],[Performance Score]],"A",6,"B",5,"C",4,"D",3,"E",2,"F",1)</f>
        <v>4</v>
      </c>
    </row>
    <row r="799" spans="1:12" x14ac:dyDescent="0.3">
      <c r="A799" t="s">
        <v>33</v>
      </c>
      <c r="B799">
        <v>36</v>
      </c>
      <c r="C799" s="1">
        <v>50742.574257425746</v>
      </c>
      <c r="D799" t="s">
        <v>34</v>
      </c>
      <c r="E799" t="s">
        <v>26</v>
      </c>
      <c r="F799" t="s">
        <v>40</v>
      </c>
      <c r="G799" s="11">
        <v>43845</v>
      </c>
      <c r="H799" t="s">
        <v>31</v>
      </c>
      <c r="I799" t="s">
        <v>39</v>
      </c>
      <c r="J799" t="s">
        <v>17</v>
      </c>
      <c r="K799" s="11" t="str">
        <f t="shared" ca="1" si="12"/>
        <v>5 Years</v>
      </c>
      <c r="L799" s="3" cm="1">
        <f t="array" ref="L799">_xlfn.SWITCH(Table13_24[[#This Row],[Performance Score]],"A",6,"B",5,"C",4,"D",3,"E",2,"F",1)</f>
        <v>6</v>
      </c>
    </row>
    <row r="800" spans="1:12" x14ac:dyDescent="0.3">
      <c r="A800" t="s">
        <v>11</v>
      </c>
      <c r="B800">
        <v>36</v>
      </c>
      <c r="C800" s="1">
        <v>55000</v>
      </c>
      <c r="D800" t="s">
        <v>12</v>
      </c>
      <c r="E800" t="s">
        <v>20</v>
      </c>
      <c r="F800" t="s">
        <v>37</v>
      </c>
      <c r="G800" s="11">
        <v>43881</v>
      </c>
      <c r="H800" t="s">
        <v>38</v>
      </c>
      <c r="I800" t="s">
        <v>16</v>
      </c>
      <c r="J800" t="s">
        <v>17</v>
      </c>
      <c r="K800" s="11" t="str">
        <f t="shared" ca="1" si="12"/>
        <v>5 Years</v>
      </c>
      <c r="L800" s="3" cm="1">
        <f t="array" ref="L800">_xlfn.SWITCH(Table13_24[[#This Row],[Performance Score]],"A",6,"B",5,"C",4,"D",3,"E",2,"F",1)</f>
        <v>5</v>
      </c>
    </row>
    <row r="801" spans="1:12" x14ac:dyDescent="0.3">
      <c r="A801" t="s">
        <v>46</v>
      </c>
      <c r="B801">
        <v>40</v>
      </c>
      <c r="C801" s="1">
        <v>60000</v>
      </c>
      <c r="D801" t="s">
        <v>19</v>
      </c>
      <c r="E801" t="s">
        <v>20</v>
      </c>
      <c r="F801" t="s">
        <v>14</v>
      </c>
      <c r="G801" s="11">
        <v>43881</v>
      </c>
      <c r="H801" t="s">
        <v>22</v>
      </c>
      <c r="I801" t="s">
        <v>39</v>
      </c>
      <c r="J801" t="s">
        <v>28</v>
      </c>
      <c r="K801" s="11" t="str">
        <f t="shared" ca="1" si="12"/>
        <v>5 Years</v>
      </c>
      <c r="L801" s="3" cm="1">
        <f t="array" ref="L801">_xlfn.SWITCH(Table13_24[[#This Row],[Performance Score]],"A",6,"B",5,"C",4,"D",3,"E",2,"F",1)</f>
        <v>1</v>
      </c>
    </row>
    <row r="802" spans="1:12" x14ac:dyDescent="0.3">
      <c r="A802" t="s">
        <v>45</v>
      </c>
      <c r="B802">
        <v>25</v>
      </c>
      <c r="C802" s="1">
        <v>70000</v>
      </c>
      <c r="D802" t="s">
        <v>12</v>
      </c>
      <c r="E802" t="s">
        <v>26</v>
      </c>
      <c r="F802" t="s">
        <v>41</v>
      </c>
      <c r="G802" s="11">
        <v>43549</v>
      </c>
      <c r="H802" t="s">
        <v>27</v>
      </c>
      <c r="I802" t="s">
        <v>23</v>
      </c>
      <c r="J802" t="s">
        <v>17</v>
      </c>
      <c r="K802" s="11" t="str">
        <f t="shared" ca="1" si="12"/>
        <v>6 Years</v>
      </c>
      <c r="L802" s="3" cm="1">
        <f t="array" ref="L802">_xlfn.SWITCH(Table13_24[[#This Row],[Performance Score]],"A",6,"B",5,"C",4,"D",3,"E",2,"F",1)</f>
        <v>4</v>
      </c>
    </row>
    <row r="803" spans="1:12" x14ac:dyDescent="0.3">
      <c r="A803" t="s">
        <v>11</v>
      </c>
      <c r="B803">
        <v>40</v>
      </c>
      <c r="C803" s="1">
        <v>70000</v>
      </c>
      <c r="D803" t="s">
        <v>12</v>
      </c>
      <c r="E803" t="s">
        <v>26</v>
      </c>
      <c r="F803" t="s">
        <v>37</v>
      </c>
      <c r="G803" s="11">
        <v>43195</v>
      </c>
      <c r="H803" t="s">
        <v>22</v>
      </c>
      <c r="I803" t="s">
        <v>16</v>
      </c>
      <c r="J803" t="s">
        <v>17</v>
      </c>
      <c r="K803" s="11" t="str">
        <f t="shared" ca="1" si="12"/>
        <v>7 Years</v>
      </c>
      <c r="L803" s="3" cm="1">
        <f t="array" ref="L803">_xlfn.SWITCH(Table13_24[[#This Row],[Performance Score]],"A",6,"B",5,"C",4,"D",3,"E",2,"F",1)</f>
        <v>1</v>
      </c>
    </row>
    <row r="804" spans="1:12" x14ac:dyDescent="0.3">
      <c r="A804" t="s">
        <v>43</v>
      </c>
      <c r="B804">
        <v>35</v>
      </c>
      <c r="C804" s="1">
        <v>70000</v>
      </c>
      <c r="D804" t="s">
        <v>19</v>
      </c>
      <c r="E804" t="s">
        <v>13</v>
      </c>
      <c r="F804" t="s">
        <v>40</v>
      </c>
      <c r="G804" s="11">
        <v>43477</v>
      </c>
      <c r="H804" t="s">
        <v>27</v>
      </c>
      <c r="I804" t="s">
        <v>23</v>
      </c>
      <c r="J804" t="s">
        <v>17</v>
      </c>
      <c r="K804" s="11" t="str">
        <f t="shared" ca="1" si="12"/>
        <v>6 Years</v>
      </c>
      <c r="L804" s="3" cm="1">
        <f t="array" ref="L804">_xlfn.SWITCH(Table13_24[[#This Row],[Performance Score]],"A",6,"B",5,"C",4,"D",3,"E",2,"F",1)</f>
        <v>4</v>
      </c>
    </row>
    <row r="805" spans="1:12" x14ac:dyDescent="0.3">
      <c r="A805" t="s">
        <v>33</v>
      </c>
      <c r="B805">
        <v>30</v>
      </c>
      <c r="C805" s="1">
        <v>65000</v>
      </c>
      <c r="D805" t="s">
        <v>34</v>
      </c>
      <c r="E805" t="s">
        <v>20</v>
      </c>
      <c r="F805" t="s">
        <v>14</v>
      </c>
      <c r="G805" s="11">
        <v>43195</v>
      </c>
      <c r="H805" t="s">
        <v>38</v>
      </c>
      <c r="I805" t="s">
        <v>16</v>
      </c>
      <c r="J805" t="s">
        <v>42</v>
      </c>
      <c r="K805" s="11" t="str">
        <f t="shared" ca="1" si="12"/>
        <v>7 Years</v>
      </c>
      <c r="L805" s="3" cm="1">
        <f t="array" ref="L805">_xlfn.SWITCH(Table13_24[[#This Row],[Performance Score]],"A",6,"B",5,"C",4,"D",3,"E",2,"F",1)</f>
        <v>5</v>
      </c>
    </row>
    <row r="806" spans="1:12" x14ac:dyDescent="0.3">
      <c r="A806" t="s">
        <v>46</v>
      </c>
      <c r="B806">
        <v>35</v>
      </c>
      <c r="C806" s="1">
        <v>50000</v>
      </c>
      <c r="D806" t="s">
        <v>12</v>
      </c>
      <c r="E806" t="s">
        <v>35</v>
      </c>
      <c r="F806" t="s">
        <v>21</v>
      </c>
      <c r="G806" s="11">
        <v>43881</v>
      </c>
      <c r="H806" t="s">
        <v>31</v>
      </c>
      <c r="I806" t="s">
        <v>39</v>
      </c>
      <c r="J806" t="s">
        <v>17</v>
      </c>
      <c r="K806" s="11" t="str">
        <f t="shared" ca="1" si="12"/>
        <v>5 Years</v>
      </c>
      <c r="L806" s="3" cm="1">
        <f t="array" ref="L806">_xlfn.SWITCH(Table13_24[[#This Row],[Performance Score]],"A",6,"B",5,"C",4,"D",3,"E",2,"F",1)</f>
        <v>6</v>
      </c>
    </row>
    <row r="807" spans="1:12" x14ac:dyDescent="0.3">
      <c r="A807" t="s">
        <v>45</v>
      </c>
      <c r="B807">
        <v>50</v>
      </c>
      <c r="C807" s="1">
        <v>70000</v>
      </c>
      <c r="D807" t="s">
        <v>34</v>
      </c>
      <c r="E807" t="s">
        <v>20</v>
      </c>
      <c r="F807" t="s">
        <v>41</v>
      </c>
      <c r="G807" s="11">
        <v>43477</v>
      </c>
      <c r="H807" t="s">
        <v>22</v>
      </c>
      <c r="I807" t="s">
        <v>16</v>
      </c>
      <c r="J807" t="s">
        <v>17</v>
      </c>
      <c r="K807" s="11" t="str">
        <f t="shared" ca="1" si="12"/>
        <v>6 Years</v>
      </c>
      <c r="L807" s="3" cm="1">
        <f t="array" ref="L807">_xlfn.SWITCH(Table13_24[[#This Row],[Performance Score]],"A",6,"B",5,"C",4,"D",3,"E",2,"F",1)</f>
        <v>1</v>
      </c>
    </row>
    <row r="808" spans="1:12" x14ac:dyDescent="0.3">
      <c r="A808" t="s">
        <v>18</v>
      </c>
      <c r="B808">
        <v>36</v>
      </c>
      <c r="C808" s="1">
        <v>55000</v>
      </c>
      <c r="D808" t="s">
        <v>34</v>
      </c>
      <c r="E808" t="s">
        <v>20</v>
      </c>
      <c r="F808" t="s">
        <v>40</v>
      </c>
      <c r="G808" s="11">
        <v>43195</v>
      </c>
      <c r="H808" t="s">
        <v>27</v>
      </c>
      <c r="I808" t="s">
        <v>23</v>
      </c>
      <c r="J808" t="s">
        <v>24</v>
      </c>
      <c r="K808" s="11" t="str">
        <f t="shared" ca="1" si="12"/>
        <v>7 Years</v>
      </c>
      <c r="L808" s="3" cm="1">
        <f t="array" ref="L808">_xlfn.SWITCH(Table13_24[[#This Row],[Performance Score]],"A",6,"B",5,"C",4,"D",3,"E",2,"F",1)</f>
        <v>4</v>
      </c>
    </row>
    <row r="809" spans="1:12" x14ac:dyDescent="0.3">
      <c r="A809" t="s">
        <v>46</v>
      </c>
      <c r="B809">
        <v>40</v>
      </c>
      <c r="C809" s="1">
        <v>70000</v>
      </c>
      <c r="D809" t="s">
        <v>19</v>
      </c>
      <c r="E809" t="s">
        <v>26</v>
      </c>
      <c r="F809" t="s">
        <v>37</v>
      </c>
      <c r="G809" s="11">
        <v>43195</v>
      </c>
      <c r="H809" t="s">
        <v>15</v>
      </c>
      <c r="I809" t="s">
        <v>39</v>
      </c>
      <c r="J809" t="s">
        <v>17</v>
      </c>
      <c r="K809" s="11" t="str">
        <f t="shared" ca="1" si="12"/>
        <v>7 Years</v>
      </c>
      <c r="L809" s="3" cm="1">
        <f t="array" ref="L809">_xlfn.SWITCH(Table13_24[[#This Row],[Performance Score]],"A",6,"B",5,"C",4,"D",3,"E",2,"F",1)</f>
        <v>3</v>
      </c>
    </row>
    <row r="810" spans="1:12" x14ac:dyDescent="0.3">
      <c r="A810" t="s">
        <v>18</v>
      </c>
      <c r="B810">
        <v>40</v>
      </c>
      <c r="C810" s="1">
        <v>65000</v>
      </c>
      <c r="D810" t="s">
        <v>19</v>
      </c>
      <c r="E810" t="s">
        <v>20</v>
      </c>
      <c r="F810" t="s">
        <v>14</v>
      </c>
      <c r="G810" s="11">
        <v>43477</v>
      </c>
      <c r="H810" t="s">
        <v>38</v>
      </c>
      <c r="I810" t="s">
        <v>23</v>
      </c>
      <c r="J810" t="s">
        <v>42</v>
      </c>
      <c r="K810" s="11" t="str">
        <f t="shared" ca="1" si="12"/>
        <v>6 Years</v>
      </c>
      <c r="L810" s="3" cm="1">
        <f t="array" ref="L810">_xlfn.SWITCH(Table13_24[[#This Row],[Performance Score]],"A",6,"B",5,"C",4,"D",3,"E",2,"F",1)</f>
        <v>5</v>
      </c>
    </row>
    <row r="811" spans="1:12" x14ac:dyDescent="0.3">
      <c r="A811" t="s">
        <v>33</v>
      </c>
      <c r="B811">
        <v>40</v>
      </c>
      <c r="C811" s="1">
        <v>48417.431192660551</v>
      </c>
      <c r="D811" t="s">
        <v>34</v>
      </c>
      <c r="E811" t="s">
        <v>20</v>
      </c>
      <c r="F811" t="s">
        <v>41</v>
      </c>
      <c r="G811" s="11">
        <v>43881</v>
      </c>
      <c r="H811" t="s">
        <v>31</v>
      </c>
      <c r="I811" t="s">
        <v>32</v>
      </c>
      <c r="J811" t="s">
        <v>28</v>
      </c>
      <c r="K811" s="11" t="str">
        <f t="shared" ca="1" si="12"/>
        <v>5 Years</v>
      </c>
      <c r="L811" s="3" cm="1">
        <f t="array" ref="L811">_xlfn.SWITCH(Table13_24[[#This Row],[Performance Score]],"A",6,"B",5,"C",4,"D",3,"E",2,"F",1)</f>
        <v>6</v>
      </c>
    </row>
    <row r="812" spans="1:12" x14ac:dyDescent="0.3">
      <c r="A812" t="s">
        <v>36</v>
      </c>
      <c r="B812">
        <v>35</v>
      </c>
      <c r="C812" s="1">
        <v>55000</v>
      </c>
      <c r="D812" t="s">
        <v>12</v>
      </c>
      <c r="E812" t="s">
        <v>35</v>
      </c>
      <c r="F812" t="s">
        <v>14</v>
      </c>
      <c r="G812" s="11">
        <v>43195</v>
      </c>
      <c r="H812" t="s">
        <v>38</v>
      </c>
      <c r="I812" t="s">
        <v>32</v>
      </c>
      <c r="J812" t="s">
        <v>28</v>
      </c>
      <c r="K812" s="11" t="str">
        <f t="shared" ca="1" si="12"/>
        <v>7 Years</v>
      </c>
      <c r="L812" s="3" cm="1">
        <f t="array" ref="L812">_xlfn.SWITCH(Table13_24[[#This Row],[Performance Score]],"A",6,"B",5,"C",4,"D",3,"E",2,"F",1)</f>
        <v>5</v>
      </c>
    </row>
    <row r="813" spans="1:12" x14ac:dyDescent="0.3">
      <c r="A813" t="s">
        <v>46</v>
      </c>
      <c r="B813">
        <v>36</v>
      </c>
      <c r="C813" s="1">
        <v>65000</v>
      </c>
      <c r="D813" t="s">
        <v>34</v>
      </c>
      <c r="E813" t="s">
        <v>26</v>
      </c>
      <c r="F813" t="s">
        <v>21</v>
      </c>
      <c r="G813" s="11">
        <v>43477</v>
      </c>
      <c r="H813" t="s">
        <v>15</v>
      </c>
      <c r="I813" t="s">
        <v>32</v>
      </c>
      <c r="J813" t="s">
        <v>28</v>
      </c>
      <c r="K813" s="11" t="str">
        <f t="shared" ca="1" si="12"/>
        <v>6 Years</v>
      </c>
      <c r="L813" s="3" cm="1">
        <f t="array" ref="L813">_xlfn.SWITCH(Table13_24[[#This Row],[Performance Score]],"A",6,"B",5,"C",4,"D",3,"E",2,"F",1)</f>
        <v>3</v>
      </c>
    </row>
    <row r="814" spans="1:12" x14ac:dyDescent="0.3">
      <c r="A814" t="s">
        <v>44</v>
      </c>
      <c r="B814">
        <v>30</v>
      </c>
      <c r="C814" s="1">
        <v>48417.431192660551</v>
      </c>
      <c r="D814" t="s">
        <v>12</v>
      </c>
      <c r="E814" t="s">
        <v>20</v>
      </c>
      <c r="F814" t="s">
        <v>37</v>
      </c>
      <c r="G814" s="11">
        <v>43881</v>
      </c>
      <c r="H814" t="s">
        <v>31</v>
      </c>
      <c r="I814" t="s">
        <v>32</v>
      </c>
      <c r="J814" t="s">
        <v>24</v>
      </c>
      <c r="K814" s="11" t="str">
        <f t="shared" ca="1" si="12"/>
        <v>5 Years</v>
      </c>
      <c r="L814" s="3" cm="1">
        <f t="array" ref="L814">_xlfn.SWITCH(Table13_24[[#This Row],[Performance Score]],"A",6,"B",5,"C",4,"D",3,"E",2,"F",1)</f>
        <v>6</v>
      </c>
    </row>
    <row r="815" spans="1:12" x14ac:dyDescent="0.3">
      <c r="A815" t="s">
        <v>18</v>
      </c>
      <c r="B815">
        <v>50</v>
      </c>
      <c r="C815" s="1">
        <v>55000</v>
      </c>
      <c r="D815" t="s">
        <v>12</v>
      </c>
      <c r="E815" t="s">
        <v>30</v>
      </c>
      <c r="F815" t="s">
        <v>14</v>
      </c>
      <c r="G815" s="11">
        <v>43477</v>
      </c>
      <c r="H815" t="s">
        <v>15</v>
      </c>
      <c r="I815" t="s">
        <v>39</v>
      </c>
      <c r="J815" t="s">
        <v>42</v>
      </c>
      <c r="K815" s="11" t="str">
        <f t="shared" ca="1" si="12"/>
        <v>6 Years</v>
      </c>
      <c r="L815" s="3" cm="1">
        <f t="array" ref="L815">_xlfn.SWITCH(Table13_24[[#This Row],[Performance Score]],"A",6,"B",5,"C",4,"D",3,"E",2,"F",1)</f>
        <v>3</v>
      </c>
    </row>
    <row r="816" spans="1:12" x14ac:dyDescent="0.3">
      <c r="A816" t="s">
        <v>43</v>
      </c>
      <c r="B816">
        <v>30</v>
      </c>
      <c r="C816" s="1">
        <v>60000</v>
      </c>
      <c r="D816" t="s">
        <v>19</v>
      </c>
      <c r="E816" t="s">
        <v>13</v>
      </c>
      <c r="F816" t="s">
        <v>40</v>
      </c>
      <c r="G816" s="11">
        <v>43477</v>
      </c>
      <c r="H816" t="s">
        <v>38</v>
      </c>
      <c r="I816" t="s">
        <v>39</v>
      </c>
      <c r="J816" t="s">
        <v>17</v>
      </c>
      <c r="K816" s="11" t="str">
        <f t="shared" ca="1" si="12"/>
        <v>6 Years</v>
      </c>
      <c r="L816" s="3" cm="1">
        <f t="array" ref="L816">_xlfn.SWITCH(Table13_24[[#This Row],[Performance Score]],"A",6,"B",5,"C",4,"D",3,"E",2,"F",1)</f>
        <v>5</v>
      </c>
    </row>
    <row r="817" spans="1:12" x14ac:dyDescent="0.3">
      <c r="A817" t="s">
        <v>44</v>
      </c>
      <c r="B817">
        <v>35</v>
      </c>
      <c r="C817" s="1">
        <v>50000</v>
      </c>
      <c r="D817" t="s">
        <v>12</v>
      </c>
      <c r="E817" t="s">
        <v>35</v>
      </c>
      <c r="F817" t="s">
        <v>37</v>
      </c>
      <c r="G817" s="11">
        <v>43195</v>
      </c>
      <c r="H817" t="s">
        <v>27</v>
      </c>
      <c r="I817" t="s">
        <v>39</v>
      </c>
      <c r="J817" t="s">
        <v>28</v>
      </c>
      <c r="K817" s="11" t="str">
        <f t="shared" ca="1" si="12"/>
        <v>7 Years</v>
      </c>
      <c r="L817" s="3" cm="1">
        <f t="array" ref="L817">_xlfn.SWITCH(Table13_24[[#This Row],[Performance Score]],"A",6,"B",5,"C",4,"D",3,"E",2,"F",1)</f>
        <v>4</v>
      </c>
    </row>
    <row r="818" spans="1:12" x14ac:dyDescent="0.3">
      <c r="A818" t="s">
        <v>25</v>
      </c>
      <c r="B818">
        <v>50</v>
      </c>
      <c r="C818" s="1">
        <v>50000</v>
      </c>
      <c r="D818" t="s">
        <v>12</v>
      </c>
      <c r="E818" t="s">
        <v>20</v>
      </c>
      <c r="F818" t="s">
        <v>40</v>
      </c>
      <c r="G818" s="11">
        <v>43881</v>
      </c>
      <c r="H818" t="s">
        <v>38</v>
      </c>
      <c r="I818" t="s">
        <v>23</v>
      </c>
      <c r="J818" t="s">
        <v>42</v>
      </c>
      <c r="K818" s="11" t="str">
        <f t="shared" ca="1" si="12"/>
        <v>5 Years</v>
      </c>
      <c r="L818" s="3" cm="1">
        <f t="array" ref="L818">_xlfn.SWITCH(Table13_24[[#This Row],[Performance Score]],"A",6,"B",5,"C",4,"D",3,"E",2,"F",1)</f>
        <v>5</v>
      </c>
    </row>
    <row r="819" spans="1:12" x14ac:dyDescent="0.3">
      <c r="A819" t="s">
        <v>25</v>
      </c>
      <c r="B819">
        <v>40</v>
      </c>
      <c r="C819" s="1">
        <v>65000</v>
      </c>
      <c r="D819" t="s">
        <v>34</v>
      </c>
      <c r="E819" t="s">
        <v>30</v>
      </c>
      <c r="F819" t="s">
        <v>14</v>
      </c>
      <c r="G819" s="11">
        <v>43195</v>
      </c>
      <c r="H819" t="s">
        <v>38</v>
      </c>
      <c r="I819" t="s">
        <v>16</v>
      </c>
      <c r="J819" t="s">
        <v>17</v>
      </c>
      <c r="K819" s="11" t="str">
        <f t="shared" ca="1" si="12"/>
        <v>7 Years</v>
      </c>
      <c r="L819" s="3" cm="1">
        <f t="array" ref="L819">_xlfn.SWITCH(Table13_24[[#This Row],[Performance Score]],"A",6,"B",5,"C",4,"D",3,"E",2,"F",1)</f>
        <v>5</v>
      </c>
    </row>
    <row r="820" spans="1:12" x14ac:dyDescent="0.3">
      <c r="A820" t="s">
        <v>45</v>
      </c>
      <c r="B820">
        <v>25</v>
      </c>
      <c r="C820" s="1">
        <v>48417.431192660551</v>
      </c>
      <c r="D820" t="s">
        <v>19</v>
      </c>
      <c r="E820" t="s">
        <v>20</v>
      </c>
      <c r="F820" t="s">
        <v>37</v>
      </c>
      <c r="G820" s="11">
        <v>43845</v>
      </c>
      <c r="H820" t="s">
        <v>38</v>
      </c>
      <c r="I820" t="s">
        <v>23</v>
      </c>
      <c r="J820" t="s">
        <v>24</v>
      </c>
      <c r="K820" s="11" t="str">
        <f t="shared" ca="1" si="12"/>
        <v>5 Years</v>
      </c>
      <c r="L820" s="3" cm="1">
        <f t="array" ref="L820">_xlfn.SWITCH(Table13_24[[#This Row],[Performance Score]],"A",6,"B",5,"C",4,"D",3,"E",2,"F",1)</f>
        <v>5</v>
      </c>
    </row>
    <row r="821" spans="1:12" x14ac:dyDescent="0.3">
      <c r="A821" t="s">
        <v>36</v>
      </c>
      <c r="B821">
        <v>35</v>
      </c>
      <c r="C821" s="1">
        <v>50000</v>
      </c>
      <c r="D821" t="s">
        <v>12</v>
      </c>
      <c r="E821" t="s">
        <v>20</v>
      </c>
      <c r="F821" t="s">
        <v>40</v>
      </c>
      <c r="G821" s="11">
        <v>43845</v>
      </c>
      <c r="H821" t="s">
        <v>22</v>
      </c>
      <c r="I821" t="s">
        <v>23</v>
      </c>
      <c r="J821" t="s">
        <v>42</v>
      </c>
      <c r="K821" s="11" t="str">
        <f t="shared" ca="1" si="12"/>
        <v>5 Years</v>
      </c>
      <c r="L821" s="3" cm="1">
        <f t="array" ref="L821">_xlfn.SWITCH(Table13_24[[#This Row],[Performance Score]],"A",6,"B",5,"C",4,"D",3,"E",2,"F",1)</f>
        <v>1</v>
      </c>
    </row>
    <row r="822" spans="1:12" x14ac:dyDescent="0.3">
      <c r="A822" t="s">
        <v>33</v>
      </c>
      <c r="B822">
        <v>35</v>
      </c>
      <c r="C822" s="1">
        <v>50742.574257425746</v>
      </c>
      <c r="D822" t="s">
        <v>12</v>
      </c>
      <c r="E822" t="s">
        <v>26</v>
      </c>
      <c r="F822" t="s">
        <v>21</v>
      </c>
      <c r="G822" s="11">
        <v>43881</v>
      </c>
      <c r="H822" t="s">
        <v>15</v>
      </c>
      <c r="I822" t="s">
        <v>23</v>
      </c>
      <c r="J822" t="s">
        <v>42</v>
      </c>
      <c r="K822" s="11" t="str">
        <f t="shared" ca="1" si="12"/>
        <v>5 Years</v>
      </c>
      <c r="L822" s="3" cm="1">
        <f t="array" ref="L822">_xlfn.SWITCH(Table13_24[[#This Row],[Performance Score]],"A",6,"B",5,"C",4,"D",3,"E",2,"F",1)</f>
        <v>3</v>
      </c>
    </row>
    <row r="823" spans="1:12" x14ac:dyDescent="0.3">
      <c r="A823" t="s">
        <v>46</v>
      </c>
      <c r="B823">
        <v>36</v>
      </c>
      <c r="C823" s="1">
        <v>50742.574257425746</v>
      </c>
      <c r="D823" t="s">
        <v>19</v>
      </c>
      <c r="E823" t="s">
        <v>26</v>
      </c>
      <c r="F823" t="s">
        <v>21</v>
      </c>
      <c r="G823" s="11">
        <v>43477</v>
      </c>
      <c r="H823" t="s">
        <v>15</v>
      </c>
      <c r="I823" t="s">
        <v>23</v>
      </c>
      <c r="J823" t="s">
        <v>17</v>
      </c>
      <c r="K823" s="11" t="str">
        <f t="shared" ca="1" si="12"/>
        <v>6 Years</v>
      </c>
      <c r="L823" s="3" cm="1">
        <f t="array" ref="L823">_xlfn.SWITCH(Table13_24[[#This Row],[Performance Score]],"A",6,"B",5,"C",4,"D",3,"E",2,"F",1)</f>
        <v>3</v>
      </c>
    </row>
    <row r="824" spans="1:12" x14ac:dyDescent="0.3">
      <c r="A824" t="s">
        <v>29</v>
      </c>
      <c r="B824">
        <v>30</v>
      </c>
      <c r="C824" s="1">
        <v>65000</v>
      </c>
      <c r="D824" t="s">
        <v>34</v>
      </c>
      <c r="E824" t="s">
        <v>26</v>
      </c>
      <c r="F824" t="s">
        <v>14</v>
      </c>
      <c r="G824" s="11">
        <v>43195</v>
      </c>
      <c r="H824" t="s">
        <v>15</v>
      </c>
      <c r="I824" t="s">
        <v>39</v>
      </c>
      <c r="J824" t="s">
        <v>42</v>
      </c>
      <c r="K824" s="11" t="str">
        <f t="shared" ca="1" si="12"/>
        <v>7 Years</v>
      </c>
      <c r="L824" s="3" cm="1">
        <f t="array" ref="L824">_xlfn.SWITCH(Table13_24[[#This Row],[Performance Score]],"A",6,"B",5,"C",4,"D",3,"E",2,"F",1)</f>
        <v>3</v>
      </c>
    </row>
    <row r="825" spans="1:12" x14ac:dyDescent="0.3">
      <c r="A825" t="s">
        <v>43</v>
      </c>
      <c r="B825">
        <v>35</v>
      </c>
      <c r="C825" s="1">
        <v>65000</v>
      </c>
      <c r="D825" t="s">
        <v>19</v>
      </c>
      <c r="E825" t="s">
        <v>30</v>
      </c>
      <c r="F825" t="s">
        <v>37</v>
      </c>
      <c r="G825" s="11">
        <v>43195</v>
      </c>
      <c r="H825" t="s">
        <v>22</v>
      </c>
      <c r="I825" t="s">
        <v>16</v>
      </c>
      <c r="J825" t="s">
        <v>17</v>
      </c>
      <c r="K825" s="11" t="str">
        <f t="shared" ca="1" si="12"/>
        <v>7 Years</v>
      </c>
      <c r="L825" s="3" cm="1">
        <f t="array" ref="L825">_xlfn.SWITCH(Table13_24[[#This Row],[Performance Score]],"A",6,"B",5,"C",4,"D",3,"E",2,"F",1)</f>
        <v>1</v>
      </c>
    </row>
    <row r="826" spans="1:12" x14ac:dyDescent="0.3">
      <c r="A826" t="s">
        <v>18</v>
      </c>
      <c r="B826">
        <v>35</v>
      </c>
      <c r="C826" s="1">
        <v>65000</v>
      </c>
      <c r="D826" t="s">
        <v>19</v>
      </c>
      <c r="E826" t="s">
        <v>20</v>
      </c>
      <c r="F826" t="s">
        <v>41</v>
      </c>
      <c r="G826" s="11">
        <v>43881</v>
      </c>
      <c r="H826" t="s">
        <v>27</v>
      </c>
      <c r="I826" t="s">
        <v>23</v>
      </c>
      <c r="J826" t="s">
        <v>24</v>
      </c>
      <c r="K826" s="11" t="str">
        <f t="shared" ca="1" si="12"/>
        <v>5 Years</v>
      </c>
      <c r="L826" s="3" cm="1">
        <f t="array" ref="L826">_xlfn.SWITCH(Table13_24[[#This Row],[Performance Score]],"A",6,"B",5,"C",4,"D",3,"E",2,"F",1)</f>
        <v>4</v>
      </c>
    </row>
    <row r="827" spans="1:12" x14ac:dyDescent="0.3">
      <c r="A827" t="s">
        <v>33</v>
      </c>
      <c r="B827">
        <v>40</v>
      </c>
      <c r="C827" s="1">
        <v>50000</v>
      </c>
      <c r="D827" t="s">
        <v>12</v>
      </c>
      <c r="E827" t="s">
        <v>13</v>
      </c>
      <c r="F827" t="s">
        <v>37</v>
      </c>
      <c r="G827" s="11">
        <v>43881</v>
      </c>
      <c r="H827" t="s">
        <v>38</v>
      </c>
      <c r="I827" t="s">
        <v>39</v>
      </c>
      <c r="J827" t="s">
        <v>24</v>
      </c>
      <c r="K827" s="11" t="str">
        <f t="shared" ca="1" si="12"/>
        <v>5 Years</v>
      </c>
      <c r="L827" s="3" cm="1">
        <f t="array" ref="L827">_xlfn.SWITCH(Table13_24[[#This Row],[Performance Score]],"A",6,"B",5,"C",4,"D",3,"E",2,"F",1)</f>
        <v>5</v>
      </c>
    </row>
    <row r="828" spans="1:12" x14ac:dyDescent="0.3">
      <c r="A828" t="s">
        <v>44</v>
      </c>
      <c r="B828">
        <v>40</v>
      </c>
      <c r="C828" s="1">
        <v>65000</v>
      </c>
      <c r="D828" t="s">
        <v>12</v>
      </c>
      <c r="E828" t="s">
        <v>35</v>
      </c>
      <c r="F828" t="s">
        <v>21</v>
      </c>
      <c r="G828" s="11">
        <v>43845</v>
      </c>
      <c r="H828" t="s">
        <v>27</v>
      </c>
      <c r="I828" t="s">
        <v>23</v>
      </c>
      <c r="J828" t="s">
        <v>17</v>
      </c>
      <c r="K828" s="11" t="str">
        <f t="shared" ca="1" si="12"/>
        <v>5 Years</v>
      </c>
      <c r="L828" s="3" cm="1">
        <f t="array" ref="L828">_xlfn.SWITCH(Table13_24[[#This Row],[Performance Score]],"A",6,"B",5,"C",4,"D",3,"E",2,"F",1)</f>
        <v>4</v>
      </c>
    </row>
    <row r="829" spans="1:12" x14ac:dyDescent="0.3">
      <c r="A829" t="s">
        <v>25</v>
      </c>
      <c r="B829">
        <v>50</v>
      </c>
      <c r="C829" s="1">
        <v>50000</v>
      </c>
      <c r="D829" t="s">
        <v>34</v>
      </c>
      <c r="E829" t="s">
        <v>26</v>
      </c>
      <c r="F829" t="s">
        <v>40</v>
      </c>
      <c r="G829" s="11">
        <v>43549</v>
      </c>
      <c r="H829" t="s">
        <v>22</v>
      </c>
      <c r="I829" t="s">
        <v>32</v>
      </c>
      <c r="J829" t="s">
        <v>17</v>
      </c>
      <c r="K829" s="11" t="str">
        <f t="shared" ca="1" si="12"/>
        <v>6 Years</v>
      </c>
      <c r="L829" s="3" cm="1">
        <f t="array" ref="L829">_xlfn.SWITCH(Table13_24[[#This Row],[Performance Score]],"A",6,"B",5,"C",4,"D",3,"E",2,"F",1)</f>
        <v>1</v>
      </c>
    </row>
    <row r="830" spans="1:12" x14ac:dyDescent="0.3">
      <c r="A830" t="s">
        <v>43</v>
      </c>
      <c r="B830">
        <v>25</v>
      </c>
      <c r="C830" s="1">
        <v>65000</v>
      </c>
      <c r="D830" t="s">
        <v>12</v>
      </c>
      <c r="E830" t="s">
        <v>26</v>
      </c>
      <c r="F830" t="s">
        <v>41</v>
      </c>
      <c r="G830" s="11">
        <v>43881</v>
      </c>
      <c r="H830" t="s">
        <v>15</v>
      </c>
      <c r="I830" t="s">
        <v>23</v>
      </c>
      <c r="J830" t="s">
        <v>17</v>
      </c>
      <c r="K830" s="11" t="str">
        <f t="shared" ca="1" si="12"/>
        <v>5 Years</v>
      </c>
      <c r="L830" s="3" cm="1">
        <f t="array" ref="L830">_xlfn.SWITCH(Table13_24[[#This Row],[Performance Score]],"A",6,"B",5,"C",4,"D",3,"E",2,"F",1)</f>
        <v>3</v>
      </c>
    </row>
    <row r="831" spans="1:12" x14ac:dyDescent="0.3">
      <c r="A831" t="s">
        <v>29</v>
      </c>
      <c r="B831">
        <v>36</v>
      </c>
      <c r="C831" s="1">
        <v>70000</v>
      </c>
      <c r="D831" t="s">
        <v>12</v>
      </c>
      <c r="E831" t="s">
        <v>20</v>
      </c>
      <c r="F831" t="s">
        <v>14</v>
      </c>
      <c r="G831" s="11">
        <v>43549</v>
      </c>
      <c r="H831" t="s">
        <v>38</v>
      </c>
      <c r="I831" t="s">
        <v>23</v>
      </c>
      <c r="J831" t="s">
        <v>28</v>
      </c>
      <c r="K831" s="11" t="str">
        <f t="shared" ca="1" si="12"/>
        <v>6 Years</v>
      </c>
      <c r="L831" s="3" cm="1">
        <f t="array" ref="L831">_xlfn.SWITCH(Table13_24[[#This Row],[Performance Score]],"A",6,"B",5,"C",4,"D",3,"E",2,"F",1)</f>
        <v>5</v>
      </c>
    </row>
    <row r="832" spans="1:12" x14ac:dyDescent="0.3">
      <c r="A832" t="s">
        <v>46</v>
      </c>
      <c r="B832">
        <v>25</v>
      </c>
      <c r="C832" s="1">
        <v>48417.431192660551</v>
      </c>
      <c r="D832" t="s">
        <v>19</v>
      </c>
      <c r="E832" t="s">
        <v>20</v>
      </c>
      <c r="F832" t="s">
        <v>41</v>
      </c>
      <c r="G832" s="11">
        <v>43881</v>
      </c>
      <c r="H832" t="s">
        <v>31</v>
      </c>
      <c r="I832" t="s">
        <v>39</v>
      </c>
      <c r="J832" t="s">
        <v>28</v>
      </c>
      <c r="K832" s="11" t="str">
        <f t="shared" ca="1" si="12"/>
        <v>5 Years</v>
      </c>
      <c r="L832" s="3" cm="1">
        <f t="array" ref="L832">_xlfn.SWITCH(Table13_24[[#This Row],[Performance Score]],"A",6,"B",5,"C",4,"D",3,"E",2,"F",1)</f>
        <v>6</v>
      </c>
    </row>
    <row r="833" spans="1:12" x14ac:dyDescent="0.3">
      <c r="A833" t="s">
        <v>45</v>
      </c>
      <c r="B833">
        <v>50</v>
      </c>
      <c r="C833" s="1">
        <v>65000</v>
      </c>
      <c r="D833" t="s">
        <v>12</v>
      </c>
      <c r="E833" t="s">
        <v>30</v>
      </c>
      <c r="F833" t="s">
        <v>14</v>
      </c>
      <c r="G833" s="11">
        <v>43477</v>
      </c>
      <c r="H833" t="s">
        <v>31</v>
      </c>
      <c r="I833" t="s">
        <v>32</v>
      </c>
      <c r="J833" t="s">
        <v>17</v>
      </c>
      <c r="K833" s="11" t="str">
        <f t="shared" ca="1" si="12"/>
        <v>6 Years</v>
      </c>
      <c r="L833" s="3" cm="1">
        <f t="array" ref="L833">_xlfn.SWITCH(Table13_24[[#This Row],[Performance Score]],"A",6,"B",5,"C",4,"D",3,"E",2,"F",1)</f>
        <v>6</v>
      </c>
    </row>
    <row r="834" spans="1:12" x14ac:dyDescent="0.3">
      <c r="A834" t="s">
        <v>29</v>
      </c>
      <c r="B834">
        <v>40</v>
      </c>
      <c r="C834" s="1">
        <v>55000</v>
      </c>
      <c r="D834" t="s">
        <v>34</v>
      </c>
      <c r="E834" t="s">
        <v>30</v>
      </c>
      <c r="F834" t="s">
        <v>41</v>
      </c>
      <c r="G834" s="11">
        <v>43477</v>
      </c>
      <c r="H834" t="s">
        <v>27</v>
      </c>
      <c r="I834" t="s">
        <v>16</v>
      </c>
      <c r="J834" t="s">
        <v>24</v>
      </c>
      <c r="K834" s="11" t="str">
        <f t="shared" ca="1" si="12"/>
        <v>6 Years</v>
      </c>
      <c r="L834" s="3" cm="1">
        <f t="array" ref="L834">_xlfn.SWITCH(Table13_24[[#This Row],[Performance Score]],"A",6,"B",5,"C",4,"D",3,"E",2,"F",1)</f>
        <v>4</v>
      </c>
    </row>
    <row r="835" spans="1:12" x14ac:dyDescent="0.3">
      <c r="A835" t="s">
        <v>43</v>
      </c>
      <c r="B835">
        <v>30</v>
      </c>
      <c r="C835" s="1">
        <v>50742.574257425746</v>
      </c>
      <c r="D835" t="s">
        <v>19</v>
      </c>
      <c r="E835" t="s">
        <v>26</v>
      </c>
      <c r="F835" t="s">
        <v>14</v>
      </c>
      <c r="G835" s="11">
        <v>43845</v>
      </c>
      <c r="H835" t="s">
        <v>15</v>
      </c>
      <c r="I835" t="s">
        <v>23</v>
      </c>
      <c r="J835" t="s">
        <v>28</v>
      </c>
      <c r="K835" s="11" t="str">
        <f t="shared" ref="K835:K898" ca="1" si="13">DATEDIF(G835,TODAY(),"Y") &amp; " Years"</f>
        <v>5 Years</v>
      </c>
      <c r="L835" s="3" cm="1">
        <f t="array" ref="L835">_xlfn.SWITCH(Table13_24[[#This Row],[Performance Score]],"A",6,"B",5,"C",4,"D",3,"E",2,"F",1)</f>
        <v>3</v>
      </c>
    </row>
    <row r="836" spans="1:12" x14ac:dyDescent="0.3">
      <c r="A836" t="s">
        <v>29</v>
      </c>
      <c r="B836">
        <v>40</v>
      </c>
      <c r="C836" s="1">
        <v>48417.431192660551</v>
      </c>
      <c r="D836" t="s">
        <v>34</v>
      </c>
      <c r="E836" t="s">
        <v>20</v>
      </c>
      <c r="F836" t="s">
        <v>14</v>
      </c>
      <c r="G836" s="11">
        <v>43845</v>
      </c>
      <c r="H836" t="s">
        <v>31</v>
      </c>
      <c r="I836" t="s">
        <v>16</v>
      </c>
      <c r="J836" t="s">
        <v>42</v>
      </c>
      <c r="K836" s="11" t="str">
        <f t="shared" ca="1" si="13"/>
        <v>5 Years</v>
      </c>
      <c r="L836" s="3" cm="1">
        <f t="array" ref="L836">_xlfn.SWITCH(Table13_24[[#This Row],[Performance Score]],"A",6,"B",5,"C",4,"D",3,"E",2,"F",1)</f>
        <v>6</v>
      </c>
    </row>
    <row r="837" spans="1:12" x14ac:dyDescent="0.3">
      <c r="A837" t="s">
        <v>43</v>
      </c>
      <c r="B837">
        <v>36</v>
      </c>
      <c r="C837" s="1">
        <v>65000</v>
      </c>
      <c r="D837" t="s">
        <v>19</v>
      </c>
      <c r="E837" t="s">
        <v>13</v>
      </c>
      <c r="F837" t="s">
        <v>41</v>
      </c>
      <c r="G837" s="11">
        <v>43549</v>
      </c>
      <c r="H837" t="s">
        <v>27</v>
      </c>
      <c r="I837" t="s">
        <v>32</v>
      </c>
      <c r="J837" t="s">
        <v>24</v>
      </c>
      <c r="K837" s="11" t="str">
        <f t="shared" ca="1" si="13"/>
        <v>6 Years</v>
      </c>
      <c r="L837" s="3" cm="1">
        <f t="array" ref="L837">_xlfn.SWITCH(Table13_24[[#This Row],[Performance Score]],"A",6,"B",5,"C",4,"D",3,"E",2,"F",1)</f>
        <v>4</v>
      </c>
    </row>
    <row r="838" spans="1:12" x14ac:dyDescent="0.3">
      <c r="A838" t="s">
        <v>43</v>
      </c>
      <c r="B838">
        <v>40</v>
      </c>
      <c r="C838" s="1">
        <v>60000</v>
      </c>
      <c r="D838" t="s">
        <v>12</v>
      </c>
      <c r="E838" t="s">
        <v>35</v>
      </c>
      <c r="F838" t="s">
        <v>41</v>
      </c>
      <c r="G838" s="11">
        <v>43881</v>
      </c>
      <c r="H838" t="s">
        <v>22</v>
      </c>
      <c r="I838" t="s">
        <v>23</v>
      </c>
      <c r="J838" t="s">
        <v>42</v>
      </c>
      <c r="K838" s="11" t="str">
        <f t="shared" ca="1" si="13"/>
        <v>5 Years</v>
      </c>
      <c r="L838" s="3" cm="1">
        <f t="array" ref="L838">_xlfn.SWITCH(Table13_24[[#This Row],[Performance Score]],"A",6,"B",5,"C",4,"D",3,"E",2,"F",1)</f>
        <v>1</v>
      </c>
    </row>
    <row r="839" spans="1:12" x14ac:dyDescent="0.3">
      <c r="A839" t="s">
        <v>11</v>
      </c>
      <c r="B839">
        <v>36</v>
      </c>
      <c r="C839" s="1">
        <v>65000</v>
      </c>
      <c r="D839" t="s">
        <v>19</v>
      </c>
      <c r="E839" t="s">
        <v>20</v>
      </c>
      <c r="F839" t="s">
        <v>14</v>
      </c>
      <c r="G839" s="11">
        <v>43195</v>
      </c>
      <c r="H839" t="s">
        <v>27</v>
      </c>
      <c r="I839" t="s">
        <v>39</v>
      </c>
      <c r="J839" t="s">
        <v>17</v>
      </c>
      <c r="K839" s="11" t="str">
        <f t="shared" ca="1" si="13"/>
        <v>7 Years</v>
      </c>
      <c r="L839" s="3" cm="1">
        <f t="array" ref="L839">_xlfn.SWITCH(Table13_24[[#This Row],[Performance Score]],"A",6,"B",5,"C",4,"D",3,"E",2,"F",1)</f>
        <v>4</v>
      </c>
    </row>
    <row r="840" spans="1:12" x14ac:dyDescent="0.3">
      <c r="A840" t="s">
        <v>18</v>
      </c>
      <c r="B840">
        <v>36</v>
      </c>
      <c r="C840" s="1">
        <v>48417.431192660551</v>
      </c>
      <c r="D840" t="s">
        <v>19</v>
      </c>
      <c r="E840" t="s">
        <v>20</v>
      </c>
      <c r="F840" t="s">
        <v>21</v>
      </c>
      <c r="G840" s="11">
        <v>43845</v>
      </c>
      <c r="H840" t="s">
        <v>27</v>
      </c>
      <c r="I840" t="s">
        <v>39</v>
      </c>
      <c r="J840" t="s">
        <v>24</v>
      </c>
      <c r="K840" s="11" t="str">
        <f t="shared" ca="1" si="13"/>
        <v>5 Years</v>
      </c>
      <c r="L840" s="3" cm="1">
        <f t="array" ref="L840">_xlfn.SWITCH(Table13_24[[#This Row],[Performance Score]],"A",6,"B",5,"C",4,"D",3,"E",2,"F",1)</f>
        <v>4</v>
      </c>
    </row>
    <row r="841" spans="1:12" x14ac:dyDescent="0.3">
      <c r="A841" t="s">
        <v>25</v>
      </c>
      <c r="B841">
        <v>36</v>
      </c>
      <c r="C841" s="1">
        <v>55000</v>
      </c>
      <c r="D841" t="s">
        <v>12</v>
      </c>
      <c r="E841" t="s">
        <v>30</v>
      </c>
      <c r="F841" t="s">
        <v>41</v>
      </c>
      <c r="G841" s="11">
        <v>43195</v>
      </c>
      <c r="H841" t="s">
        <v>27</v>
      </c>
      <c r="I841" t="s">
        <v>39</v>
      </c>
      <c r="J841" t="s">
        <v>17</v>
      </c>
      <c r="K841" s="11" t="str">
        <f t="shared" ca="1" si="13"/>
        <v>7 Years</v>
      </c>
      <c r="L841" s="3" cm="1">
        <f t="array" ref="L841">_xlfn.SWITCH(Table13_24[[#This Row],[Performance Score]],"A",6,"B",5,"C",4,"D",3,"E",2,"F",1)</f>
        <v>4</v>
      </c>
    </row>
    <row r="842" spans="1:12" x14ac:dyDescent="0.3">
      <c r="A842" t="s">
        <v>11</v>
      </c>
      <c r="B842">
        <v>50</v>
      </c>
      <c r="C842" s="1">
        <v>49144.385026737968</v>
      </c>
      <c r="D842" t="s">
        <v>12</v>
      </c>
      <c r="E842" t="s">
        <v>35</v>
      </c>
      <c r="F842" t="s">
        <v>37</v>
      </c>
      <c r="G842" s="11">
        <v>43195</v>
      </c>
      <c r="H842" t="s">
        <v>38</v>
      </c>
      <c r="I842" t="s">
        <v>39</v>
      </c>
      <c r="J842" t="s">
        <v>17</v>
      </c>
      <c r="K842" s="11" t="str">
        <f t="shared" ca="1" si="13"/>
        <v>7 Years</v>
      </c>
      <c r="L842" s="3" cm="1">
        <f t="array" ref="L842">_xlfn.SWITCH(Table13_24[[#This Row],[Performance Score]],"A",6,"B",5,"C",4,"D",3,"E",2,"F",1)</f>
        <v>5</v>
      </c>
    </row>
    <row r="843" spans="1:12" x14ac:dyDescent="0.3">
      <c r="A843" t="s">
        <v>46</v>
      </c>
      <c r="B843">
        <v>36</v>
      </c>
      <c r="C843" s="1">
        <v>55000</v>
      </c>
      <c r="D843" t="s">
        <v>34</v>
      </c>
      <c r="E843" t="s">
        <v>26</v>
      </c>
      <c r="F843" t="s">
        <v>40</v>
      </c>
      <c r="G843" s="11">
        <v>43881</v>
      </c>
      <c r="H843" t="s">
        <v>27</v>
      </c>
      <c r="I843" t="s">
        <v>39</v>
      </c>
      <c r="J843" t="s">
        <v>17</v>
      </c>
      <c r="K843" s="11" t="str">
        <f t="shared" ca="1" si="13"/>
        <v>5 Years</v>
      </c>
      <c r="L843" s="3" cm="1">
        <f t="array" ref="L843">_xlfn.SWITCH(Table13_24[[#This Row],[Performance Score]],"A",6,"B",5,"C",4,"D",3,"E",2,"F",1)</f>
        <v>4</v>
      </c>
    </row>
    <row r="844" spans="1:12" x14ac:dyDescent="0.3">
      <c r="A844" t="s">
        <v>11</v>
      </c>
      <c r="B844">
        <v>36</v>
      </c>
      <c r="C844" s="1">
        <v>50000</v>
      </c>
      <c r="D844" t="s">
        <v>34</v>
      </c>
      <c r="E844" t="s">
        <v>20</v>
      </c>
      <c r="F844" t="s">
        <v>14</v>
      </c>
      <c r="G844" s="11">
        <v>43549</v>
      </c>
      <c r="H844" t="s">
        <v>27</v>
      </c>
      <c r="I844" t="s">
        <v>39</v>
      </c>
      <c r="J844" t="s">
        <v>42</v>
      </c>
      <c r="K844" s="11" t="str">
        <f t="shared" ca="1" si="13"/>
        <v>6 Years</v>
      </c>
      <c r="L844" s="3" cm="1">
        <f t="array" ref="L844">_xlfn.SWITCH(Table13_24[[#This Row],[Performance Score]],"A",6,"B",5,"C",4,"D",3,"E",2,"F",1)</f>
        <v>4</v>
      </c>
    </row>
    <row r="845" spans="1:12" x14ac:dyDescent="0.3">
      <c r="A845" t="s">
        <v>36</v>
      </c>
      <c r="B845">
        <v>30</v>
      </c>
      <c r="C845" s="1">
        <v>70000</v>
      </c>
      <c r="D845" t="s">
        <v>12</v>
      </c>
      <c r="E845" t="s">
        <v>26</v>
      </c>
      <c r="F845" t="s">
        <v>14</v>
      </c>
      <c r="G845" s="11">
        <v>43881</v>
      </c>
      <c r="H845" t="s">
        <v>38</v>
      </c>
      <c r="I845" t="s">
        <v>39</v>
      </c>
      <c r="J845" t="s">
        <v>17</v>
      </c>
      <c r="K845" s="11" t="str">
        <f t="shared" ca="1" si="13"/>
        <v>5 Years</v>
      </c>
      <c r="L845" s="3" cm="1">
        <f t="array" ref="L845">_xlfn.SWITCH(Table13_24[[#This Row],[Performance Score]],"A",6,"B",5,"C",4,"D",3,"E",2,"F",1)</f>
        <v>5</v>
      </c>
    </row>
    <row r="846" spans="1:12" x14ac:dyDescent="0.3">
      <c r="A846" t="s">
        <v>36</v>
      </c>
      <c r="B846">
        <v>25</v>
      </c>
      <c r="C846" s="1">
        <v>48417.431192660551</v>
      </c>
      <c r="D846" t="s">
        <v>12</v>
      </c>
      <c r="E846" t="s">
        <v>20</v>
      </c>
      <c r="F846" t="s">
        <v>40</v>
      </c>
      <c r="G846" s="11">
        <v>43845</v>
      </c>
      <c r="H846" t="s">
        <v>38</v>
      </c>
      <c r="I846" t="s">
        <v>23</v>
      </c>
      <c r="J846" t="s">
        <v>28</v>
      </c>
      <c r="K846" s="11" t="str">
        <f t="shared" ca="1" si="13"/>
        <v>5 Years</v>
      </c>
      <c r="L846" s="3" cm="1">
        <f t="array" ref="L846">_xlfn.SWITCH(Table13_24[[#This Row],[Performance Score]],"A",6,"B",5,"C",4,"D",3,"E",2,"F",1)</f>
        <v>5</v>
      </c>
    </row>
    <row r="847" spans="1:12" x14ac:dyDescent="0.3">
      <c r="A847" t="s">
        <v>25</v>
      </c>
      <c r="B847">
        <v>35</v>
      </c>
      <c r="C847" s="1">
        <v>65000</v>
      </c>
      <c r="D847" t="s">
        <v>12</v>
      </c>
      <c r="E847" t="s">
        <v>26</v>
      </c>
      <c r="F847" t="s">
        <v>21</v>
      </c>
      <c r="G847" s="11">
        <v>43195</v>
      </c>
      <c r="H847" t="s">
        <v>22</v>
      </c>
      <c r="I847" t="s">
        <v>16</v>
      </c>
      <c r="J847" t="s">
        <v>24</v>
      </c>
      <c r="K847" s="11" t="str">
        <f t="shared" ca="1" si="13"/>
        <v>7 Years</v>
      </c>
      <c r="L847" s="3" cm="1">
        <f t="array" ref="L847">_xlfn.SWITCH(Table13_24[[#This Row],[Performance Score]],"A",6,"B",5,"C",4,"D",3,"E",2,"F",1)</f>
        <v>1</v>
      </c>
    </row>
    <row r="848" spans="1:12" x14ac:dyDescent="0.3">
      <c r="A848" t="s">
        <v>29</v>
      </c>
      <c r="B848">
        <v>25</v>
      </c>
      <c r="C848" s="1">
        <v>50000</v>
      </c>
      <c r="D848" t="s">
        <v>19</v>
      </c>
      <c r="E848" t="s">
        <v>35</v>
      </c>
      <c r="F848" t="s">
        <v>40</v>
      </c>
      <c r="G848" s="11">
        <v>43881</v>
      </c>
      <c r="H848" t="s">
        <v>15</v>
      </c>
      <c r="I848" t="s">
        <v>16</v>
      </c>
      <c r="J848" t="s">
        <v>28</v>
      </c>
      <c r="K848" s="11" t="str">
        <f t="shared" ca="1" si="13"/>
        <v>5 Years</v>
      </c>
      <c r="L848" s="3" cm="1">
        <f t="array" ref="L848">_xlfn.SWITCH(Table13_24[[#This Row],[Performance Score]],"A",6,"B",5,"C",4,"D",3,"E",2,"F",1)</f>
        <v>3</v>
      </c>
    </row>
    <row r="849" spans="1:12" x14ac:dyDescent="0.3">
      <c r="A849" t="s">
        <v>18</v>
      </c>
      <c r="B849">
        <v>36</v>
      </c>
      <c r="C849" s="1">
        <v>70000</v>
      </c>
      <c r="D849" t="s">
        <v>19</v>
      </c>
      <c r="E849" t="s">
        <v>30</v>
      </c>
      <c r="F849" t="s">
        <v>41</v>
      </c>
      <c r="G849" s="11">
        <v>43881</v>
      </c>
      <c r="H849" t="s">
        <v>31</v>
      </c>
      <c r="I849" t="s">
        <v>39</v>
      </c>
      <c r="J849" t="s">
        <v>42</v>
      </c>
      <c r="K849" s="11" t="str">
        <f t="shared" ca="1" si="13"/>
        <v>5 Years</v>
      </c>
      <c r="L849" s="3" cm="1">
        <f t="array" ref="L849">_xlfn.SWITCH(Table13_24[[#This Row],[Performance Score]],"A",6,"B",5,"C",4,"D",3,"E",2,"F",1)</f>
        <v>6</v>
      </c>
    </row>
    <row r="850" spans="1:12" x14ac:dyDescent="0.3">
      <c r="A850" t="s">
        <v>25</v>
      </c>
      <c r="B850">
        <v>30</v>
      </c>
      <c r="C850" s="1">
        <v>65000</v>
      </c>
      <c r="D850" t="s">
        <v>19</v>
      </c>
      <c r="E850" t="s">
        <v>35</v>
      </c>
      <c r="F850" t="s">
        <v>40</v>
      </c>
      <c r="G850" s="11">
        <v>43881</v>
      </c>
      <c r="H850" t="s">
        <v>31</v>
      </c>
      <c r="I850" t="s">
        <v>39</v>
      </c>
      <c r="J850" t="s">
        <v>42</v>
      </c>
      <c r="K850" s="11" t="str">
        <f t="shared" ca="1" si="13"/>
        <v>5 Years</v>
      </c>
      <c r="L850" s="3" cm="1">
        <f t="array" ref="L850">_xlfn.SWITCH(Table13_24[[#This Row],[Performance Score]],"A",6,"B",5,"C",4,"D",3,"E",2,"F",1)</f>
        <v>6</v>
      </c>
    </row>
    <row r="851" spans="1:12" x14ac:dyDescent="0.3">
      <c r="A851" t="s">
        <v>43</v>
      </c>
      <c r="B851">
        <v>40</v>
      </c>
      <c r="C851" s="1">
        <v>60000</v>
      </c>
      <c r="D851" t="s">
        <v>12</v>
      </c>
      <c r="E851" t="s">
        <v>13</v>
      </c>
      <c r="F851" t="s">
        <v>14</v>
      </c>
      <c r="G851" s="11">
        <v>43845</v>
      </c>
      <c r="H851" t="s">
        <v>27</v>
      </c>
      <c r="I851" t="s">
        <v>32</v>
      </c>
      <c r="J851" t="s">
        <v>24</v>
      </c>
      <c r="K851" s="11" t="str">
        <f t="shared" ca="1" si="13"/>
        <v>5 Years</v>
      </c>
      <c r="L851" s="3" cm="1">
        <f t="array" ref="L851">_xlfn.SWITCH(Table13_24[[#This Row],[Performance Score]],"A",6,"B",5,"C",4,"D",3,"E",2,"F",1)</f>
        <v>4</v>
      </c>
    </row>
    <row r="852" spans="1:12" x14ac:dyDescent="0.3">
      <c r="A852" t="s">
        <v>44</v>
      </c>
      <c r="B852">
        <v>30</v>
      </c>
      <c r="C852" s="1">
        <v>65000</v>
      </c>
      <c r="D852" t="s">
        <v>34</v>
      </c>
      <c r="E852" t="s">
        <v>30</v>
      </c>
      <c r="F852" t="s">
        <v>40</v>
      </c>
      <c r="G852" s="11">
        <v>43549</v>
      </c>
      <c r="H852" t="s">
        <v>22</v>
      </c>
      <c r="I852" t="s">
        <v>39</v>
      </c>
      <c r="J852" t="s">
        <v>17</v>
      </c>
      <c r="K852" s="11" t="str">
        <f t="shared" ca="1" si="13"/>
        <v>6 Years</v>
      </c>
      <c r="L852" s="3" cm="1">
        <f t="array" ref="L852">_xlfn.SWITCH(Table13_24[[#This Row],[Performance Score]],"A",6,"B",5,"C",4,"D",3,"E",2,"F",1)</f>
        <v>1</v>
      </c>
    </row>
    <row r="853" spans="1:12" x14ac:dyDescent="0.3">
      <c r="A853" t="s">
        <v>18</v>
      </c>
      <c r="B853">
        <v>36</v>
      </c>
      <c r="C853" s="1">
        <v>55000</v>
      </c>
      <c r="D853" t="s">
        <v>12</v>
      </c>
      <c r="E853" t="s">
        <v>35</v>
      </c>
      <c r="F853" t="s">
        <v>37</v>
      </c>
      <c r="G853" s="11">
        <v>43881</v>
      </c>
      <c r="H853" t="s">
        <v>27</v>
      </c>
      <c r="I853" t="s">
        <v>39</v>
      </c>
      <c r="J853" t="s">
        <v>17</v>
      </c>
      <c r="K853" s="11" t="str">
        <f t="shared" ca="1" si="13"/>
        <v>5 Years</v>
      </c>
      <c r="L853" s="3" cm="1">
        <f t="array" ref="L853">_xlfn.SWITCH(Table13_24[[#This Row],[Performance Score]],"A",6,"B",5,"C",4,"D",3,"E",2,"F",1)</f>
        <v>4</v>
      </c>
    </row>
    <row r="854" spans="1:12" x14ac:dyDescent="0.3">
      <c r="A854" t="s">
        <v>18</v>
      </c>
      <c r="B854">
        <v>30</v>
      </c>
      <c r="C854" s="1">
        <v>55000</v>
      </c>
      <c r="D854" t="s">
        <v>19</v>
      </c>
      <c r="E854" t="s">
        <v>13</v>
      </c>
      <c r="F854" t="s">
        <v>41</v>
      </c>
      <c r="G854" s="11">
        <v>43845</v>
      </c>
      <c r="H854" t="s">
        <v>31</v>
      </c>
      <c r="I854" t="s">
        <v>39</v>
      </c>
      <c r="J854" t="s">
        <v>42</v>
      </c>
      <c r="K854" s="11" t="str">
        <f t="shared" ca="1" si="13"/>
        <v>5 Years</v>
      </c>
      <c r="L854" s="3" cm="1">
        <f t="array" ref="L854">_xlfn.SWITCH(Table13_24[[#This Row],[Performance Score]],"A",6,"B",5,"C",4,"D",3,"E",2,"F",1)</f>
        <v>6</v>
      </c>
    </row>
    <row r="855" spans="1:12" x14ac:dyDescent="0.3">
      <c r="A855" t="s">
        <v>43</v>
      </c>
      <c r="B855">
        <v>30</v>
      </c>
      <c r="C855" s="1">
        <v>60000</v>
      </c>
      <c r="D855" t="s">
        <v>19</v>
      </c>
      <c r="E855" t="s">
        <v>20</v>
      </c>
      <c r="F855" t="s">
        <v>40</v>
      </c>
      <c r="G855" s="11">
        <v>43195</v>
      </c>
      <c r="H855" t="s">
        <v>38</v>
      </c>
      <c r="I855" t="s">
        <v>23</v>
      </c>
      <c r="J855" t="s">
        <v>24</v>
      </c>
      <c r="K855" s="11" t="str">
        <f t="shared" ca="1" si="13"/>
        <v>7 Years</v>
      </c>
      <c r="L855" s="3" cm="1">
        <f t="array" ref="L855">_xlfn.SWITCH(Table13_24[[#This Row],[Performance Score]],"A",6,"B",5,"C",4,"D",3,"E",2,"F",1)</f>
        <v>5</v>
      </c>
    </row>
    <row r="856" spans="1:12" x14ac:dyDescent="0.3">
      <c r="A856" t="s">
        <v>43</v>
      </c>
      <c r="B856">
        <v>36</v>
      </c>
      <c r="C856" s="1">
        <v>50000</v>
      </c>
      <c r="D856" t="s">
        <v>12</v>
      </c>
      <c r="E856" t="s">
        <v>20</v>
      </c>
      <c r="F856" t="s">
        <v>14</v>
      </c>
      <c r="G856" s="11">
        <v>43477</v>
      </c>
      <c r="H856" t="s">
        <v>15</v>
      </c>
      <c r="I856" t="s">
        <v>23</v>
      </c>
      <c r="J856" t="s">
        <v>17</v>
      </c>
      <c r="K856" s="11" t="str">
        <f t="shared" ca="1" si="13"/>
        <v>6 Years</v>
      </c>
      <c r="L856" s="3" cm="1">
        <f t="array" ref="L856">_xlfn.SWITCH(Table13_24[[#This Row],[Performance Score]],"A",6,"B",5,"C",4,"D",3,"E",2,"F",1)</f>
        <v>3</v>
      </c>
    </row>
    <row r="857" spans="1:12" x14ac:dyDescent="0.3">
      <c r="A857" t="s">
        <v>45</v>
      </c>
      <c r="B857">
        <v>50</v>
      </c>
      <c r="C857" s="1">
        <v>70000</v>
      </c>
      <c r="D857" t="s">
        <v>12</v>
      </c>
      <c r="E857" t="s">
        <v>26</v>
      </c>
      <c r="F857" t="s">
        <v>41</v>
      </c>
      <c r="G857" s="11">
        <v>43845</v>
      </c>
      <c r="H857" t="s">
        <v>22</v>
      </c>
      <c r="I857" t="s">
        <v>16</v>
      </c>
      <c r="J857" t="s">
        <v>17</v>
      </c>
      <c r="K857" s="11" t="str">
        <f t="shared" ca="1" si="13"/>
        <v>5 Years</v>
      </c>
      <c r="L857" s="3" cm="1">
        <f t="array" ref="L857">_xlfn.SWITCH(Table13_24[[#This Row],[Performance Score]],"A",6,"B",5,"C",4,"D",3,"E",2,"F",1)</f>
        <v>1</v>
      </c>
    </row>
    <row r="858" spans="1:12" x14ac:dyDescent="0.3">
      <c r="A858" t="s">
        <v>25</v>
      </c>
      <c r="B858">
        <v>30</v>
      </c>
      <c r="C858" s="1">
        <v>65000</v>
      </c>
      <c r="D858" t="s">
        <v>19</v>
      </c>
      <c r="E858" t="s">
        <v>30</v>
      </c>
      <c r="F858" t="s">
        <v>14</v>
      </c>
      <c r="G858" s="11">
        <v>43477</v>
      </c>
      <c r="H858" t="s">
        <v>38</v>
      </c>
      <c r="I858" t="s">
        <v>16</v>
      </c>
      <c r="J858" t="s">
        <v>42</v>
      </c>
      <c r="K858" s="11" t="str">
        <f t="shared" ca="1" si="13"/>
        <v>6 Years</v>
      </c>
      <c r="L858" s="3" cm="1">
        <f t="array" ref="L858">_xlfn.SWITCH(Table13_24[[#This Row],[Performance Score]],"A",6,"B",5,"C",4,"D",3,"E",2,"F",1)</f>
        <v>5</v>
      </c>
    </row>
    <row r="859" spans="1:12" x14ac:dyDescent="0.3">
      <c r="A859" t="s">
        <v>43</v>
      </c>
      <c r="B859">
        <v>35</v>
      </c>
      <c r="C859" s="1">
        <v>55000</v>
      </c>
      <c r="D859" t="s">
        <v>19</v>
      </c>
      <c r="E859" t="s">
        <v>20</v>
      </c>
      <c r="F859" t="s">
        <v>21</v>
      </c>
      <c r="G859" s="11">
        <v>43881</v>
      </c>
      <c r="H859" t="s">
        <v>15</v>
      </c>
      <c r="I859" t="s">
        <v>32</v>
      </c>
      <c r="J859" t="s">
        <v>24</v>
      </c>
      <c r="K859" s="11" t="str">
        <f t="shared" ca="1" si="13"/>
        <v>5 Years</v>
      </c>
      <c r="L859" s="3" cm="1">
        <f t="array" ref="L859">_xlfn.SWITCH(Table13_24[[#This Row],[Performance Score]],"A",6,"B",5,"C",4,"D",3,"E",2,"F",1)</f>
        <v>3</v>
      </c>
    </row>
    <row r="860" spans="1:12" x14ac:dyDescent="0.3">
      <c r="A860" t="s">
        <v>36</v>
      </c>
      <c r="B860">
        <v>35</v>
      </c>
      <c r="C860" s="1">
        <v>50000</v>
      </c>
      <c r="D860" t="s">
        <v>19</v>
      </c>
      <c r="E860" t="s">
        <v>30</v>
      </c>
      <c r="F860" t="s">
        <v>37</v>
      </c>
      <c r="G860" s="11">
        <v>43881</v>
      </c>
      <c r="H860" t="s">
        <v>22</v>
      </c>
      <c r="I860" t="s">
        <v>32</v>
      </c>
      <c r="J860" t="s">
        <v>24</v>
      </c>
      <c r="K860" s="11" t="str">
        <f t="shared" ca="1" si="13"/>
        <v>5 Years</v>
      </c>
      <c r="L860" s="3" cm="1">
        <f t="array" ref="L860">_xlfn.SWITCH(Table13_24[[#This Row],[Performance Score]],"A",6,"B",5,"C",4,"D",3,"E",2,"F",1)</f>
        <v>1</v>
      </c>
    </row>
    <row r="861" spans="1:12" x14ac:dyDescent="0.3">
      <c r="A861" t="s">
        <v>46</v>
      </c>
      <c r="B861">
        <v>30</v>
      </c>
      <c r="C861" s="1">
        <v>60000</v>
      </c>
      <c r="D861" t="s">
        <v>12</v>
      </c>
      <c r="E861" t="s">
        <v>20</v>
      </c>
      <c r="F861" t="s">
        <v>21</v>
      </c>
      <c r="G861" s="11">
        <v>43845</v>
      </c>
      <c r="H861" t="s">
        <v>22</v>
      </c>
      <c r="I861" t="s">
        <v>32</v>
      </c>
      <c r="J861" t="s">
        <v>24</v>
      </c>
      <c r="K861" s="11" t="str">
        <f t="shared" ca="1" si="13"/>
        <v>5 Years</v>
      </c>
      <c r="L861" s="3" cm="1">
        <f t="array" ref="L861">_xlfn.SWITCH(Table13_24[[#This Row],[Performance Score]],"A",6,"B",5,"C",4,"D",3,"E",2,"F",1)</f>
        <v>1</v>
      </c>
    </row>
    <row r="862" spans="1:12" x14ac:dyDescent="0.3">
      <c r="A862" t="s">
        <v>44</v>
      </c>
      <c r="B862">
        <v>50</v>
      </c>
      <c r="C862" s="1">
        <v>50742.574257425746</v>
      </c>
      <c r="D862" t="s">
        <v>19</v>
      </c>
      <c r="E862" t="s">
        <v>26</v>
      </c>
      <c r="F862" t="s">
        <v>37</v>
      </c>
      <c r="G862" s="11">
        <v>43477</v>
      </c>
      <c r="H862" t="s">
        <v>31</v>
      </c>
      <c r="I862" t="s">
        <v>32</v>
      </c>
      <c r="J862" t="s">
        <v>42</v>
      </c>
      <c r="K862" s="11" t="str">
        <f t="shared" ca="1" si="13"/>
        <v>6 Years</v>
      </c>
      <c r="L862" s="3" cm="1">
        <f t="array" ref="L862">_xlfn.SWITCH(Table13_24[[#This Row],[Performance Score]],"A",6,"B",5,"C",4,"D",3,"E",2,"F",1)</f>
        <v>6</v>
      </c>
    </row>
    <row r="863" spans="1:12" x14ac:dyDescent="0.3">
      <c r="A863" t="s">
        <v>25</v>
      </c>
      <c r="B863">
        <v>40</v>
      </c>
      <c r="C863" s="1">
        <v>55000</v>
      </c>
      <c r="D863" t="s">
        <v>19</v>
      </c>
      <c r="E863" t="s">
        <v>35</v>
      </c>
      <c r="F863" t="s">
        <v>40</v>
      </c>
      <c r="G863" s="11">
        <v>43881</v>
      </c>
      <c r="H863" t="s">
        <v>38</v>
      </c>
      <c r="I863" t="s">
        <v>39</v>
      </c>
      <c r="J863" t="s">
        <v>17</v>
      </c>
      <c r="K863" s="11" t="str">
        <f t="shared" ca="1" si="13"/>
        <v>5 Years</v>
      </c>
      <c r="L863" s="3" cm="1">
        <f t="array" ref="L863">_xlfn.SWITCH(Table13_24[[#This Row],[Performance Score]],"A",6,"B",5,"C",4,"D",3,"E",2,"F",1)</f>
        <v>5</v>
      </c>
    </row>
    <row r="864" spans="1:12" x14ac:dyDescent="0.3">
      <c r="A864" t="s">
        <v>33</v>
      </c>
      <c r="B864">
        <v>36</v>
      </c>
      <c r="C864" s="1">
        <v>60000</v>
      </c>
      <c r="D864" t="s">
        <v>34</v>
      </c>
      <c r="E864" t="s">
        <v>26</v>
      </c>
      <c r="F864" t="s">
        <v>41</v>
      </c>
      <c r="G864" s="11">
        <v>43195</v>
      </c>
      <c r="H864" t="s">
        <v>22</v>
      </c>
      <c r="I864" t="s">
        <v>39</v>
      </c>
      <c r="J864" t="s">
        <v>24</v>
      </c>
      <c r="K864" s="11" t="str">
        <f t="shared" ca="1" si="13"/>
        <v>7 Years</v>
      </c>
      <c r="L864" s="3" cm="1">
        <f t="array" ref="L864">_xlfn.SWITCH(Table13_24[[#This Row],[Performance Score]],"A",6,"B",5,"C",4,"D",3,"E",2,"F",1)</f>
        <v>1</v>
      </c>
    </row>
    <row r="865" spans="1:12" x14ac:dyDescent="0.3">
      <c r="A865" t="s">
        <v>36</v>
      </c>
      <c r="B865">
        <v>35</v>
      </c>
      <c r="C865" s="1">
        <v>65000</v>
      </c>
      <c r="D865" t="s">
        <v>12</v>
      </c>
      <c r="E865" t="s">
        <v>13</v>
      </c>
      <c r="F865" t="s">
        <v>40</v>
      </c>
      <c r="G865" s="11">
        <v>43549</v>
      </c>
      <c r="H865" t="s">
        <v>22</v>
      </c>
      <c r="I865" t="s">
        <v>16</v>
      </c>
      <c r="J865" t="s">
        <v>17</v>
      </c>
      <c r="K865" s="11" t="str">
        <f t="shared" ca="1" si="13"/>
        <v>6 Years</v>
      </c>
      <c r="L865" s="3" cm="1">
        <f t="array" ref="L865">_xlfn.SWITCH(Table13_24[[#This Row],[Performance Score]],"A",6,"B",5,"C",4,"D",3,"E",2,"F",1)</f>
        <v>1</v>
      </c>
    </row>
    <row r="866" spans="1:12" x14ac:dyDescent="0.3">
      <c r="A866" t="s">
        <v>29</v>
      </c>
      <c r="B866">
        <v>40</v>
      </c>
      <c r="C866" s="1">
        <v>70000</v>
      </c>
      <c r="D866" t="s">
        <v>34</v>
      </c>
      <c r="E866" t="s">
        <v>20</v>
      </c>
      <c r="F866" t="s">
        <v>37</v>
      </c>
      <c r="G866" s="11">
        <v>43549</v>
      </c>
      <c r="H866" t="s">
        <v>15</v>
      </c>
      <c r="I866" t="s">
        <v>23</v>
      </c>
      <c r="J866" t="s">
        <v>24</v>
      </c>
      <c r="K866" s="11" t="str">
        <f t="shared" ca="1" si="13"/>
        <v>6 Years</v>
      </c>
      <c r="L866" s="3" cm="1">
        <f t="array" ref="L866">_xlfn.SWITCH(Table13_24[[#This Row],[Performance Score]],"A",6,"B",5,"C",4,"D",3,"E",2,"F",1)</f>
        <v>3</v>
      </c>
    </row>
    <row r="867" spans="1:12" x14ac:dyDescent="0.3">
      <c r="A867" t="s">
        <v>43</v>
      </c>
      <c r="B867">
        <v>30</v>
      </c>
      <c r="C867" s="1">
        <v>55000</v>
      </c>
      <c r="D867" t="s">
        <v>34</v>
      </c>
      <c r="E867" t="s">
        <v>13</v>
      </c>
      <c r="F867" t="s">
        <v>37</v>
      </c>
      <c r="G867" s="11">
        <v>43881</v>
      </c>
      <c r="H867" t="s">
        <v>31</v>
      </c>
      <c r="I867" t="s">
        <v>23</v>
      </c>
      <c r="J867" t="s">
        <v>17</v>
      </c>
      <c r="K867" s="11" t="str">
        <f t="shared" ca="1" si="13"/>
        <v>5 Years</v>
      </c>
      <c r="L867" s="3" cm="1">
        <f t="array" ref="L867">_xlfn.SWITCH(Table13_24[[#This Row],[Performance Score]],"A",6,"B",5,"C",4,"D",3,"E",2,"F",1)</f>
        <v>6</v>
      </c>
    </row>
    <row r="868" spans="1:12" x14ac:dyDescent="0.3">
      <c r="A868" t="s">
        <v>33</v>
      </c>
      <c r="B868">
        <v>40</v>
      </c>
      <c r="C868" s="1">
        <v>55000</v>
      </c>
      <c r="D868" t="s">
        <v>19</v>
      </c>
      <c r="E868" t="s">
        <v>13</v>
      </c>
      <c r="F868" t="s">
        <v>37</v>
      </c>
      <c r="G868" s="11">
        <v>43477</v>
      </c>
      <c r="H868" t="s">
        <v>27</v>
      </c>
      <c r="I868" t="s">
        <v>39</v>
      </c>
      <c r="J868" t="s">
        <v>42</v>
      </c>
      <c r="K868" s="11" t="str">
        <f t="shared" ca="1" si="13"/>
        <v>6 Years</v>
      </c>
      <c r="L868" s="3" cm="1">
        <f t="array" ref="L868">_xlfn.SWITCH(Table13_24[[#This Row],[Performance Score]],"A",6,"B",5,"C",4,"D",3,"E",2,"F",1)</f>
        <v>4</v>
      </c>
    </row>
    <row r="869" spans="1:12" x14ac:dyDescent="0.3">
      <c r="A869" t="s">
        <v>43</v>
      </c>
      <c r="B869">
        <v>25</v>
      </c>
      <c r="C869" s="1">
        <v>65000</v>
      </c>
      <c r="D869" t="s">
        <v>12</v>
      </c>
      <c r="E869" t="s">
        <v>30</v>
      </c>
      <c r="F869" t="s">
        <v>14</v>
      </c>
      <c r="G869" s="11">
        <v>43881</v>
      </c>
      <c r="H869" t="s">
        <v>31</v>
      </c>
      <c r="I869" t="s">
        <v>39</v>
      </c>
      <c r="J869" t="s">
        <v>24</v>
      </c>
      <c r="K869" s="11" t="str">
        <f t="shared" ca="1" si="13"/>
        <v>5 Years</v>
      </c>
      <c r="L869" s="3" cm="1">
        <f t="array" ref="L869">_xlfn.SWITCH(Table13_24[[#This Row],[Performance Score]],"A",6,"B",5,"C",4,"D",3,"E",2,"F",1)</f>
        <v>6</v>
      </c>
    </row>
    <row r="870" spans="1:12" x14ac:dyDescent="0.3">
      <c r="A870" t="s">
        <v>18</v>
      </c>
      <c r="B870">
        <v>35</v>
      </c>
      <c r="C870" s="1">
        <v>48417.431192660551</v>
      </c>
      <c r="D870" t="s">
        <v>19</v>
      </c>
      <c r="E870" t="s">
        <v>20</v>
      </c>
      <c r="F870" t="s">
        <v>41</v>
      </c>
      <c r="G870" s="11">
        <v>43477</v>
      </c>
      <c r="H870" t="s">
        <v>27</v>
      </c>
      <c r="I870" t="s">
        <v>32</v>
      </c>
      <c r="J870" t="s">
        <v>24</v>
      </c>
      <c r="K870" s="11" t="str">
        <f t="shared" ca="1" si="13"/>
        <v>6 Years</v>
      </c>
      <c r="L870" s="3" cm="1">
        <f t="array" ref="L870">_xlfn.SWITCH(Table13_24[[#This Row],[Performance Score]],"A",6,"B",5,"C",4,"D",3,"E",2,"F",1)</f>
        <v>4</v>
      </c>
    </row>
    <row r="871" spans="1:12" x14ac:dyDescent="0.3">
      <c r="A871" t="s">
        <v>36</v>
      </c>
      <c r="B871">
        <v>30</v>
      </c>
      <c r="C871" s="1">
        <v>50000</v>
      </c>
      <c r="D871" t="s">
        <v>12</v>
      </c>
      <c r="E871" t="s">
        <v>13</v>
      </c>
      <c r="F871" t="s">
        <v>40</v>
      </c>
      <c r="G871" s="11">
        <v>43195</v>
      </c>
      <c r="H871" t="s">
        <v>38</v>
      </c>
      <c r="I871" t="s">
        <v>32</v>
      </c>
      <c r="J871" t="s">
        <v>17</v>
      </c>
      <c r="K871" s="11" t="str">
        <f t="shared" ca="1" si="13"/>
        <v>7 Years</v>
      </c>
      <c r="L871" s="3" cm="1">
        <f t="array" ref="L871">_xlfn.SWITCH(Table13_24[[#This Row],[Performance Score]],"A",6,"B",5,"C",4,"D",3,"E",2,"F",1)</f>
        <v>5</v>
      </c>
    </row>
    <row r="872" spans="1:12" x14ac:dyDescent="0.3">
      <c r="A872" t="s">
        <v>18</v>
      </c>
      <c r="B872">
        <v>36</v>
      </c>
      <c r="C872" s="1">
        <v>70000</v>
      </c>
      <c r="D872" t="s">
        <v>34</v>
      </c>
      <c r="E872" t="s">
        <v>35</v>
      </c>
      <c r="F872" t="s">
        <v>40</v>
      </c>
      <c r="G872" s="11">
        <v>43477</v>
      </c>
      <c r="H872" t="s">
        <v>38</v>
      </c>
      <c r="I872" t="s">
        <v>39</v>
      </c>
      <c r="J872" t="s">
        <v>17</v>
      </c>
      <c r="K872" s="11" t="str">
        <f t="shared" ca="1" si="13"/>
        <v>6 Years</v>
      </c>
      <c r="L872" s="3" cm="1">
        <f t="array" ref="L872">_xlfn.SWITCH(Table13_24[[#This Row],[Performance Score]],"A",6,"B",5,"C",4,"D",3,"E",2,"F",1)</f>
        <v>5</v>
      </c>
    </row>
    <row r="873" spans="1:12" x14ac:dyDescent="0.3">
      <c r="A873" t="s">
        <v>45</v>
      </c>
      <c r="B873">
        <v>50</v>
      </c>
      <c r="C873" s="1">
        <v>55000</v>
      </c>
      <c r="D873" t="s">
        <v>12</v>
      </c>
      <c r="E873" t="s">
        <v>13</v>
      </c>
      <c r="F873" t="s">
        <v>21</v>
      </c>
      <c r="G873" s="11">
        <v>43881</v>
      </c>
      <c r="H873" t="s">
        <v>22</v>
      </c>
      <c r="I873" t="s">
        <v>23</v>
      </c>
      <c r="J873" t="s">
        <v>24</v>
      </c>
      <c r="K873" s="11" t="str">
        <f t="shared" ca="1" si="13"/>
        <v>5 Years</v>
      </c>
      <c r="L873" s="3" cm="1">
        <f t="array" ref="L873">_xlfn.SWITCH(Table13_24[[#This Row],[Performance Score]],"A",6,"B",5,"C",4,"D",3,"E",2,"F",1)</f>
        <v>1</v>
      </c>
    </row>
    <row r="874" spans="1:12" x14ac:dyDescent="0.3">
      <c r="A874" t="s">
        <v>18</v>
      </c>
      <c r="B874">
        <v>30</v>
      </c>
      <c r="C874" s="1">
        <v>70000</v>
      </c>
      <c r="D874" t="s">
        <v>19</v>
      </c>
      <c r="E874" t="s">
        <v>35</v>
      </c>
      <c r="F874" t="s">
        <v>37</v>
      </c>
      <c r="G874" s="11">
        <v>43195</v>
      </c>
      <c r="H874" t="s">
        <v>38</v>
      </c>
      <c r="I874" t="s">
        <v>32</v>
      </c>
      <c r="J874" t="s">
        <v>24</v>
      </c>
      <c r="K874" s="11" t="str">
        <f t="shared" ca="1" si="13"/>
        <v>7 Years</v>
      </c>
      <c r="L874" s="3" cm="1">
        <f t="array" ref="L874">_xlfn.SWITCH(Table13_24[[#This Row],[Performance Score]],"A",6,"B",5,"C",4,"D",3,"E",2,"F",1)</f>
        <v>5</v>
      </c>
    </row>
    <row r="875" spans="1:12" x14ac:dyDescent="0.3">
      <c r="A875" t="s">
        <v>45</v>
      </c>
      <c r="B875">
        <v>36</v>
      </c>
      <c r="C875" s="1">
        <v>55000</v>
      </c>
      <c r="D875" t="s">
        <v>19</v>
      </c>
      <c r="E875" t="s">
        <v>30</v>
      </c>
      <c r="F875" t="s">
        <v>37</v>
      </c>
      <c r="G875" s="11">
        <v>43845</v>
      </c>
      <c r="H875" t="s">
        <v>22</v>
      </c>
      <c r="I875" t="s">
        <v>23</v>
      </c>
      <c r="J875" t="s">
        <v>17</v>
      </c>
      <c r="K875" s="11" t="str">
        <f t="shared" ca="1" si="13"/>
        <v>5 Years</v>
      </c>
      <c r="L875" s="3" cm="1">
        <f t="array" ref="L875">_xlfn.SWITCH(Table13_24[[#This Row],[Performance Score]],"A",6,"B",5,"C",4,"D",3,"E",2,"F",1)</f>
        <v>1</v>
      </c>
    </row>
    <row r="876" spans="1:12" x14ac:dyDescent="0.3">
      <c r="A876" t="s">
        <v>45</v>
      </c>
      <c r="B876">
        <v>50</v>
      </c>
      <c r="C876" s="1">
        <v>70000</v>
      </c>
      <c r="D876" t="s">
        <v>19</v>
      </c>
      <c r="E876" t="s">
        <v>13</v>
      </c>
      <c r="F876" t="s">
        <v>37</v>
      </c>
      <c r="G876" s="11">
        <v>43549</v>
      </c>
      <c r="H876" t="s">
        <v>31</v>
      </c>
      <c r="I876" t="s">
        <v>39</v>
      </c>
      <c r="J876" t="s">
        <v>17</v>
      </c>
      <c r="K876" s="11" t="str">
        <f t="shared" ca="1" si="13"/>
        <v>6 Years</v>
      </c>
      <c r="L876" s="3" cm="1">
        <f t="array" ref="L876">_xlfn.SWITCH(Table13_24[[#This Row],[Performance Score]],"A",6,"B",5,"C",4,"D",3,"E",2,"F",1)</f>
        <v>6</v>
      </c>
    </row>
    <row r="877" spans="1:12" x14ac:dyDescent="0.3">
      <c r="A877" t="s">
        <v>33</v>
      </c>
      <c r="B877">
        <v>50</v>
      </c>
      <c r="C877" s="1">
        <v>60000</v>
      </c>
      <c r="D877" t="s">
        <v>12</v>
      </c>
      <c r="E877" t="s">
        <v>26</v>
      </c>
      <c r="F877" t="s">
        <v>40</v>
      </c>
      <c r="G877" s="11">
        <v>43881</v>
      </c>
      <c r="H877" t="s">
        <v>38</v>
      </c>
      <c r="I877" t="s">
        <v>23</v>
      </c>
      <c r="J877" t="s">
        <v>28</v>
      </c>
      <c r="K877" s="11" t="str">
        <f t="shared" ca="1" si="13"/>
        <v>5 Years</v>
      </c>
      <c r="L877" s="3" cm="1">
        <f t="array" ref="L877">_xlfn.SWITCH(Table13_24[[#This Row],[Performance Score]],"A",6,"B",5,"C",4,"D",3,"E",2,"F",1)</f>
        <v>5</v>
      </c>
    </row>
    <row r="878" spans="1:12" x14ac:dyDescent="0.3">
      <c r="A878" t="s">
        <v>43</v>
      </c>
      <c r="B878">
        <v>30</v>
      </c>
      <c r="C878" s="1">
        <v>55000</v>
      </c>
      <c r="D878" t="s">
        <v>34</v>
      </c>
      <c r="E878" t="s">
        <v>30</v>
      </c>
      <c r="F878" t="s">
        <v>21</v>
      </c>
      <c r="G878" s="11">
        <v>43881</v>
      </c>
      <c r="H878" t="s">
        <v>31</v>
      </c>
      <c r="I878" t="s">
        <v>23</v>
      </c>
      <c r="J878" t="s">
        <v>28</v>
      </c>
      <c r="K878" s="11" t="str">
        <f t="shared" ca="1" si="13"/>
        <v>5 Years</v>
      </c>
      <c r="L878" s="3" cm="1">
        <f t="array" ref="L878">_xlfn.SWITCH(Table13_24[[#This Row],[Performance Score]],"A",6,"B",5,"C",4,"D",3,"E",2,"F",1)</f>
        <v>6</v>
      </c>
    </row>
    <row r="879" spans="1:12" x14ac:dyDescent="0.3">
      <c r="A879" t="s">
        <v>29</v>
      </c>
      <c r="B879">
        <v>40</v>
      </c>
      <c r="C879" s="1">
        <v>70000</v>
      </c>
      <c r="D879" t="s">
        <v>34</v>
      </c>
      <c r="E879" t="s">
        <v>35</v>
      </c>
      <c r="F879" t="s">
        <v>14</v>
      </c>
      <c r="G879" s="11">
        <v>43881</v>
      </c>
      <c r="H879" t="s">
        <v>31</v>
      </c>
      <c r="I879" t="s">
        <v>23</v>
      </c>
      <c r="J879" t="s">
        <v>24</v>
      </c>
      <c r="K879" s="11" t="str">
        <f t="shared" ca="1" si="13"/>
        <v>5 Years</v>
      </c>
      <c r="L879" s="3" cm="1">
        <f t="array" ref="L879">_xlfn.SWITCH(Table13_24[[#This Row],[Performance Score]],"A",6,"B",5,"C",4,"D",3,"E",2,"F",1)</f>
        <v>6</v>
      </c>
    </row>
    <row r="880" spans="1:12" x14ac:dyDescent="0.3">
      <c r="A880" t="s">
        <v>18</v>
      </c>
      <c r="B880">
        <v>40</v>
      </c>
      <c r="C880" s="1">
        <v>50000</v>
      </c>
      <c r="D880" t="s">
        <v>12</v>
      </c>
      <c r="E880" t="s">
        <v>30</v>
      </c>
      <c r="F880" t="s">
        <v>41</v>
      </c>
      <c r="G880" s="11">
        <v>43195</v>
      </c>
      <c r="H880" t="s">
        <v>38</v>
      </c>
      <c r="I880" t="s">
        <v>32</v>
      </c>
      <c r="J880" t="s">
        <v>17</v>
      </c>
      <c r="K880" s="11" t="str">
        <f t="shared" ca="1" si="13"/>
        <v>7 Years</v>
      </c>
      <c r="L880" s="3" cm="1">
        <f t="array" ref="L880">_xlfn.SWITCH(Table13_24[[#This Row],[Performance Score]],"A",6,"B",5,"C",4,"D",3,"E",2,"F",1)</f>
        <v>5</v>
      </c>
    </row>
    <row r="881" spans="1:12" x14ac:dyDescent="0.3">
      <c r="A881" t="s">
        <v>36</v>
      </c>
      <c r="B881">
        <v>50</v>
      </c>
      <c r="C881" s="1">
        <v>60000</v>
      </c>
      <c r="D881" t="s">
        <v>19</v>
      </c>
      <c r="E881" t="s">
        <v>13</v>
      </c>
      <c r="F881" t="s">
        <v>14</v>
      </c>
      <c r="G881" s="11">
        <v>43845</v>
      </c>
      <c r="H881" t="s">
        <v>31</v>
      </c>
      <c r="I881" t="s">
        <v>16</v>
      </c>
      <c r="J881" t="s">
        <v>42</v>
      </c>
      <c r="K881" s="11" t="str">
        <f t="shared" ca="1" si="13"/>
        <v>5 Years</v>
      </c>
      <c r="L881" s="3" cm="1">
        <f t="array" ref="L881">_xlfn.SWITCH(Table13_24[[#This Row],[Performance Score]],"A",6,"B",5,"C",4,"D",3,"E",2,"F",1)</f>
        <v>6</v>
      </c>
    </row>
    <row r="882" spans="1:12" x14ac:dyDescent="0.3">
      <c r="A882" t="s">
        <v>45</v>
      </c>
      <c r="B882">
        <v>40</v>
      </c>
      <c r="C882" s="1">
        <v>60000</v>
      </c>
      <c r="D882" t="s">
        <v>34</v>
      </c>
      <c r="E882" t="s">
        <v>20</v>
      </c>
      <c r="F882" t="s">
        <v>40</v>
      </c>
      <c r="G882" s="11">
        <v>43477</v>
      </c>
      <c r="H882" t="s">
        <v>38</v>
      </c>
      <c r="I882" t="s">
        <v>39</v>
      </c>
      <c r="J882" t="s">
        <v>42</v>
      </c>
      <c r="K882" s="11" t="str">
        <f t="shared" ca="1" si="13"/>
        <v>6 Years</v>
      </c>
      <c r="L882" s="3" cm="1">
        <f t="array" ref="L882">_xlfn.SWITCH(Table13_24[[#This Row],[Performance Score]],"A",6,"B",5,"C",4,"D",3,"E",2,"F",1)</f>
        <v>5</v>
      </c>
    </row>
    <row r="883" spans="1:12" x14ac:dyDescent="0.3">
      <c r="A883" t="s">
        <v>43</v>
      </c>
      <c r="B883">
        <v>25</v>
      </c>
      <c r="C883" s="1">
        <v>50000</v>
      </c>
      <c r="D883" t="s">
        <v>19</v>
      </c>
      <c r="E883" t="s">
        <v>20</v>
      </c>
      <c r="F883" t="s">
        <v>37</v>
      </c>
      <c r="G883" s="11">
        <v>43845</v>
      </c>
      <c r="H883" t="s">
        <v>38</v>
      </c>
      <c r="I883" t="s">
        <v>23</v>
      </c>
      <c r="J883" t="s">
        <v>28</v>
      </c>
      <c r="K883" s="11" t="str">
        <f t="shared" ca="1" si="13"/>
        <v>5 Years</v>
      </c>
      <c r="L883" s="3" cm="1">
        <f t="array" ref="L883">_xlfn.SWITCH(Table13_24[[#This Row],[Performance Score]],"A",6,"B",5,"C",4,"D",3,"E",2,"F",1)</f>
        <v>5</v>
      </c>
    </row>
    <row r="884" spans="1:12" x14ac:dyDescent="0.3">
      <c r="A884" t="s">
        <v>44</v>
      </c>
      <c r="B884">
        <v>50</v>
      </c>
      <c r="C884" s="1">
        <v>70000</v>
      </c>
      <c r="D884" t="s">
        <v>12</v>
      </c>
      <c r="E884" t="s">
        <v>35</v>
      </c>
      <c r="F884" t="s">
        <v>41</v>
      </c>
      <c r="G884" s="11">
        <v>43195</v>
      </c>
      <c r="H884" t="s">
        <v>38</v>
      </c>
      <c r="I884" t="s">
        <v>23</v>
      </c>
      <c r="J884" t="s">
        <v>17</v>
      </c>
      <c r="K884" s="11" t="str">
        <f t="shared" ca="1" si="13"/>
        <v>7 Years</v>
      </c>
      <c r="L884" s="3" cm="1">
        <f t="array" ref="L884">_xlfn.SWITCH(Table13_24[[#This Row],[Performance Score]],"A",6,"B",5,"C",4,"D",3,"E",2,"F",1)</f>
        <v>5</v>
      </c>
    </row>
    <row r="885" spans="1:12" x14ac:dyDescent="0.3">
      <c r="A885" t="s">
        <v>25</v>
      </c>
      <c r="B885">
        <v>50</v>
      </c>
      <c r="C885" s="1">
        <v>65000</v>
      </c>
      <c r="D885" t="s">
        <v>19</v>
      </c>
      <c r="E885" t="s">
        <v>35</v>
      </c>
      <c r="F885" t="s">
        <v>40</v>
      </c>
      <c r="G885" s="11">
        <v>43881</v>
      </c>
      <c r="H885" t="s">
        <v>27</v>
      </c>
      <c r="I885" t="s">
        <v>23</v>
      </c>
      <c r="J885" t="s">
        <v>28</v>
      </c>
      <c r="K885" s="11" t="str">
        <f t="shared" ca="1" si="13"/>
        <v>5 Years</v>
      </c>
      <c r="L885" s="3" cm="1">
        <f t="array" ref="L885">_xlfn.SWITCH(Table13_24[[#This Row],[Performance Score]],"A",6,"B",5,"C",4,"D",3,"E",2,"F",1)</f>
        <v>4</v>
      </c>
    </row>
    <row r="886" spans="1:12" x14ac:dyDescent="0.3">
      <c r="A886" t="s">
        <v>33</v>
      </c>
      <c r="B886">
        <v>36</v>
      </c>
      <c r="C886" s="1">
        <v>50000</v>
      </c>
      <c r="D886" t="s">
        <v>34</v>
      </c>
      <c r="E886" t="s">
        <v>20</v>
      </c>
      <c r="F886" t="s">
        <v>40</v>
      </c>
      <c r="G886" s="11">
        <v>43549</v>
      </c>
      <c r="H886" t="s">
        <v>31</v>
      </c>
      <c r="I886" t="s">
        <v>16</v>
      </c>
      <c r="J886" t="s">
        <v>24</v>
      </c>
      <c r="K886" s="11" t="str">
        <f t="shared" ca="1" si="13"/>
        <v>6 Years</v>
      </c>
      <c r="L886" s="3" cm="1">
        <f t="array" ref="L886">_xlfn.SWITCH(Table13_24[[#This Row],[Performance Score]],"A",6,"B",5,"C",4,"D",3,"E",2,"F",1)</f>
        <v>6</v>
      </c>
    </row>
    <row r="887" spans="1:12" x14ac:dyDescent="0.3">
      <c r="A887" t="s">
        <v>29</v>
      </c>
      <c r="B887">
        <v>40</v>
      </c>
      <c r="C887" s="1">
        <v>70000</v>
      </c>
      <c r="D887" t="s">
        <v>34</v>
      </c>
      <c r="E887" t="s">
        <v>35</v>
      </c>
      <c r="F887" t="s">
        <v>40</v>
      </c>
      <c r="G887" s="11">
        <v>43881</v>
      </c>
      <c r="H887" t="s">
        <v>15</v>
      </c>
      <c r="I887" t="s">
        <v>39</v>
      </c>
      <c r="J887" t="s">
        <v>17</v>
      </c>
      <c r="K887" s="11" t="str">
        <f t="shared" ca="1" si="13"/>
        <v>5 Years</v>
      </c>
      <c r="L887" s="3" cm="1">
        <f t="array" ref="L887">_xlfn.SWITCH(Table13_24[[#This Row],[Performance Score]],"A",6,"B",5,"C",4,"D",3,"E",2,"F",1)</f>
        <v>3</v>
      </c>
    </row>
    <row r="888" spans="1:12" x14ac:dyDescent="0.3">
      <c r="A888" t="s">
        <v>11</v>
      </c>
      <c r="B888">
        <v>50</v>
      </c>
      <c r="C888" s="1">
        <v>50000</v>
      </c>
      <c r="D888" t="s">
        <v>19</v>
      </c>
      <c r="E888" t="s">
        <v>30</v>
      </c>
      <c r="F888" t="s">
        <v>41</v>
      </c>
      <c r="G888" s="11">
        <v>43477</v>
      </c>
      <c r="H888" t="s">
        <v>38</v>
      </c>
      <c r="I888" t="s">
        <v>32</v>
      </c>
      <c r="J888" t="s">
        <v>42</v>
      </c>
      <c r="K888" s="11" t="str">
        <f t="shared" ca="1" si="13"/>
        <v>6 Years</v>
      </c>
      <c r="L888" s="3" cm="1">
        <f t="array" ref="L888">_xlfn.SWITCH(Table13_24[[#This Row],[Performance Score]],"A",6,"B",5,"C",4,"D",3,"E",2,"F",1)</f>
        <v>5</v>
      </c>
    </row>
    <row r="889" spans="1:12" x14ac:dyDescent="0.3">
      <c r="A889" t="s">
        <v>33</v>
      </c>
      <c r="B889">
        <v>25</v>
      </c>
      <c r="C889" s="1">
        <v>50000</v>
      </c>
      <c r="D889" t="s">
        <v>12</v>
      </c>
      <c r="E889" t="s">
        <v>26</v>
      </c>
      <c r="F889" t="s">
        <v>41</v>
      </c>
      <c r="G889" s="11">
        <v>43549</v>
      </c>
      <c r="H889" t="s">
        <v>31</v>
      </c>
      <c r="I889" t="s">
        <v>16</v>
      </c>
      <c r="J889" t="s">
        <v>17</v>
      </c>
      <c r="K889" s="11" t="str">
        <f t="shared" ca="1" si="13"/>
        <v>6 Years</v>
      </c>
      <c r="L889" s="3" cm="1">
        <f t="array" ref="L889">_xlfn.SWITCH(Table13_24[[#This Row],[Performance Score]],"A",6,"B",5,"C",4,"D",3,"E",2,"F",1)</f>
        <v>6</v>
      </c>
    </row>
    <row r="890" spans="1:12" x14ac:dyDescent="0.3">
      <c r="A890" t="s">
        <v>44</v>
      </c>
      <c r="B890">
        <v>36</v>
      </c>
      <c r="C890" s="1">
        <v>55000</v>
      </c>
      <c r="D890" t="s">
        <v>19</v>
      </c>
      <c r="E890" t="s">
        <v>26</v>
      </c>
      <c r="F890" t="s">
        <v>21</v>
      </c>
      <c r="G890" s="11">
        <v>43881</v>
      </c>
      <c r="H890" t="s">
        <v>22</v>
      </c>
      <c r="I890" t="s">
        <v>23</v>
      </c>
      <c r="J890" t="s">
        <v>17</v>
      </c>
      <c r="K890" s="11" t="str">
        <f t="shared" ca="1" si="13"/>
        <v>5 Years</v>
      </c>
      <c r="L890" s="3" cm="1">
        <f t="array" ref="L890">_xlfn.SWITCH(Table13_24[[#This Row],[Performance Score]],"A",6,"B",5,"C",4,"D",3,"E",2,"F",1)</f>
        <v>1</v>
      </c>
    </row>
    <row r="891" spans="1:12" x14ac:dyDescent="0.3">
      <c r="A891" t="s">
        <v>25</v>
      </c>
      <c r="B891">
        <v>30</v>
      </c>
      <c r="C891" s="1">
        <v>70000</v>
      </c>
      <c r="D891" t="s">
        <v>12</v>
      </c>
      <c r="E891" t="s">
        <v>30</v>
      </c>
      <c r="F891" t="s">
        <v>21</v>
      </c>
      <c r="G891" s="11">
        <v>43549</v>
      </c>
      <c r="H891" t="s">
        <v>38</v>
      </c>
      <c r="I891" t="s">
        <v>16</v>
      </c>
      <c r="J891" t="s">
        <v>24</v>
      </c>
      <c r="K891" s="11" t="str">
        <f t="shared" ca="1" si="13"/>
        <v>6 Years</v>
      </c>
      <c r="L891" s="3" cm="1">
        <f t="array" ref="L891">_xlfn.SWITCH(Table13_24[[#This Row],[Performance Score]],"A",6,"B",5,"C",4,"D",3,"E",2,"F",1)</f>
        <v>5</v>
      </c>
    </row>
    <row r="892" spans="1:12" x14ac:dyDescent="0.3">
      <c r="A892" t="s">
        <v>44</v>
      </c>
      <c r="B892">
        <v>50</v>
      </c>
      <c r="C892" s="1">
        <v>65000</v>
      </c>
      <c r="D892" t="s">
        <v>19</v>
      </c>
      <c r="E892" t="s">
        <v>26</v>
      </c>
      <c r="F892" t="s">
        <v>14</v>
      </c>
      <c r="G892" s="11">
        <v>43845</v>
      </c>
      <c r="H892" t="s">
        <v>38</v>
      </c>
      <c r="I892" t="s">
        <v>16</v>
      </c>
      <c r="J892" t="s">
        <v>28</v>
      </c>
      <c r="K892" s="11" t="str">
        <f t="shared" ca="1" si="13"/>
        <v>5 Years</v>
      </c>
      <c r="L892" s="3" cm="1">
        <f t="array" ref="L892">_xlfn.SWITCH(Table13_24[[#This Row],[Performance Score]],"A",6,"B",5,"C",4,"D",3,"E",2,"F",1)</f>
        <v>5</v>
      </c>
    </row>
    <row r="893" spans="1:12" x14ac:dyDescent="0.3">
      <c r="A893" t="s">
        <v>18</v>
      </c>
      <c r="B893">
        <v>25</v>
      </c>
      <c r="C893" s="1">
        <v>55000</v>
      </c>
      <c r="D893" t="s">
        <v>34</v>
      </c>
      <c r="E893" t="s">
        <v>13</v>
      </c>
      <c r="F893" t="s">
        <v>41</v>
      </c>
      <c r="G893" s="11">
        <v>43195</v>
      </c>
      <c r="H893" t="s">
        <v>15</v>
      </c>
      <c r="I893" t="s">
        <v>16</v>
      </c>
      <c r="J893" t="s">
        <v>24</v>
      </c>
      <c r="K893" s="11" t="str">
        <f t="shared" ca="1" si="13"/>
        <v>7 Years</v>
      </c>
      <c r="L893" s="3" cm="1">
        <f t="array" ref="L893">_xlfn.SWITCH(Table13_24[[#This Row],[Performance Score]],"A",6,"B",5,"C",4,"D",3,"E",2,"F",1)</f>
        <v>3</v>
      </c>
    </row>
    <row r="894" spans="1:12" x14ac:dyDescent="0.3">
      <c r="A894" t="s">
        <v>45</v>
      </c>
      <c r="B894">
        <v>35</v>
      </c>
      <c r="C894" s="1">
        <v>50000</v>
      </c>
      <c r="D894" t="s">
        <v>12</v>
      </c>
      <c r="E894" t="s">
        <v>30</v>
      </c>
      <c r="F894" t="s">
        <v>41</v>
      </c>
      <c r="G894" s="11">
        <v>43881</v>
      </c>
      <c r="H894" t="s">
        <v>27</v>
      </c>
      <c r="I894" t="s">
        <v>39</v>
      </c>
      <c r="J894" t="s">
        <v>17</v>
      </c>
      <c r="K894" s="11" t="str">
        <f t="shared" ca="1" si="13"/>
        <v>5 Years</v>
      </c>
      <c r="L894" s="3" cm="1">
        <f t="array" ref="L894">_xlfn.SWITCH(Table13_24[[#This Row],[Performance Score]],"A",6,"B",5,"C",4,"D",3,"E",2,"F",1)</f>
        <v>4</v>
      </c>
    </row>
    <row r="895" spans="1:12" x14ac:dyDescent="0.3">
      <c r="A895" t="s">
        <v>29</v>
      </c>
      <c r="B895">
        <v>25</v>
      </c>
      <c r="C895" s="1">
        <v>49144.385026737968</v>
      </c>
      <c r="D895" t="s">
        <v>12</v>
      </c>
      <c r="E895" t="s">
        <v>35</v>
      </c>
      <c r="F895" t="s">
        <v>41</v>
      </c>
      <c r="G895" s="11">
        <v>43477</v>
      </c>
      <c r="H895" t="s">
        <v>27</v>
      </c>
      <c r="I895" t="s">
        <v>39</v>
      </c>
      <c r="J895" t="s">
        <v>42</v>
      </c>
      <c r="K895" s="11" t="str">
        <f t="shared" ca="1" si="13"/>
        <v>6 Years</v>
      </c>
      <c r="L895" s="3" cm="1">
        <f t="array" ref="L895">_xlfn.SWITCH(Table13_24[[#This Row],[Performance Score]],"A",6,"B",5,"C",4,"D",3,"E",2,"F",1)</f>
        <v>4</v>
      </c>
    </row>
    <row r="896" spans="1:12" x14ac:dyDescent="0.3">
      <c r="A896" t="s">
        <v>46</v>
      </c>
      <c r="B896">
        <v>25</v>
      </c>
      <c r="C896" s="1">
        <v>50000</v>
      </c>
      <c r="D896" t="s">
        <v>12</v>
      </c>
      <c r="E896" t="s">
        <v>30</v>
      </c>
      <c r="F896" t="s">
        <v>21</v>
      </c>
      <c r="G896" s="11">
        <v>43845</v>
      </c>
      <c r="H896" t="s">
        <v>38</v>
      </c>
      <c r="I896" t="s">
        <v>32</v>
      </c>
      <c r="J896" t="s">
        <v>17</v>
      </c>
      <c r="K896" s="11" t="str">
        <f t="shared" ca="1" si="13"/>
        <v>5 Years</v>
      </c>
      <c r="L896" s="3" cm="1">
        <f t="array" ref="L896">_xlfn.SWITCH(Table13_24[[#This Row],[Performance Score]],"A",6,"B",5,"C",4,"D",3,"E",2,"F",1)</f>
        <v>5</v>
      </c>
    </row>
    <row r="897" spans="1:12" x14ac:dyDescent="0.3">
      <c r="A897" t="s">
        <v>45</v>
      </c>
      <c r="B897">
        <v>36</v>
      </c>
      <c r="C897" s="1">
        <v>50000</v>
      </c>
      <c r="D897" t="s">
        <v>34</v>
      </c>
      <c r="E897" t="s">
        <v>20</v>
      </c>
      <c r="F897" t="s">
        <v>40</v>
      </c>
      <c r="G897" s="11">
        <v>43881</v>
      </c>
      <c r="H897" t="s">
        <v>31</v>
      </c>
      <c r="I897" t="s">
        <v>39</v>
      </c>
      <c r="J897" t="s">
        <v>17</v>
      </c>
      <c r="K897" s="11" t="str">
        <f t="shared" ca="1" si="13"/>
        <v>5 Years</v>
      </c>
      <c r="L897" s="3" cm="1">
        <f t="array" ref="L897">_xlfn.SWITCH(Table13_24[[#This Row],[Performance Score]],"A",6,"B",5,"C",4,"D",3,"E",2,"F",1)</f>
        <v>6</v>
      </c>
    </row>
    <row r="898" spans="1:12" x14ac:dyDescent="0.3">
      <c r="A898" t="s">
        <v>46</v>
      </c>
      <c r="B898">
        <v>30</v>
      </c>
      <c r="C898" s="1">
        <v>70000</v>
      </c>
      <c r="D898" t="s">
        <v>19</v>
      </c>
      <c r="E898" t="s">
        <v>35</v>
      </c>
      <c r="F898" t="s">
        <v>37</v>
      </c>
      <c r="G898" s="11">
        <v>43845</v>
      </c>
      <c r="H898" t="s">
        <v>22</v>
      </c>
      <c r="I898" t="s">
        <v>39</v>
      </c>
      <c r="J898" t="s">
        <v>17</v>
      </c>
      <c r="K898" s="11" t="str">
        <f t="shared" ca="1" si="13"/>
        <v>5 Years</v>
      </c>
      <c r="L898" s="3" cm="1">
        <f t="array" ref="L898">_xlfn.SWITCH(Table13_24[[#This Row],[Performance Score]],"A",6,"B",5,"C",4,"D",3,"E",2,"F",1)</f>
        <v>1</v>
      </c>
    </row>
    <row r="899" spans="1:12" x14ac:dyDescent="0.3">
      <c r="A899" t="s">
        <v>25</v>
      </c>
      <c r="B899">
        <v>35</v>
      </c>
      <c r="C899" s="1">
        <v>70000</v>
      </c>
      <c r="D899" t="s">
        <v>34</v>
      </c>
      <c r="E899" t="s">
        <v>20</v>
      </c>
      <c r="F899" t="s">
        <v>21</v>
      </c>
      <c r="G899" s="11">
        <v>43477</v>
      </c>
      <c r="H899" t="s">
        <v>22</v>
      </c>
      <c r="I899" t="s">
        <v>39</v>
      </c>
      <c r="J899" t="s">
        <v>17</v>
      </c>
      <c r="K899" s="11" t="str">
        <f t="shared" ref="K899:K962" ca="1" si="14">DATEDIF(G899,TODAY(),"Y") &amp; " Years"</f>
        <v>6 Years</v>
      </c>
      <c r="L899" s="3" cm="1">
        <f t="array" ref="L899">_xlfn.SWITCH(Table13_24[[#This Row],[Performance Score]],"A",6,"B",5,"C",4,"D",3,"E",2,"F",1)</f>
        <v>1</v>
      </c>
    </row>
    <row r="900" spans="1:12" x14ac:dyDescent="0.3">
      <c r="A900" t="s">
        <v>43</v>
      </c>
      <c r="B900">
        <v>40</v>
      </c>
      <c r="C900" s="1">
        <v>55000</v>
      </c>
      <c r="D900" t="s">
        <v>12</v>
      </c>
      <c r="E900" t="s">
        <v>35</v>
      </c>
      <c r="F900" t="s">
        <v>41</v>
      </c>
      <c r="G900" s="11">
        <v>43881</v>
      </c>
      <c r="H900" t="s">
        <v>31</v>
      </c>
      <c r="I900" t="s">
        <v>39</v>
      </c>
      <c r="J900" t="s">
        <v>17</v>
      </c>
      <c r="K900" s="11" t="str">
        <f t="shared" ca="1" si="14"/>
        <v>5 Years</v>
      </c>
      <c r="L900" s="3" cm="1">
        <f t="array" ref="L900">_xlfn.SWITCH(Table13_24[[#This Row],[Performance Score]],"A",6,"B",5,"C",4,"D",3,"E",2,"F",1)</f>
        <v>6</v>
      </c>
    </row>
    <row r="901" spans="1:12" x14ac:dyDescent="0.3">
      <c r="A901" t="s">
        <v>11</v>
      </c>
      <c r="B901">
        <v>40</v>
      </c>
      <c r="C901" s="1">
        <v>65000</v>
      </c>
      <c r="D901" t="s">
        <v>19</v>
      </c>
      <c r="E901" t="s">
        <v>26</v>
      </c>
      <c r="F901" t="s">
        <v>21</v>
      </c>
      <c r="G901" s="11">
        <v>43477</v>
      </c>
      <c r="H901" t="s">
        <v>38</v>
      </c>
      <c r="I901" t="s">
        <v>16</v>
      </c>
      <c r="J901" t="s">
        <v>28</v>
      </c>
      <c r="K901" s="11" t="str">
        <f t="shared" ca="1" si="14"/>
        <v>6 Years</v>
      </c>
      <c r="L901" s="3" cm="1">
        <f t="array" ref="L901">_xlfn.SWITCH(Table13_24[[#This Row],[Performance Score]],"A",6,"B",5,"C",4,"D",3,"E",2,"F",1)</f>
        <v>5</v>
      </c>
    </row>
    <row r="902" spans="1:12" x14ac:dyDescent="0.3">
      <c r="A902" t="s">
        <v>36</v>
      </c>
      <c r="B902">
        <v>25</v>
      </c>
      <c r="C902" s="1">
        <v>55000</v>
      </c>
      <c r="D902" t="s">
        <v>34</v>
      </c>
      <c r="E902" t="s">
        <v>30</v>
      </c>
      <c r="F902" t="s">
        <v>14</v>
      </c>
      <c r="G902" s="11">
        <v>43549</v>
      </c>
      <c r="H902" t="s">
        <v>22</v>
      </c>
      <c r="I902" t="s">
        <v>16</v>
      </c>
      <c r="J902" t="s">
        <v>17</v>
      </c>
      <c r="K902" s="11" t="str">
        <f t="shared" ca="1" si="14"/>
        <v>6 Years</v>
      </c>
      <c r="L902" s="3" cm="1">
        <f t="array" ref="L902">_xlfn.SWITCH(Table13_24[[#This Row],[Performance Score]],"A",6,"B",5,"C",4,"D",3,"E",2,"F",1)</f>
        <v>1</v>
      </c>
    </row>
    <row r="903" spans="1:12" x14ac:dyDescent="0.3">
      <c r="A903" t="s">
        <v>45</v>
      </c>
      <c r="B903">
        <v>36</v>
      </c>
      <c r="C903" s="1">
        <v>60000</v>
      </c>
      <c r="D903" t="s">
        <v>12</v>
      </c>
      <c r="E903" t="s">
        <v>13</v>
      </c>
      <c r="F903" t="s">
        <v>41</v>
      </c>
      <c r="G903" s="11">
        <v>43477</v>
      </c>
      <c r="H903" t="s">
        <v>27</v>
      </c>
      <c r="I903" t="s">
        <v>23</v>
      </c>
      <c r="J903" t="s">
        <v>24</v>
      </c>
      <c r="K903" s="11" t="str">
        <f t="shared" ca="1" si="14"/>
        <v>6 Years</v>
      </c>
      <c r="L903" s="3" cm="1">
        <f t="array" ref="L903">_xlfn.SWITCH(Table13_24[[#This Row],[Performance Score]],"A",6,"B",5,"C",4,"D",3,"E",2,"F",1)</f>
        <v>4</v>
      </c>
    </row>
    <row r="904" spans="1:12" x14ac:dyDescent="0.3">
      <c r="A904" t="s">
        <v>29</v>
      </c>
      <c r="B904">
        <v>36</v>
      </c>
      <c r="C904" s="1">
        <v>50000</v>
      </c>
      <c r="D904" t="s">
        <v>12</v>
      </c>
      <c r="E904" t="s">
        <v>35</v>
      </c>
      <c r="F904" t="s">
        <v>14</v>
      </c>
      <c r="G904" s="11">
        <v>43549</v>
      </c>
      <c r="H904" t="s">
        <v>31</v>
      </c>
      <c r="I904" t="s">
        <v>39</v>
      </c>
      <c r="J904" t="s">
        <v>17</v>
      </c>
      <c r="K904" s="11" t="str">
        <f t="shared" ca="1" si="14"/>
        <v>6 Years</v>
      </c>
      <c r="L904" s="3" cm="1">
        <f t="array" ref="L904">_xlfn.SWITCH(Table13_24[[#This Row],[Performance Score]],"A",6,"B",5,"C",4,"D",3,"E",2,"F",1)</f>
        <v>6</v>
      </c>
    </row>
    <row r="905" spans="1:12" x14ac:dyDescent="0.3">
      <c r="A905" t="s">
        <v>44</v>
      </c>
      <c r="B905">
        <v>40</v>
      </c>
      <c r="C905" s="1">
        <v>49144.385026737968</v>
      </c>
      <c r="D905" t="s">
        <v>34</v>
      </c>
      <c r="E905" t="s">
        <v>35</v>
      </c>
      <c r="F905" t="s">
        <v>41</v>
      </c>
      <c r="G905" s="11">
        <v>43881</v>
      </c>
      <c r="H905" t="s">
        <v>15</v>
      </c>
      <c r="I905" t="s">
        <v>23</v>
      </c>
      <c r="J905" t="s">
        <v>24</v>
      </c>
      <c r="K905" s="11" t="str">
        <f t="shared" ca="1" si="14"/>
        <v>5 Years</v>
      </c>
      <c r="L905" s="3" cm="1">
        <f t="array" ref="L905">_xlfn.SWITCH(Table13_24[[#This Row],[Performance Score]],"A",6,"B",5,"C",4,"D",3,"E",2,"F",1)</f>
        <v>3</v>
      </c>
    </row>
    <row r="906" spans="1:12" x14ac:dyDescent="0.3">
      <c r="A906" t="s">
        <v>29</v>
      </c>
      <c r="B906">
        <v>35</v>
      </c>
      <c r="C906" s="1">
        <v>50000</v>
      </c>
      <c r="D906" t="s">
        <v>34</v>
      </c>
      <c r="E906" t="s">
        <v>20</v>
      </c>
      <c r="F906" t="s">
        <v>21</v>
      </c>
      <c r="G906" s="11">
        <v>43549</v>
      </c>
      <c r="H906" t="s">
        <v>38</v>
      </c>
      <c r="I906" t="s">
        <v>32</v>
      </c>
      <c r="J906" t="s">
        <v>17</v>
      </c>
      <c r="K906" s="11" t="str">
        <f t="shared" ca="1" si="14"/>
        <v>6 Years</v>
      </c>
      <c r="L906" s="3" cm="1">
        <f t="array" ref="L906">_xlfn.SWITCH(Table13_24[[#This Row],[Performance Score]],"A",6,"B",5,"C",4,"D",3,"E",2,"F",1)</f>
        <v>5</v>
      </c>
    </row>
    <row r="907" spans="1:12" x14ac:dyDescent="0.3">
      <c r="A907" t="s">
        <v>25</v>
      </c>
      <c r="B907">
        <v>30</v>
      </c>
      <c r="C907" s="1">
        <v>50000</v>
      </c>
      <c r="D907" t="s">
        <v>34</v>
      </c>
      <c r="E907" t="s">
        <v>26</v>
      </c>
      <c r="F907" t="s">
        <v>40</v>
      </c>
      <c r="G907" s="11">
        <v>43881</v>
      </c>
      <c r="H907" t="s">
        <v>31</v>
      </c>
      <c r="I907" t="s">
        <v>16</v>
      </c>
      <c r="J907" t="s">
        <v>17</v>
      </c>
      <c r="K907" s="11" t="str">
        <f t="shared" ca="1" si="14"/>
        <v>5 Years</v>
      </c>
      <c r="L907" s="3" cm="1">
        <f t="array" ref="L907">_xlfn.SWITCH(Table13_24[[#This Row],[Performance Score]],"A",6,"B",5,"C",4,"D",3,"E",2,"F",1)</f>
        <v>6</v>
      </c>
    </row>
    <row r="908" spans="1:12" x14ac:dyDescent="0.3">
      <c r="A908" t="s">
        <v>46</v>
      </c>
      <c r="B908">
        <v>35</v>
      </c>
      <c r="C908" s="1">
        <v>55000</v>
      </c>
      <c r="D908" t="s">
        <v>12</v>
      </c>
      <c r="E908" t="s">
        <v>20</v>
      </c>
      <c r="F908" t="s">
        <v>37</v>
      </c>
      <c r="G908" s="11">
        <v>43881</v>
      </c>
      <c r="H908" t="s">
        <v>22</v>
      </c>
      <c r="I908" t="s">
        <v>32</v>
      </c>
      <c r="J908" t="s">
        <v>17</v>
      </c>
      <c r="K908" s="11" t="str">
        <f t="shared" ca="1" si="14"/>
        <v>5 Years</v>
      </c>
      <c r="L908" s="3" cm="1">
        <f t="array" ref="L908">_xlfn.SWITCH(Table13_24[[#This Row],[Performance Score]],"A",6,"B",5,"C",4,"D",3,"E",2,"F",1)</f>
        <v>1</v>
      </c>
    </row>
    <row r="909" spans="1:12" x14ac:dyDescent="0.3">
      <c r="A909" t="s">
        <v>44</v>
      </c>
      <c r="B909">
        <v>50</v>
      </c>
      <c r="C909" s="1">
        <v>48417.431192660551</v>
      </c>
      <c r="D909" t="s">
        <v>34</v>
      </c>
      <c r="E909" t="s">
        <v>20</v>
      </c>
      <c r="F909" t="s">
        <v>14</v>
      </c>
      <c r="G909" s="11">
        <v>43195</v>
      </c>
      <c r="H909" t="s">
        <v>38</v>
      </c>
      <c r="I909" t="s">
        <v>39</v>
      </c>
      <c r="J909" t="s">
        <v>17</v>
      </c>
      <c r="K909" s="11" t="str">
        <f t="shared" ca="1" si="14"/>
        <v>7 Years</v>
      </c>
      <c r="L909" s="3" cm="1">
        <f t="array" ref="L909">_xlfn.SWITCH(Table13_24[[#This Row],[Performance Score]],"A",6,"B",5,"C",4,"D",3,"E",2,"F",1)</f>
        <v>5</v>
      </c>
    </row>
    <row r="910" spans="1:12" x14ac:dyDescent="0.3">
      <c r="A910" t="s">
        <v>36</v>
      </c>
      <c r="B910">
        <v>50</v>
      </c>
      <c r="C910" s="1">
        <v>50742.574257425746</v>
      </c>
      <c r="D910" t="s">
        <v>12</v>
      </c>
      <c r="E910" t="s">
        <v>26</v>
      </c>
      <c r="F910" t="s">
        <v>21</v>
      </c>
      <c r="G910" s="11">
        <v>43881</v>
      </c>
      <c r="H910" t="s">
        <v>27</v>
      </c>
      <c r="I910" t="s">
        <v>16</v>
      </c>
      <c r="J910" t="s">
        <v>28</v>
      </c>
      <c r="K910" s="11" t="str">
        <f t="shared" ca="1" si="14"/>
        <v>5 Years</v>
      </c>
      <c r="L910" s="3" cm="1">
        <f t="array" ref="L910">_xlfn.SWITCH(Table13_24[[#This Row],[Performance Score]],"A",6,"B",5,"C",4,"D",3,"E",2,"F",1)</f>
        <v>4</v>
      </c>
    </row>
    <row r="911" spans="1:12" x14ac:dyDescent="0.3">
      <c r="A911" t="s">
        <v>36</v>
      </c>
      <c r="B911">
        <v>30</v>
      </c>
      <c r="C911" s="1">
        <v>51825</v>
      </c>
      <c r="D911" t="s">
        <v>34</v>
      </c>
      <c r="E911" t="s">
        <v>13</v>
      </c>
      <c r="F911" t="s">
        <v>40</v>
      </c>
      <c r="G911" s="11">
        <v>43549</v>
      </c>
      <c r="H911" t="s">
        <v>38</v>
      </c>
      <c r="I911" t="s">
        <v>32</v>
      </c>
      <c r="J911" t="s">
        <v>17</v>
      </c>
      <c r="K911" s="11" t="str">
        <f t="shared" ca="1" si="14"/>
        <v>6 Years</v>
      </c>
      <c r="L911" s="3" cm="1">
        <f t="array" ref="L911">_xlfn.SWITCH(Table13_24[[#This Row],[Performance Score]],"A",6,"B",5,"C",4,"D",3,"E",2,"F",1)</f>
        <v>5</v>
      </c>
    </row>
    <row r="912" spans="1:12" x14ac:dyDescent="0.3">
      <c r="A912" t="s">
        <v>45</v>
      </c>
      <c r="B912">
        <v>40</v>
      </c>
      <c r="C912" s="1">
        <v>55000</v>
      </c>
      <c r="D912" t="s">
        <v>12</v>
      </c>
      <c r="E912" t="s">
        <v>20</v>
      </c>
      <c r="F912" t="s">
        <v>21</v>
      </c>
      <c r="G912" s="11">
        <v>43195</v>
      </c>
      <c r="H912" t="s">
        <v>38</v>
      </c>
      <c r="I912" t="s">
        <v>39</v>
      </c>
      <c r="J912" t="s">
        <v>24</v>
      </c>
      <c r="K912" s="11" t="str">
        <f t="shared" ca="1" si="14"/>
        <v>7 Years</v>
      </c>
      <c r="L912" s="3" cm="1">
        <f t="array" ref="L912">_xlfn.SWITCH(Table13_24[[#This Row],[Performance Score]],"A",6,"B",5,"C",4,"D",3,"E",2,"F",1)</f>
        <v>5</v>
      </c>
    </row>
    <row r="913" spans="1:12" x14ac:dyDescent="0.3">
      <c r="A913" t="s">
        <v>25</v>
      </c>
      <c r="B913">
        <v>30</v>
      </c>
      <c r="C913" s="1">
        <v>50000</v>
      </c>
      <c r="D913" t="s">
        <v>12</v>
      </c>
      <c r="E913" t="s">
        <v>20</v>
      </c>
      <c r="F913" t="s">
        <v>14</v>
      </c>
      <c r="G913" s="11">
        <v>43195</v>
      </c>
      <c r="H913" t="s">
        <v>27</v>
      </c>
      <c r="I913" t="s">
        <v>32</v>
      </c>
      <c r="J913" t="s">
        <v>24</v>
      </c>
      <c r="K913" s="11" t="str">
        <f t="shared" ca="1" si="14"/>
        <v>7 Years</v>
      </c>
      <c r="L913" s="3" cm="1">
        <f t="array" ref="L913">_xlfn.SWITCH(Table13_24[[#This Row],[Performance Score]],"A",6,"B",5,"C",4,"D",3,"E",2,"F",1)</f>
        <v>4</v>
      </c>
    </row>
    <row r="914" spans="1:12" x14ac:dyDescent="0.3">
      <c r="A914" t="s">
        <v>43</v>
      </c>
      <c r="B914">
        <v>36</v>
      </c>
      <c r="C914" s="1">
        <v>55000</v>
      </c>
      <c r="D914" t="s">
        <v>19</v>
      </c>
      <c r="E914" t="s">
        <v>35</v>
      </c>
      <c r="F914" t="s">
        <v>37</v>
      </c>
      <c r="G914" s="11">
        <v>43881</v>
      </c>
      <c r="H914" t="s">
        <v>27</v>
      </c>
      <c r="I914" t="s">
        <v>39</v>
      </c>
      <c r="J914" t="s">
        <v>17</v>
      </c>
      <c r="K914" s="11" t="str">
        <f t="shared" ca="1" si="14"/>
        <v>5 Years</v>
      </c>
      <c r="L914" s="3" cm="1">
        <f t="array" ref="L914">_xlfn.SWITCH(Table13_24[[#This Row],[Performance Score]],"A",6,"B",5,"C",4,"D",3,"E",2,"F",1)</f>
        <v>4</v>
      </c>
    </row>
    <row r="915" spans="1:12" x14ac:dyDescent="0.3">
      <c r="A915" t="s">
        <v>25</v>
      </c>
      <c r="B915">
        <v>50</v>
      </c>
      <c r="C915" s="1">
        <v>70000</v>
      </c>
      <c r="D915" t="s">
        <v>34</v>
      </c>
      <c r="E915" t="s">
        <v>26</v>
      </c>
      <c r="F915" t="s">
        <v>21</v>
      </c>
      <c r="G915" s="11">
        <v>43477</v>
      </c>
      <c r="H915" t="s">
        <v>38</v>
      </c>
      <c r="I915" t="s">
        <v>39</v>
      </c>
      <c r="J915" t="s">
        <v>28</v>
      </c>
      <c r="K915" s="11" t="str">
        <f t="shared" ca="1" si="14"/>
        <v>6 Years</v>
      </c>
      <c r="L915" s="3" cm="1">
        <f t="array" ref="L915">_xlfn.SWITCH(Table13_24[[#This Row],[Performance Score]],"A",6,"B",5,"C",4,"D",3,"E",2,"F",1)</f>
        <v>5</v>
      </c>
    </row>
    <row r="916" spans="1:12" x14ac:dyDescent="0.3">
      <c r="A916" t="s">
        <v>46</v>
      </c>
      <c r="B916">
        <v>25</v>
      </c>
      <c r="C916" s="1">
        <v>70000</v>
      </c>
      <c r="D916" t="s">
        <v>34</v>
      </c>
      <c r="E916" t="s">
        <v>30</v>
      </c>
      <c r="F916" t="s">
        <v>41</v>
      </c>
      <c r="G916" s="11">
        <v>43477</v>
      </c>
      <c r="H916" t="s">
        <v>27</v>
      </c>
      <c r="I916" t="s">
        <v>16</v>
      </c>
      <c r="J916" t="s">
        <v>28</v>
      </c>
      <c r="K916" s="11" t="str">
        <f t="shared" ca="1" si="14"/>
        <v>6 Years</v>
      </c>
      <c r="L916" s="3" cm="1">
        <f t="array" ref="L916">_xlfn.SWITCH(Table13_24[[#This Row],[Performance Score]],"A",6,"B",5,"C",4,"D",3,"E",2,"F",1)</f>
        <v>4</v>
      </c>
    </row>
    <row r="917" spans="1:12" x14ac:dyDescent="0.3">
      <c r="A917" t="s">
        <v>29</v>
      </c>
      <c r="B917">
        <v>25</v>
      </c>
      <c r="C917" s="1">
        <v>55000</v>
      </c>
      <c r="D917" t="s">
        <v>12</v>
      </c>
      <c r="E917" t="s">
        <v>13</v>
      </c>
      <c r="F917" t="s">
        <v>40</v>
      </c>
      <c r="G917" s="11">
        <v>43195</v>
      </c>
      <c r="H917" t="s">
        <v>31</v>
      </c>
      <c r="I917" t="s">
        <v>23</v>
      </c>
      <c r="J917" t="s">
        <v>28</v>
      </c>
      <c r="K917" s="11" t="str">
        <f t="shared" ca="1" si="14"/>
        <v>7 Years</v>
      </c>
      <c r="L917" s="3" cm="1">
        <f t="array" ref="L917">_xlfn.SWITCH(Table13_24[[#This Row],[Performance Score]],"A",6,"B",5,"C",4,"D",3,"E",2,"F",1)</f>
        <v>6</v>
      </c>
    </row>
    <row r="918" spans="1:12" x14ac:dyDescent="0.3">
      <c r="A918" t="s">
        <v>36</v>
      </c>
      <c r="B918">
        <v>40</v>
      </c>
      <c r="C918" s="1">
        <v>51825</v>
      </c>
      <c r="D918" t="s">
        <v>12</v>
      </c>
      <c r="E918" t="s">
        <v>13</v>
      </c>
      <c r="F918" t="s">
        <v>21</v>
      </c>
      <c r="G918" s="11">
        <v>43881</v>
      </c>
      <c r="H918" t="s">
        <v>27</v>
      </c>
      <c r="I918" t="s">
        <v>39</v>
      </c>
      <c r="J918" t="s">
        <v>24</v>
      </c>
      <c r="K918" s="11" t="str">
        <f t="shared" ca="1" si="14"/>
        <v>5 Years</v>
      </c>
      <c r="L918" s="3" cm="1">
        <f t="array" ref="L918">_xlfn.SWITCH(Table13_24[[#This Row],[Performance Score]],"A",6,"B",5,"C",4,"D",3,"E",2,"F",1)</f>
        <v>4</v>
      </c>
    </row>
    <row r="919" spans="1:12" x14ac:dyDescent="0.3">
      <c r="A919" t="s">
        <v>29</v>
      </c>
      <c r="B919">
        <v>36</v>
      </c>
      <c r="C919" s="1">
        <v>50000</v>
      </c>
      <c r="D919" t="s">
        <v>12</v>
      </c>
      <c r="E919" t="s">
        <v>26</v>
      </c>
      <c r="F919" t="s">
        <v>40</v>
      </c>
      <c r="G919" s="11">
        <v>43477</v>
      </c>
      <c r="H919" t="s">
        <v>27</v>
      </c>
      <c r="I919" t="s">
        <v>39</v>
      </c>
      <c r="J919" t="s">
        <v>17</v>
      </c>
      <c r="K919" s="11" t="str">
        <f t="shared" ca="1" si="14"/>
        <v>6 Years</v>
      </c>
      <c r="L919" s="3" cm="1">
        <f t="array" ref="L919">_xlfn.SWITCH(Table13_24[[#This Row],[Performance Score]],"A",6,"B",5,"C",4,"D",3,"E",2,"F",1)</f>
        <v>4</v>
      </c>
    </row>
    <row r="920" spans="1:12" x14ac:dyDescent="0.3">
      <c r="A920" t="s">
        <v>29</v>
      </c>
      <c r="B920">
        <v>35</v>
      </c>
      <c r="C920" s="1">
        <v>55000</v>
      </c>
      <c r="D920" t="s">
        <v>19</v>
      </c>
      <c r="E920" t="s">
        <v>35</v>
      </c>
      <c r="F920" t="s">
        <v>41</v>
      </c>
      <c r="G920" s="11">
        <v>43881</v>
      </c>
      <c r="H920" t="s">
        <v>38</v>
      </c>
      <c r="I920" t="s">
        <v>16</v>
      </c>
      <c r="J920" t="s">
        <v>28</v>
      </c>
      <c r="K920" s="11" t="str">
        <f t="shared" ca="1" si="14"/>
        <v>5 Years</v>
      </c>
      <c r="L920" s="3" cm="1">
        <f t="array" ref="L920">_xlfn.SWITCH(Table13_24[[#This Row],[Performance Score]],"A",6,"B",5,"C",4,"D",3,"E",2,"F",1)</f>
        <v>5</v>
      </c>
    </row>
    <row r="921" spans="1:12" x14ac:dyDescent="0.3">
      <c r="A921" t="s">
        <v>29</v>
      </c>
      <c r="B921">
        <v>36</v>
      </c>
      <c r="C921" s="1">
        <v>55000</v>
      </c>
      <c r="D921" t="s">
        <v>19</v>
      </c>
      <c r="E921" t="s">
        <v>35</v>
      </c>
      <c r="F921" t="s">
        <v>37</v>
      </c>
      <c r="G921" s="11">
        <v>43881</v>
      </c>
      <c r="H921" t="s">
        <v>31</v>
      </c>
      <c r="I921" t="s">
        <v>23</v>
      </c>
      <c r="J921" t="s">
        <v>24</v>
      </c>
      <c r="K921" s="11" t="str">
        <f t="shared" ca="1" si="14"/>
        <v>5 Years</v>
      </c>
      <c r="L921" s="3" cm="1">
        <f t="array" ref="L921">_xlfn.SWITCH(Table13_24[[#This Row],[Performance Score]],"A",6,"B",5,"C",4,"D",3,"E",2,"F",1)</f>
        <v>6</v>
      </c>
    </row>
    <row r="922" spans="1:12" x14ac:dyDescent="0.3">
      <c r="A922" t="s">
        <v>36</v>
      </c>
      <c r="B922">
        <v>25</v>
      </c>
      <c r="C922" s="1">
        <v>55000</v>
      </c>
      <c r="D922" t="s">
        <v>12</v>
      </c>
      <c r="E922" t="s">
        <v>26</v>
      </c>
      <c r="F922" t="s">
        <v>37</v>
      </c>
      <c r="G922" s="11">
        <v>43195</v>
      </c>
      <c r="H922" t="s">
        <v>15</v>
      </c>
      <c r="I922" t="s">
        <v>39</v>
      </c>
      <c r="J922" t="s">
        <v>24</v>
      </c>
      <c r="K922" s="11" t="str">
        <f t="shared" ca="1" si="14"/>
        <v>7 Years</v>
      </c>
      <c r="L922" s="3" cm="1">
        <f t="array" ref="L922">_xlfn.SWITCH(Table13_24[[#This Row],[Performance Score]],"A",6,"B",5,"C",4,"D",3,"E",2,"F",1)</f>
        <v>3</v>
      </c>
    </row>
    <row r="923" spans="1:12" x14ac:dyDescent="0.3">
      <c r="A923" t="s">
        <v>33</v>
      </c>
      <c r="B923">
        <v>25</v>
      </c>
      <c r="C923" s="1">
        <v>60000</v>
      </c>
      <c r="D923" t="s">
        <v>34</v>
      </c>
      <c r="E923" t="s">
        <v>35</v>
      </c>
      <c r="F923" t="s">
        <v>41</v>
      </c>
      <c r="G923" s="11">
        <v>43195</v>
      </c>
      <c r="H923" t="s">
        <v>15</v>
      </c>
      <c r="I923" t="s">
        <v>39</v>
      </c>
      <c r="J923" t="s">
        <v>17</v>
      </c>
      <c r="K923" s="11" t="str">
        <f t="shared" ca="1" si="14"/>
        <v>7 Years</v>
      </c>
      <c r="L923" s="3" cm="1">
        <f t="array" ref="L923">_xlfn.SWITCH(Table13_24[[#This Row],[Performance Score]],"A",6,"B",5,"C",4,"D",3,"E",2,"F",1)</f>
        <v>3</v>
      </c>
    </row>
    <row r="924" spans="1:12" x14ac:dyDescent="0.3">
      <c r="A924" t="s">
        <v>18</v>
      </c>
      <c r="B924">
        <v>50</v>
      </c>
      <c r="C924" s="1">
        <v>70000</v>
      </c>
      <c r="D924" t="s">
        <v>34</v>
      </c>
      <c r="E924" t="s">
        <v>13</v>
      </c>
      <c r="F924" t="s">
        <v>40</v>
      </c>
      <c r="G924" s="11">
        <v>43845</v>
      </c>
      <c r="H924" t="s">
        <v>22</v>
      </c>
      <c r="I924" t="s">
        <v>23</v>
      </c>
      <c r="J924" t="s">
        <v>17</v>
      </c>
      <c r="K924" s="11" t="str">
        <f t="shared" ca="1" si="14"/>
        <v>5 Years</v>
      </c>
      <c r="L924" s="3" cm="1">
        <f t="array" ref="L924">_xlfn.SWITCH(Table13_24[[#This Row],[Performance Score]],"A",6,"B",5,"C",4,"D",3,"E",2,"F",1)</f>
        <v>1</v>
      </c>
    </row>
    <row r="925" spans="1:12" x14ac:dyDescent="0.3">
      <c r="A925" t="s">
        <v>46</v>
      </c>
      <c r="B925">
        <v>36</v>
      </c>
      <c r="C925" s="1">
        <v>51825</v>
      </c>
      <c r="D925" t="s">
        <v>19</v>
      </c>
      <c r="E925" t="s">
        <v>13</v>
      </c>
      <c r="F925" t="s">
        <v>21</v>
      </c>
      <c r="G925" s="11">
        <v>43477</v>
      </c>
      <c r="H925" t="s">
        <v>27</v>
      </c>
      <c r="I925" t="s">
        <v>32</v>
      </c>
      <c r="J925" t="s">
        <v>17</v>
      </c>
      <c r="K925" s="11" t="str">
        <f t="shared" ca="1" si="14"/>
        <v>6 Years</v>
      </c>
      <c r="L925" s="3" cm="1">
        <f t="array" ref="L925">_xlfn.SWITCH(Table13_24[[#This Row],[Performance Score]],"A",6,"B",5,"C",4,"D",3,"E",2,"F",1)</f>
        <v>4</v>
      </c>
    </row>
    <row r="926" spans="1:12" x14ac:dyDescent="0.3">
      <c r="A926" t="s">
        <v>33</v>
      </c>
      <c r="B926">
        <v>36</v>
      </c>
      <c r="C926" s="1">
        <v>65000</v>
      </c>
      <c r="D926" t="s">
        <v>19</v>
      </c>
      <c r="E926" t="s">
        <v>30</v>
      </c>
      <c r="F926" t="s">
        <v>41</v>
      </c>
      <c r="G926" s="11">
        <v>43477</v>
      </c>
      <c r="H926" t="s">
        <v>27</v>
      </c>
      <c r="I926" t="s">
        <v>16</v>
      </c>
      <c r="J926" t="s">
        <v>28</v>
      </c>
      <c r="K926" s="11" t="str">
        <f t="shared" ca="1" si="14"/>
        <v>6 Years</v>
      </c>
      <c r="L926" s="3" cm="1">
        <f t="array" ref="L926">_xlfn.SWITCH(Table13_24[[#This Row],[Performance Score]],"A",6,"B",5,"C",4,"D",3,"E",2,"F",1)</f>
        <v>4</v>
      </c>
    </row>
    <row r="927" spans="1:12" x14ac:dyDescent="0.3">
      <c r="A927" t="s">
        <v>46</v>
      </c>
      <c r="B927">
        <v>25</v>
      </c>
      <c r="C927" s="1">
        <v>50742.574257425746</v>
      </c>
      <c r="D927" t="s">
        <v>12</v>
      </c>
      <c r="E927" t="s">
        <v>26</v>
      </c>
      <c r="F927" t="s">
        <v>14</v>
      </c>
      <c r="G927" s="11">
        <v>43477</v>
      </c>
      <c r="H927" t="s">
        <v>31</v>
      </c>
      <c r="I927" t="s">
        <v>23</v>
      </c>
      <c r="J927" t="s">
        <v>28</v>
      </c>
      <c r="K927" s="11" t="str">
        <f t="shared" ca="1" si="14"/>
        <v>6 Years</v>
      </c>
      <c r="L927" s="3" cm="1">
        <f t="array" ref="L927">_xlfn.SWITCH(Table13_24[[#This Row],[Performance Score]],"A",6,"B",5,"C",4,"D",3,"E",2,"F",1)</f>
        <v>6</v>
      </c>
    </row>
    <row r="928" spans="1:12" x14ac:dyDescent="0.3">
      <c r="A928" t="s">
        <v>44</v>
      </c>
      <c r="B928">
        <v>35</v>
      </c>
      <c r="C928" s="1">
        <v>65000</v>
      </c>
      <c r="D928" t="s">
        <v>34</v>
      </c>
      <c r="E928" t="s">
        <v>20</v>
      </c>
      <c r="F928" t="s">
        <v>40</v>
      </c>
      <c r="G928" s="11">
        <v>43549</v>
      </c>
      <c r="H928" t="s">
        <v>15</v>
      </c>
      <c r="I928" t="s">
        <v>39</v>
      </c>
      <c r="J928" t="s">
        <v>17</v>
      </c>
      <c r="K928" s="11" t="str">
        <f t="shared" ca="1" si="14"/>
        <v>6 Years</v>
      </c>
      <c r="L928" s="3" cm="1">
        <f t="array" ref="L928">_xlfn.SWITCH(Table13_24[[#This Row],[Performance Score]],"A",6,"B",5,"C",4,"D",3,"E",2,"F",1)</f>
        <v>3</v>
      </c>
    </row>
    <row r="929" spans="1:12" x14ac:dyDescent="0.3">
      <c r="A929" t="s">
        <v>25</v>
      </c>
      <c r="B929">
        <v>40</v>
      </c>
      <c r="C929" s="1">
        <v>60000</v>
      </c>
      <c r="D929" t="s">
        <v>12</v>
      </c>
      <c r="E929" t="s">
        <v>20</v>
      </c>
      <c r="F929" t="s">
        <v>37</v>
      </c>
      <c r="G929" s="11">
        <v>43881</v>
      </c>
      <c r="H929" t="s">
        <v>22</v>
      </c>
      <c r="I929" t="s">
        <v>39</v>
      </c>
      <c r="J929" t="s">
        <v>28</v>
      </c>
      <c r="K929" s="11" t="str">
        <f t="shared" ca="1" si="14"/>
        <v>5 Years</v>
      </c>
      <c r="L929" s="3" cm="1">
        <f t="array" ref="L929">_xlfn.SWITCH(Table13_24[[#This Row],[Performance Score]],"A",6,"B",5,"C",4,"D",3,"E",2,"F",1)</f>
        <v>1</v>
      </c>
    </row>
    <row r="930" spans="1:12" x14ac:dyDescent="0.3">
      <c r="A930" t="s">
        <v>25</v>
      </c>
      <c r="B930">
        <v>40</v>
      </c>
      <c r="C930" s="1">
        <v>55000</v>
      </c>
      <c r="D930" t="s">
        <v>19</v>
      </c>
      <c r="E930" t="s">
        <v>30</v>
      </c>
      <c r="F930" t="s">
        <v>41</v>
      </c>
      <c r="G930" s="11">
        <v>43195</v>
      </c>
      <c r="H930" t="s">
        <v>31</v>
      </c>
      <c r="I930" t="s">
        <v>39</v>
      </c>
      <c r="J930" t="s">
        <v>17</v>
      </c>
      <c r="K930" s="11" t="str">
        <f t="shared" ca="1" si="14"/>
        <v>7 Years</v>
      </c>
      <c r="L930" s="3" cm="1">
        <f t="array" ref="L930">_xlfn.SWITCH(Table13_24[[#This Row],[Performance Score]],"A",6,"B",5,"C",4,"D",3,"E",2,"F",1)</f>
        <v>6</v>
      </c>
    </row>
    <row r="931" spans="1:12" x14ac:dyDescent="0.3">
      <c r="A931" t="s">
        <v>11</v>
      </c>
      <c r="B931">
        <v>36</v>
      </c>
      <c r="C931" s="1">
        <v>60000</v>
      </c>
      <c r="D931" t="s">
        <v>34</v>
      </c>
      <c r="E931" t="s">
        <v>30</v>
      </c>
      <c r="F931" t="s">
        <v>37</v>
      </c>
      <c r="G931" s="11">
        <v>43477</v>
      </c>
      <c r="H931" t="s">
        <v>27</v>
      </c>
      <c r="I931" t="s">
        <v>39</v>
      </c>
      <c r="J931" t="s">
        <v>24</v>
      </c>
      <c r="K931" s="11" t="str">
        <f t="shared" ca="1" si="14"/>
        <v>6 Years</v>
      </c>
      <c r="L931" s="3" cm="1">
        <f t="array" ref="L931">_xlfn.SWITCH(Table13_24[[#This Row],[Performance Score]],"A",6,"B",5,"C",4,"D",3,"E",2,"F",1)</f>
        <v>4</v>
      </c>
    </row>
    <row r="932" spans="1:12" x14ac:dyDescent="0.3">
      <c r="A932" t="s">
        <v>25</v>
      </c>
      <c r="B932">
        <v>40</v>
      </c>
      <c r="C932" s="1">
        <v>60000</v>
      </c>
      <c r="D932" t="s">
        <v>34</v>
      </c>
      <c r="E932" t="s">
        <v>35</v>
      </c>
      <c r="F932" t="s">
        <v>40</v>
      </c>
      <c r="G932" s="11">
        <v>43845</v>
      </c>
      <c r="H932" t="s">
        <v>15</v>
      </c>
      <c r="I932" t="s">
        <v>16</v>
      </c>
      <c r="J932" t="s">
        <v>28</v>
      </c>
      <c r="K932" s="11" t="str">
        <f t="shared" ca="1" si="14"/>
        <v>5 Years</v>
      </c>
      <c r="L932" s="3" cm="1">
        <f t="array" ref="L932">_xlfn.SWITCH(Table13_24[[#This Row],[Performance Score]],"A",6,"B",5,"C",4,"D",3,"E",2,"F",1)</f>
        <v>3</v>
      </c>
    </row>
    <row r="933" spans="1:12" x14ac:dyDescent="0.3">
      <c r="A933" t="s">
        <v>36</v>
      </c>
      <c r="B933">
        <v>25</v>
      </c>
      <c r="C933" s="1">
        <v>50000</v>
      </c>
      <c r="D933" t="s">
        <v>19</v>
      </c>
      <c r="E933" t="s">
        <v>30</v>
      </c>
      <c r="F933" t="s">
        <v>37</v>
      </c>
      <c r="G933" s="11">
        <v>43477</v>
      </c>
      <c r="H933" t="s">
        <v>22</v>
      </c>
      <c r="I933" t="s">
        <v>39</v>
      </c>
      <c r="J933" t="s">
        <v>24</v>
      </c>
      <c r="K933" s="11" t="str">
        <f t="shared" ca="1" si="14"/>
        <v>6 Years</v>
      </c>
      <c r="L933" s="3" cm="1">
        <f t="array" ref="L933">_xlfn.SWITCH(Table13_24[[#This Row],[Performance Score]],"A",6,"B",5,"C",4,"D",3,"E",2,"F",1)</f>
        <v>1</v>
      </c>
    </row>
    <row r="934" spans="1:12" x14ac:dyDescent="0.3">
      <c r="A934" t="s">
        <v>43</v>
      </c>
      <c r="B934">
        <v>25</v>
      </c>
      <c r="C934" s="1">
        <v>70000</v>
      </c>
      <c r="D934" t="s">
        <v>12</v>
      </c>
      <c r="E934" t="s">
        <v>30</v>
      </c>
      <c r="F934" t="s">
        <v>41</v>
      </c>
      <c r="G934" s="11">
        <v>43881</v>
      </c>
      <c r="H934" t="s">
        <v>38</v>
      </c>
      <c r="I934" t="s">
        <v>23</v>
      </c>
      <c r="J934" t="s">
        <v>42</v>
      </c>
      <c r="K934" s="11" t="str">
        <f t="shared" ca="1" si="14"/>
        <v>5 Years</v>
      </c>
      <c r="L934" s="3" cm="1">
        <f t="array" ref="L934">_xlfn.SWITCH(Table13_24[[#This Row],[Performance Score]],"A",6,"B",5,"C",4,"D",3,"E",2,"F",1)</f>
        <v>5</v>
      </c>
    </row>
    <row r="935" spans="1:12" x14ac:dyDescent="0.3">
      <c r="A935" t="s">
        <v>45</v>
      </c>
      <c r="B935">
        <v>36</v>
      </c>
      <c r="C935" s="1">
        <v>65000</v>
      </c>
      <c r="D935" t="s">
        <v>12</v>
      </c>
      <c r="E935" t="s">
        <v>20</v>
      </c>
      <c r="F935" t="s">
        <v>40</v>
      </c>
      <c r="G935" s="11">
        <v>43881</v>
      </c>
      <c r="H935" t="s">
        <v>15</v>
      </c>
      <c r="I935" t="s">
        <v>39</v>
      </c>
      <c r="J935" t="s">
        <v>17</v>
      </c>
      <c r="K935" s="11" t="str">
        <f t="shared" ca="1" si="14"/>
        <v>5 Years</v>
      </c>
      <c r="L935" s="3" cm="1">
        <f t="array" ref="L935">_xlfn.SWITCH(Table13_24[[#This Row],[Performance Score]],"A",6,"B",5,"C",4,"D",3,"E",2,"F",1)</f>
        <v>3</v>
      </c>
    </row>
    <row r="936" spans="1:12" x14ac:dyDescent="0.3">
      <c r="A936" t="s">
        <v>11</v>
      </c>
      <c r="B936">
        <v>36</v>
      </c>
      <c r="C936" s="1">
        <v>55000</v>
      </c>
      <c r="D936" t="s">
        <v>34</v>
      </c>
      <c r="E936" t="s">
        <v>35</v>
      </c>
      <c r="F936" t="s">
        <v>14</v>
      </c>
      <c r="G936" s="11">
        <v>43195</v>
      </c>
      <c r="H936" t="s">
        <v>22</v>
      </c>
      <c r="I936" t="s">
        <v>32</v>
      </c>
      <c r="J936" t="s">
        <v>42</v>
      </c>
      <c r="K936" s="11" t="str">
        <f t="shared" ca="1" si="14"/>
        <v>7 Years</v>
      </c>
      <c r="L936" s="3" cm="1">
        <f t="array" ref="L936">_xlfn.SWITCH(Table13_24[[#This Row],[Performance Score]],"A",6,"B",5,"C",4,"D",3,"E",2,"F",1)</f>
        <v>1</v>
      </c>
    </row>
    <row r="937" spans="1:12" x14ac:dyDescent="0.3">
      <c r="A937" t="s">
        <v>45</v>
      </c>
      <c r="B937">
        <v>50</v>
      </c>
      <c r="C937" s="1">
        <v>65000</v>
      </c>
      <c r="D937" t="s">
        <v>19</v>
      </c>
      <c r="E937" t="s">
        <v>30</v>
      </c>
      <c r="F937" t="s">
        <v>41</v>
      </c>
      <c r="G937" s="11">
        <v>43549</v>
      </c>
      <c r="H937" t="s">
        <v>31</v>
      </c>
      <c r="I937" t="s">
        <v>23</v>
      </c>
      <c r="J937" t="s">
        <v>28</v>
      </c>
      <c r="K937" s="11" t="str">
        <f t="shared" ca="1" si="14"/>
        <v>6 Years</v>
      </c>
      <c r="L937" s="3" cm="1">
        <f t="array" ref="L937">_xlfn.SWITCH(Table13_24[[#This Row],[Performance Score]],"A",6,"B",5,"C",4,"D",3,"E",2,"F",1)</f>
        <v>6</v>
      </c>
    </row>
    <row r="938" spans="1:12" x14ac:dyDescent="0.3">
      <c r="A938" t="s">
        <v>46</v>
      </c>
      <c r="B938">
        <v>36</v>
      </c>
      <c r="C938" s="1">
        <v>50777.202072538857</v>
      </c>
      <c r="D938" t="s">
        <v>34</v>
      </c>
      <c r="E938" t="s">
        <v>30</v>
      </c>
      <c r="F938" t="s">
        <v>21</v>
      </c>
      <c r="G938" s="11">
        <v>43195</v>
      </c>
      <c r="H938" t="s">
        <v>38</v>
      </c>
      <c r="I938" t="s">
        <v>16</v>
      </c>
      <c r="J938" t="s">
        <v>24</v>
      </c>
      <c r="K938" s="11" t="str">
        <f t="shared" ca="1" si="14"/>
        <v>7 Years</v>
      </c>
      <c r="L938" s="3" cm="1">
        <f t="array" ref="L938">_xlfn.SWITCH(Table13_24[[#This Row],[Performance Score]],"A",6,"B",5,"C",4,"D",3,"E",2,"F",1)</f>
        <v>5</v>
      </c>
    </row>
    <row r="939" spans="1:12" x14ac:dyDescent="0.3">
      <c r="A939" t="s">
        <v>45</v>
      </c>
      <c r="B939">
        <v>35</v>
      </c>
      <c r="C939" s="1">
        <v>65000</v>
      </c>
      <c r="D939" t="s">
        <v>19</v>
      </c>
      <c r="E939" t="s">
        <v>35</v>
      </c>
      <c r="F939" t="s">
        <v>41</v>
      </c>
      <c r="G939" s="11">
        <v>43477</v>
      </c>
      <c r="H939" t="s">
        <v>22</v>
      </c>
      <c r="I939" t="s">
        <v>23</v>
      </c>
      <c r="J939" t="s">
        <v>28</v>
      </c>
      <c r="K939" s="11" t="str">
        <f t="shared" ca="1" si="14"/>
        <v>6 Years</v>
      </c>
      <c r="L939" s="3" cm="1">
        <f t="array" ref="L939">_xlfn.SWITCH(Table13_24[[#This Row],[Performance Score]],"A",6,"B",5,"C",4,"D",3,"E",2,"F",1)</f>
        <v>1</v>
      </c>
    </row>
    <row r="940" spans="1:12" x14ac:dyDescent="0.3">
      <c r="A940" t="s">
        <v>45</v>
      </c>
      <c r="B940">
        <v>40</v>
      </c>
      <c r="C940" s="1">
        <v>50742.574257425746</v>
      </c>
      <c r="D940" t="s">
        <v>12</v>
      </c>
      <c r="E940" t="s">
        <v>26</v>
      </c>
      <c r="F940" t="s">
        <v>40</v>
      </c>
      <c r="G940" s="11">
        <v>43845</v>
      </c>
      <c r="H940" t="s">
        <v>22</v>
      </c>
      <c r="I940" t="s">
        <v>32</v>
      </c>
      <c r="J940" t="s">
        <v>42</v>
      </c>
      <c r="K940" s="11" t="str">
        <f t="shared" ca="1" si="14"/>
        <v>5 Years</v>
      </c>
      <c r="L940" s="3" cm="1">
        <f t="array" ref="L940">_xlfn.SWITCH(Table13_24[[#This Row],[Performance Score]],"A",6,"B",5,"C",4,"D",3,"E",2,"F",1)</f>
        <v>1</v>
      </c>
    </row>
    <row r="941" spans="1:12" x14ac:dyDescent="0.3">
      <c r="A941" t="s">
        <v>11</v>
      </c>
      <c r="B941">
        <v>36</v>
      </c>
      <c r="C941" s="1">
        <v>70000</v>
      </c>
      <c r="D941" t="s">
        <v>19</v>
      </c>
      <c r="E941" t="s">
        <v>35</v>
      </c>
      <c r="F941" t="s">
        <v>41</v>
      </c>
      <c r="G941" s="11">
        <v>43195</v>
      </c>
      <c r="H941" t="s">
        <v>27</v>
      </c>
      <c r="I941" t="s">
        <v>16</v>
      </c>
      <c r="J941" t="s">
        <v>28</v>
      </c>
      <c r="K941" s="11" t="str">
        <f t="shared" ca="1" si="14"/>
        <v>7 Years</v>
      </c>
      <c r="L941" s="3" cm="1">
        <f t="array" ref="L941">_xlfn.SWITCH(Table13_24[[#This Row],[Performance Score]],"A",6,"B",5,"C",4,"D",3,"E",2,"F",1)</f>
        <v>4</v>
      </c>
    </row>
    <row r="942" spans="1:12" x14ac:dyDescent="0.3">
      <c r="A942" t="s">
        <v>44</v>
      </c>
      <c r="B942">
        <v>30</v>
      </c>
      <c r="C942" s="1">
        <v>48417.431192660551</v>
      </c>
      <c r="D942" t="s">
        <v>12</v>
      </c>
      <c r="E942" t="s">
        <v>20</v>
      </c>
      <c r="F942" t="s">
        <v>14</v>
      </c>
      <c r="G942" s="11">
        <v>43549</v>
      </c>
      <c r="H942" t="s">
        <v>15</v>
      </c>
      <c r="I942" t="s">
        <v>39</v>
      </c>
      <c r="J942" t="s">
        <v>17</v>
      </c>
      <c r="K942" s="11" t="str">
        <f t="shared" ca="1" si="14"/>
        <v>6 Years</v>
      </c>
      <c r="L942" s="3" cm="1">
        <f t="array" ref="L942">_xlfn.SWITCH(Table13_24[[#This Row],[Performance Score]],"A",6,"B",5,"C",4,"D",3,"E",2,"F",1)</f>
        <v>3</v>
      </c>
    </row>
    <row r="943" spans="1:12" x14ac:dyDescent="0.3">
      <c r="A943" t="s">
        <v>29</v>
      </c>
      <c r="B943">
        <v>50</v>
      </c>
      <c r="C943" s="1">
        <v>65000</v>
      </c>
      <c r="D943" t="s">
        <v>19</v>
      </c>
      <c r="E943" t="s">
        <v>26</v>
      </c>
      <c r="F943" t="s">
        <v>14</v>
      </c>
      <c r="G943" s="11">
        <v>43195</v>
      </c>
      <c r="H943" t="s">
        <v>27</v>
      </c>
      <c r="I943" t="s">
        <v>32</v>
      </c>
      <c r="J943" t="s">
        <v>42</v>
      </c>
      <c r="K943" s="11" t="str">
        <f t="shared" ca="1" si="14"/>
        <v>7 Years</v>
      </c>
      <c r="L943" s="3" cm="1">
        <f t="array" ref="L943">_xlfn.SWITCH(Table13_24[[#This Row],[Performance Score]],"A",6,"B",5,"C",4,"D",3,"E",2,"F",1)</f>
        <v>4</v>
      </c>
    </row>
    <row r="944" spans="1:12" x14ac:dyDescent="0.3">
      <c r="A944" t="s">
        <v>25</v>
      </c>
      <c r="B944">
        <v>30</v>
      </c>
      <c r="C944" s="1">
        <v>65000</v>
      </c>
      <c r="D944" t="s">
        <v>34</v>
      </c>
      <c r="E944" t="s">
        <v>13</v>
      </c>
      <c r="F944" t="s">
        <v>21</v>
      </c>
      <c r="G944" s="11">
        <v>43881</v>
      </c>
      <c r="H944" t="s">
        <v>38</v>
      </c>
      <c r="I944" t="s">
        <v>16</v>
      </c>
      <c r="J944" t="s">
        <v>28</v>
      </c>
      <c r="K944" s="11" t="str">
        <f t="shared" ca="1" si="14"/>
        <v>5 Years</v>
      </c>
      <c r="L944" s="3" cm="1">
        <f t="array" ref="L944">_xlfn.SWITCH(Table13_24[[#This Row],[Performance Score]],"A",6,"B",5,"C",4,"D",3,"E",2,"F",1)</f>
        <v>5</v>
      </c>
    </row>
    <row r="945" spans="1:12" x14ac:dyDescent="0.3">
      <c r="A945" t="s">
        <v>25</v>
      </c>
      <c r="B945">
        <v>25</v>
      </c>
      <c r="C945" s="1">
        <v>49144.385026737968</v>
      </c>
      <c r="D945" t="s">
        <v>12</v>
      </c>
      <c r="E945" t="s">
        <v>35</v>
      </c>
      <c r="F945" t="s">
        <v>37</v>
      </c>
      <c r="G945" s="11">
        <v>43477</v>
      </c>
      <c r="H945" t="s">
        <v>22</v>
      </c>
      <c r="I945" t="s">
        <v>39</v>
      </c>
      <c r="J945" t="s">
        <v>24</v>
      </c>
      <c r="K945" s="11" t="str">
        <f t="shared" ca="1" si="14"/>
        <v>6 Years</v>
      </c>
      <c r="L945" s="3" cm="1">
        <f t="array" ref="L945">_xlfn.SWITCH(Table13_24[[#This Row],[Performance Score]],"A",6,"B",5,"C",4,"D",3,"E",2,"F",1)</f>
        <v>1</v>
      </c>
    </row>
    <row r="946" spans="1:12" x14ac:dyDescent="0.3">
      <c r="A946" t="s">
        <v>36</v>
      </c>
      <c r="B946">
        <v>40</v>
      </c>
      <c r="C946" s="1">
        <v>60000</v>
      </c>
      <c r="D946" t="s">
        <v>34</v>
      </c>
      <c r="E946" t="s">
        <v>20</v>
      </c>
      <c r="F946" t="s">
        <v>40</v>
      </c>
      <c r="G946" s="11">
        <v>43477</v>
      </c>
      <c r="H946" t="s">
        <v>27</v>
      </c>
      <c r="I946" t="s">
        <v>23</v>
      </c>
      <c r="J946" t="s">
        <v>28</v>
      </c>
      <c r="K946" s="11" t="str">
        <f t="shared" ca="1" si="14"/>
        <v>6 Years</v>
      </c>
      <c r="L946" s="3" cm="1">
        <f t="array" ref="L946">_xlfn.SWITCH(Table13_24[[#This Row],[Performance Score]],"A",6,"B",5,"C",4,"D",3,"E",2,"F",1)</f>
        <v>4</v>
      </c>
    </row>
    <row r="947" spans="1:12" x14ac:dyDescent="0.3">
      <c r="A947" t="s">
        <v>11</v>
      </c>
      <c r="B947">
        <v>36</v>
      </c>
      <c r="C947" s="1">
        <v>70000</v>
      </c>
      <c r="D947" t="s">
        <v>34</v>
      </c>
      <c r="E947" t="s">
        <v>26</v>
      </c>
      <c r="F947" t="s">
        <v>40</v>
      </c>
      <c r="G947" s="11">
        <v>43477</v>
      </c>
      <c r="H947" t="s">
        <v>15</v>
      </c>
      <c r="I947" t="s">
        <v>16</v>
      </c>
      <c r="J947" t="s">
        <v>24</v>
      </c>
      <c r="K947" s="11" t="str">
        <f t="shared" ca="1" si="14"/>
        <v>6 Years</v>
      </c>
      <c r="L947" s="3" cm="1">
        <f t="array" ref="L947">_xlfn.SWITCH(Table13_24[[#This Row],[Performance Score]],"A",6,"B",5,"C",4,"D",3,"E",2,"F",1)</f>
        <v>3</v>
      </c>
    </row>
    <row r="948" spans="1:12" x14ac:dyDescent="0.3">
      <c r="A948" t="s">
        <v>36</v>
      </c>
      <c r="B948">
        <v>30</v>
      </c>
      <c r="C948" s="1">
        <v>50000</v>
      </c>
      <c r="D948" t="s">
        <v>12</v>
      </c>
      <c r="E948" t="s">
        <v>35</v>
      </c>
      <c r="F948" t="s">
        <v>37</v>
      </c>
      <c r="G948" s="11">
        <v>43477</v>
      </c>
      <c r="H948" t="s">
        <v>38</v>
      </c>
      <c r="I948" t="s">
        <v>23</v>
      </c>
      <c r="J948" t="s">
        <v>17</v>
      </c>
      <c r="K948" s="11" t="str">
        <f t="shared" ca="1" si="14"/>
        <v>6 Years</v>
      </c>
      <c r="L948" s="3" cm="1">
        <f t="array" ref="L948">_xlfn.SWITCH(Table13_24[[#This Row],[Performance Score]],"A",6,"B",5,"C",4,"D",3,"E",2,"F",1)</f>
        <v>5</v>
      </c>
    </row>
    <row r="949" spans="1:12" x14ac:dyDescent="0.3">
      <c r="A949" t="s">
        <v>43</v>
      </c>
      <c r="B949">
        <v>40</v>
      </c>
      <c r="C949" s="1">
        <v>55000</v>
      </c>
      <c r="D949" t="s">
        <v>12</v>
      </c>
      <c r="E949" t="s">
        <v>30</v>
      </c>
      <c r="F949" t="s">
        <v>14</v>
      </c>
      <c r="G949" s="11">
        <v>43477</v>
      </c>
      <c r="H949" t="s">
        <v>31</v>
      </c>
      <c r="I949" t="s">
        <v>39</v>
      </c>
      <c r="J949" t="s">
        <v>28</v>
      </c>
      <c r="K949" s="11" t="str">
        <f t="shared" ca="1" si="14"/>
        <v>6 Years</v>
      </c>
      <c r="L949" s="3" cm="1">
        <f t="array" ref="L949">_xlfn.SWITCH(Table13_24[[#This Row],[Performance Score]],"A",6,"B",5,"C",4,"D",3,"E",2,"F",1)</f>
        <v>6</v>
      </c>
    </row>
    <row r="950" spans="1:12" x14ac:dyDescent="0.3">
      <c r="A950" t="s">
        <v>43</v>
      </c>
      <c r="B950">
        <v>25</v>
      </c>
      <c r="C950" s="1">
        <v>65000</v>
      </c>
      <c r="D950" t="s">
        <v>34</v>
      </c>
      <c r="E950" t="s">
        <v>35</v>
      </c>
      <c r="F950" t="s">
        <v>14</v>
      </c>
      <c r="G950" s="11">
        <v>43477</v>
      </c>
      <c r="H950" t="s">
        <v>27</v>
      </c>
      <c r="I950" t="s">
        <v>16</v>
      </c>
      <c r="J950" t="s">
        <v>17</v>
      </c>
      <c r="K950" s="11" t="str">
        <f t="shared" ca="1" si="14"/>
        <v>6 Years</v>
      </c>
      <c r="L950" s="3" cm="1">
        <f t="array" ref="L950">_xlfn.SWITCH(Table13_24[[#This Row],[Performance Score]],"A",6,"B",5,"C",4,"D",3,"E",2,"F",1)</f>
        <v>4</v>
      </c>
    </row>
    <row r="951" spans="1:12" x14ac:dyDescent="0.3">
      <c r="A951" t="s">
        <v>36</v>
      </c>
      <c r="B951">
        <v>35</v>
      </c>
      <c r="C951" s="1">
        <v>55000</v>
      </c>
      <c r="D951" t="s">
        <v>34</v>
      </c>
      <c r="E951" t="s">
        <v>13</v>
      </c>
      <c r="F951" t="s">
        <v>41</v>
      </c>
      <c r="G951" s="11">
        <v>43845</v>
      </c>
      <c r="H951" t="s">
        <v>38</v>
      </c>
      <c r="I951" t="s">
        <v>39</v>
      </c>
      <c r="J951" t="s">
        <v>42</v>
      </c>
      <c r="K951" s="11" t="str">
        <f t="shared" ca="1" si="14"/>
        <v>5 Years</v>
      </c>
      <c r="L951" s="3" cm="1">
        <f t="array" ref="L951">_xlfn.SWITCH(Table13_24[[#This Row],[Performance Score]],"A",6,"B",5,"C",4,"D",3,"E",2,"F",1)</f>
        <v>5</v>
      </c>
    </row>
    <row r="952" spans="1:12" x14ac:dyDescent="0.3">
      <c r="A952" t="s">
        <v>11</v>
      </c>
      <c r="B952">
        <v>50</v>
      </c>
      <c r="C952" s="1">
        <v>50000</v>
      </c>
      <c r="D952" t="s">
        <v>34</v>
      </c>
      <c r="E952" t="s">
        <v>35</v>
      </c>
      <c r="F952" t="s">
        <v>21</v>
      </c>
      <c r="G952" s="11">
        <v>43549</v>
      </c>
      <c r="H952" t="s">
        <v>31</v>
      </c>
      <c r="I952" t="s">
        <v>32</v>
      </c>
      <c r="J952" t="s">
        <v>24</v>
      </c>
      <c r="K952" s="11" t="str">
        <f t="shared" ca="1" si="14"/>
        <v>6 Years</v>
      </c>
      <c r="L952" s="3" cm="1">
        <f t="array" ref="L952">_xlfn.SWITCH(Table13_24[[#This Row],[Performance Score]],"A",6,"B",5,"C",4,"D",3,"E",2,"F",1)</f>
        <v>6</v>
      </c>
    </row>
    <row r="953" spans="1:12" x14ac:dyDescent="0.3">
      <c r="A953" t="s">
        <v>36</v>
      </c>
      <c r="B953">
        <v>40</v>
      </c>
      <c r="C953" s="1">
        <v>55000</v>
      </c>
      <c r="D953" t="s">
        <v>34</v>
      </c>
      <c r="E953" t="s">
        <v>26</v>
      </c>
      <c r="F953" t="s">
        <v>21</v>
      </c>
      <c r="G953" s="11">
        <v>43477</v>
      </c>
      <c r="H953" t="s">
        <v>27</v>
      </c>
      <c r="I953" t="s">
        <v>16</v>
      </c>
      <c r="J953" t="s">
        <v>42</v>
      </c>
      <c r="K953" s="11" t="str">
        <f t="shared" ca="1" si="14"/>
        <v>6 Years</v>
      </c>
      <c r="L953" s="3" cm="1">
        <f t="array" ref="L953">_xlfn.SWITCH(Table13_24[[#This Row],[Performance Score]],"A",6,"B",5,"C",4,"D",3,"E",2,"F",1)</f>
        <v>4</v>
      </c>
    </row>
    <row r="954" spans="1:12" x14ac:dyDescent="0.3">
      <c r="A954" t="s">
        <v>25</v>
      </c>
      <c r="B954">
        <v>40</v>
      </c>
      <c r="C954" s="1">
        <v>50000</v>
      </c>
      <c r="D954" t="s">
        <v>12</v>
      </c>
      <c r="E954" t="s">
        <v>26</v>
      </c>
      <c r="F954" t="s">
        <v>21</v>
      </c>
      <c r="G954" s="11">
        <v>43549</v>
      </c>
      <c r="H954" t="s">
        <v>38</v>
      </c>
      <c r="I954" t="s">
        <v>39</v>
      </c>
      <c r="J954" t="s">
        <v>24</v>
      </c>
      <c r="K954" s="11" t="str">
        <f t="shared" ca="1" si="14"/>
        <v>6 Years</v>
      </c>
      <c r="L954" s="3" cm="1">
        <f t="array" ref="L954">_xlfn.SWITCH(Table13_24[[#This Row],[Performance Score]],"A",6,"B",5,"C",4,"D",3,"E",2,"F",1)</f>
        <v>5</v>
      </c>
    </row>
    <row r="955" spans="1:12" x14ac:dyDescent="0.3">
      <c r="A955" t="s">
        <v>33</v>
      </c>
      <c r="B955">
        <v>35</v>
      </c>
      <c r="C955" s="1">
        <v>49144.385026737968</v>
      </c>
      <c r="D955" t="s">
        <v>12</v>
      </c>
      <c r="E955" t="s">
        <v>35</v>
      </c>
      <c r="F955" t="s">
        <v>41</v>
      </c>
      <c r="G955" s="11">
        <v>43477</v>
      </c>
      <c r="H955" t="s">
        <v>38</v>
      </c>
      <c r="I955" t="s">
        <v>16</v>
      </c>
      <c r="J955" t="s">
        <v>17</v>
      </c>
      <c r="K955" s="11" t="str">
        <f t="shared" ca="1" si="14"/>
        <v>6 Years</v>
      </c>
      <c r="L955" s="3" cm="1">
        <f t="array" ref="L955">_xlfn.SWITCH(Table13_24[[#This Row],[Performance Score]],"A",6,"B",5,"C",4,"D",3,"E",2,"F",1)</f>
        <v>5</v>
      </c>
    </row>
    <row r="956" spans="1:12" x14ac:dyDescent="0.3">
      <c r="A956" t="s">
        <v>18</v>
      </c>
      <c r="B956">
        <v>40</v>
      </c>
      <c r="C956" s="1">
        <v>60000</v>
      </c>
      <c r="D956" t="s">
        <v>34</v>
      </c>
      <c r="E956" t="s">
        <v>26</v>
      </c>
      <c r="F956" t="s">
        <v>21</v>
      </c>
      <c r="G956" s="11">
        <v>43195</v>
      </c>
      <c r="H956" t="s">
        <v>27</v>
      </c>
      <c r="I956" t="s">
        <v>23</v>
      </c>
      <c r="J956" t="s">
        <v>17</v>
      </c>
      <c r="K956" s="11" t="str">
        <f t="shared" ca="1" si="14"/>
        <v>7 Years</v>
      </c>
      <c r="L956" s="3" cm="1">
        <f t="array" ref="L956">_xlfn.SWITCH(Table13_24[[#This Row],[Performance Score]],"A",6,"B",5,"C",4,"D",3,"E",2,"F",1)</f>
        <v>4</v>
      </c>
    </row>
    <row r="957" spans="1:12" x14ac:dyDescent="0.3">
      <c r="A957" t="s">
        <v>45</v>
      </c>
      <c r="B957">
        <v>25</v>
      </c>
      <c r="C957" s="1">
        <v>65000</v>
      </c>
      <c r="D957" t="s">
        <v>19</v>
      </c>
      <c r="E957" t="s">
        <v>30</v>
      </c>
      <c r="F957" t="s">
        <v>37</v>
      </c>
      <c r="G957" s="11">
        <v>43477</v>
      </c>
      <c r="H957" t="s">
        <v>38</v>
      </c>
      <c r="I957" t="s">
        <v>16</v>
      </c>
      <c r="J957" t="s">
        <v>28</v>
      </c>
      <c r="K957" s="11" t="str">
        <f t="shared" ca="1" si="14"/>
        <v>6 Years</v>
      </c>
      <c r="L957" s="3" cm="1">
        <f t="array" ref="L957">_xlfn.SWITCH(Table13_24[[#This Row],[Performance Score]],"A",6,"B",5,"C",4,"D",3,"E",2,"F",1)</f>
        <v>5</v>
      </c>
    </row>
    <row r="958" spans="1:12" x14ac:dyDescent="0.3">
      <c r="A958" t="s">
        <v>18</v>
      </c>
      <c r="B958">
        <v>25</v>
      </c>
      <c r="C958" s="1">
        <v>50000</v>
      </c>
      <c r="D958" t="s">
        <v>19</v>
      </c>
      <c r="E958" t="s">
        <v>35</v>
      </c>
      <c r="F958" t="s">
        <v>41</v>
      </c>
      <c r="G958" s="11">
        <v>43881</v>
      </c>
      <c r="H958" t="s">
        <v>22</v>
      </c>
      <c r="I958" t="s">
        <v>39</v>
      </c>
      <c r="J958" t="s">
        <v>17</v>
      </c>
      <c r="K958" s="11" t="str">
        <f t="shared" ca="1" si="14"/>
        <v>5 Years</v>
      </c>
      <c r="L958" s="3" cm="1">
        <f t="array" ref="L958">_xlfn.SWITCH(Table13_24[[#This Row],[Performance Score]],"A",6,"B",5,"C",4,"D",3,"E",2,"F",1)</f>
        <v>1</v>
      </c>
    </row>
    <row r="959" spans="1:12" x14ac:dyDescent="0.3">
      <c r="A959" t="s">
        <v>11</v>
      </c>
      <c r="B959">
        <v>35</v>
      </c>
      <c r="C959" s="1">
        <v>55000</v>
      </c>
      <c r="D959" t="s">
        <v>12</v>
      </c>
      <c r="E959" t="s">
        <v>30</v>
      </c>
      <c r="F959" t="s">
        <v>37</v>
      </c>
      <c r="G959" s="11">
        <v>43845</v>
      </c>
      <c r="H959" t="s">
        <v>27</v>
      </c>
      <c r="I959" t="s">
        <v>16</v>
      </c>
      <c r="J959" t="s">
        <v>24</v>
      </c>
      <c r="K959" s="11" t="str">
        <f t="shared" ca="1" si="14"/>
        <v>5 Years</v>
      </c>
      <c r="L959" s="3" cm="1">
        <f t="array" ref="L959">_xlfn.SWITCH(Table13_24[[#This Row],[Performance Score]],"A",6,"B",5,"C",4,"D",3,"E",2,"F",1)</f>
        <v>4</v>
      </c>
    </row>
    <row r="960" spans="1:12" x14ac:dyDescent="0.3">
      <c r="A960" t="s">
        <v>18</v>
      </c>
      <c r="B960">
        <v>50</v>
      </c>
      <c r="C960" s="1">
        <v>65000</v>
      </c>
      <c r="D960" t="s">
        <v>34</v>
      </c>
      <c r="E960" t="s">
        <v>30</v>
      </c>
      <c r="F960" t="s">
        <v>41</v>
      </c>
      <c r="G960" s="11">
        <v>43195</v>
      </c>
      <c r="H960" t="s">
        <v>38</v>
      </c>
      <c r="I960" t="s">
        <v>32</v>
      </c>
      <c r="J960" t="s">
        <v>24</v>
      </c>
      <c r="K960" s="11" t="str">
        <f t="shared" ca="1" si="14"/>
        <v>7 Years</v>
      </c>
      <c r="L960" s="3" cm="1">
        <f t="array" ref="L960">_xlfn.SWITCH(Table13_24[[#This Row],[Performance Score]],"A",6,"B",5,"C",4,"D",3,"E",2,"F",1)</f>
        <v>5</v>
      </c>
    </row>
    <row r="961" spans="1:12" x14ac:dyDescent="0.3">
      <c r="A961" t="s">
        <v>43</v>
      </c>
      <c r="B961">
        <v>36</v>
      </c>
      <c r="C961" s="1">
        <v>60000</v>
      </c>
      <c r="D961" t="s">
        <v>34</v>
      </c>
      <c r="E961" t="s">
        <v>20</v>
      </c>
      <c r="F961" t="s">
        <v>21</v>
      </c>
      <c r="G961" s="11">
        <v>43195</v>
      </c>
      <c r="H961" t="s">
        <v>31</v>
      </c>
      <c r="I961" t="s">
        <v>16</v>
      </c>
      <c r="J961" t="s">
        <v>24</v>
      </c>
      <c r="K961" s="11" t="str">
        <f t="shared" ca="1" si="14"/>
        <v>7 Years</v>
      </c>
      <c r="L961" s="3" cm="1">
        <f t="array" ref="L961">_xlfn.SWITCH(Table13_24[[#This Row],[Performance Score]],"A",6,"B",5,"C",4,"D",3,"E",2,"F",1)</f>
        <v>6</v>
      </c>
    </row>
    <row r="962" spans="1:12" x14ac:dyDescent="0.3">
      <c r="A962" t="s">
        <v>46</v>
      </c>
      <c r="B962">
        <v>30</v>
      </c>
      <c r="C962" s="1">
        <v>49144.385026737968</v>
      </c>
      <c r="D962" t="s">
        <v>12</v>
      </c>
      <c r="E962" t="s">
        <v>35</v>
      </c>
      <c r="F962" t="s">
        <v>37</v>
      </c>
      <c r="G962" s="11">
        <v>43881</v>
      </c>
      <c r="H962" t="s">
        <v>31</v>
      </c>
      <c r="I962" t="s">
        <v>23</v>
      </c>
      <c r="J962" t="s">
        <v>24</v>
      </c>
      <c r="K962" s="11" t="str">
        <f t="shared" ca="1" si="14"/>
        <v>5 Years</v>
      </c>
      <c r="L962" s="3" cm="1">
        <f t="array" ref="L962">_xlfn.SWITCH(Table13_24[[#This Row],[Performance Score]],"A",6,"B",5,"C",4,"D",3,"E",2,"F",1)</f>
        <v>6</v>
      </c>
    </row>
    <row r="963" spans="1:12" x14ac:dyDescent="0.3">
      <c r="A963" t="s">
        <v>45</v>
      </c>
      <c r="B963">
        <v>36</v>
      </c>
      <c r="C963" s="1">
        <v>65000</v>
      </c>
      <c r="D963" t="s">
        <v>19</v>
      </c>
      <c r="E963" t="s">
        <v>26</v>
      </c>
      <c r="F963" t="s">
        <v>37</v>
      </c>
      <c r="G963" s="11">
        <v>43477</v>
      </c>
      <c r="H963" t="s">
        <v>22</v>
      </c>
      <c r="I963" t="s">
        <v>16</v>
      </c>
      <c r="J963" t="s">
        <v>28</v>
      </c>
      <c r="K963" s="11" t="str">
        <f t="shared" ref="K963:K1001" ca="1" si="15">DATEDIF(G963,TODAY(),"Y") &amp; " Years"</f>
        <v>6 Years</v>
      </c>
      <c r="L963" s="3" cm="1">
        <f t="array" ref="L963">_xlfn.SWITCH(Table13_24[[#This Row],[Performance Score]],"A",6,"B",5,"C",4,"D",3,"E",2,"F",1)</f>
        <v>1</v>
      </c>
    </row>
    <row r="964" spans="1:12" x14ac:dyDescent="0.3">
      <c r="A964" t="s">
        <v>29</v>
      </c>
      <c r="B964">
        <v>40</v>
      </c>
      <c r="C964" s="1">
        <v>50000</v>
      </c>
      <c r="D964" t="s">
        <v>19</v>
      </c>
      <c r="E964" t="s">
        <v>30</v>
      </c>
      <c r="F964" t="s">
        <v>37</v>
      </c>
      <c r="G964" s="11">
        <v>43845</v>
      </c>
      <c r="H964" t="s">
        <v>27</v>
      </c>
      <c r="I964" t="s">
        <v>39</v>
      </c>
      <c r="J964" t="s">
        <v>42</v>
      </c>
      <c r="K964" s="11" t="str">
        <f t="shared" ca="1" si="15"/>
        <v>5 Years</v>
      </c>
      <c r="L964" s="3" cm="1">
        <f t="array" ref="L964">_xlfn.SWITCH(Table13_24[[#This Row],[Performance Score]],"A",6,"B",5,"C",4,"D",3,"E",2,"F",1)</f>
        <v>4</v>
      </c>
    </row>
    <row r="965" spans="1:12" x14ac:dyDescent="0.3">
      <c r="A965" t="s">
        <v>11</v>
      </c>
      <c r="B965">
        <v>30</v>
      </c>
      <c r="C965" s="1">
        <v>60000</v>
      </c>
      <c r="D965" t="s">
        <v>19</v>
      </c>
      <c r="E965" t="s">
        <v>20</v>
      </c>
      <c r="F965" t="s">
        <v>41</v>
      </c>
      <c r="G965" s="11">
        <v>43195</v>
      </c>
      <c r="H965" t="s">
        <v>38</v>
      </c>
      <c r="I965" t="s">
        <v>39</v>
      </c>
      <c r="J965" t="s">
        <v>17</v>
      </c>
      <c r="K965" s="11" t="str">
        <f t="shared" ca="1" si="15"/>
        <v>7 Years</v>
      </c>
      <c r="L965" s="3" cm="1">
        <f t="array" ref="L965">_xlfn.SWITCH(Table13_24[[#This Row],[Performance Score]],"A",6,"B",5,"C",4,"D",3,"E",2,"F",1)</f>
        <v>5</v>
      </c>
    </row>
    <row r="966" spans="1:12" x14ac:dyDescent="0.3">
      <c r="A966" t="s">
        <v>45</v>
      </c>
      <c r="B966">
        <v>35</v>
      </c>
      <c r="C966" s="1">
        <v>55000</v>
      </c>
      <c r="D966" t="s">
        <v>12</v>
      </c>
      <c r="E966" t="s">
        <v>35</v>
      </c>
      <c r="F966" t="s">
        <v>40</v>
      </c>
      <c r="G966" s="11">
        <v>43845</v>
      </c>
      <c r="H966" t="s">
        <v>38</v>
      </c>
      <c r="I966" t="s">
        <v>16</v>
      </c>
      <c r="J966" t="s">
        <v>28</v>
      </c>
      <c r="K966" s="11" t="str">
        <f t="shared" ca="1" si="15"/>
        <v>5 Years</v>
      </c>
      <c r="L966" s="3" cm="1">
        <f t="array" ref="L966">_xlfn.SWITCH(Table13_24[[#This Row],[Performance Score]],"A",6,"B",5,"C",4,"D",3,"E",2,"F",1)</f>
        <v>5</v>
      </c>
    </row>
    <row r="967" spans="1:12" x14ac:dyDescent="0.3">
      <c r="A967" t="s">
        <v>18</v>
      </c>
      <c r="B967">
        <v>35</v>
      </c>
      <c r="C967" s="1">
        <v>60000</v>
      </c>
      <c r="D967" t="s">
        <v>19</v>
      </c>
      <c r="E967" t="s">
        <v>35</v>
      </c>
      <c r="F967" t="s">
        <v>21</v>
      </c>
      <c r="G967" s="11">
        <v>43195</v>
      </c>
      <c r="H967" t="s">
        <v>31</v>
      </c>
      <c r="I967" t="s">
        <v>16</v>
      </c>
      <c r="J967" t="s">
        <v>24</v>
      </c>
      <c r="K967" s="11" t="str">
        <f t="shared" ca="1" si="15"/>
        <v>7 Years</v>
      </c>
      <c r="L967" s="3" cm="1">
        <f t="array" ref="L967">_xlfn.SWITCH(Table13_24[[#This Row],[Performance Score]],"A",6,"B",5,"C",4,"D",3,"E",2,"F",1)</f>
        <v>6</v>
      </c>
    </row>
    <row r="968" spans="1:12" x14ac:dyDescent="0.3">
      <c r="A968" t="s">
        <v>43</v>
      </c>
      <c r="B968">
        <v>50</v>
      </c>
      <c r="C968" s="1">
        <v>60000</v>
      </c>
      <c r="D968" t="s">
        <v>12</v>
      </c>
      <c r="E968" t="s">
        <v>13</v>
      </c>
      <c r="F968" t="s">
        <v>37</v>
      </c>
      <c r="G968" s="11">
        <v>43477</v>
      </c>
      <c r="H968" t="s">
        <v>22</v>
      </c>
      <c r="I968" t="s">
        <v>32</v>
      </c>
      <c r="J968" t="s">
        <v>28</v>
      </c>
      <c r="K968" s="11" t="str">
        <f t="shared" ca="1" si="15"/>
        <v>6 Years</v>
      </c>
      <c r="L968" s="3" cm="1">
        <f t="array" ref="L968">_xlfn.SWITCH(Table13_24[[#This Row],[Performance Score]],"A",6,"B",5,"C",4,"D",3,"E",2,"F",1)</f>
        <v>1</v>
      </c>
    </row>
    <row r="969" spans="1:12" x14ac:dyDescent="0.3">
      <c r="A969" t="s">
        <v>44</v>
      </c>
      <c r="B969">
        <v>30</v>
      </c>
      <c r="C969" s="1">
        <v>70000</v>
      </c>
      <c r="D969" t="s">
        <v>12</v>
      </c>
      <c r="E969" t="s">
        <v>13</v>
      </c>
      <c r="F969" t="s">
        <v>40</v>
      </c>
      <c r="G969" s="11">
        <v>43195</v>
      </c>
      <c r="H969" t="s">
        <v>31</v>
      </c>
      <c r="I969" t="s">
        <v>39</v>
      </c>
      <c r="J969" t="s">
        <v>17</v>
      </c>
      <c r="K969" s="11" t="str">
        <f t="shared" ca="1" si="15"/>
        <v>7 Years</v>
      </c>
      <c r="L969" s="3" cm="1">
        <f t="array" ref="L969">_xlfn.SWITCH(Table13_24[[#This Row],[Performance Score]],"A",6,"B",5,"C",4,"D",3,"E",2,"F",1)</f>
        <v>6</v>
      </c>
    </row>
    <row r="970" spans="1:12" x14ac:dyDescent="0.3">
      <c r="A970" t="s">
        <v>33</v>
      </c>
      <c r="B970">
        <v>25</v>
      </c>
      <c r="C970" s="1">
        <v>60000</v>
      </c>
      <c r="D970" t="s">
        <v>34</v>
      </c>
      <c r="E970" t="s">
        <v>30</v>
      </c>
      <c r="F970" t="s">
        <v>21</v>
      </c>
      <c r="G970" s="11">
        <v>43195</v>
      </c>
      <c r="H970" t="s">
        <v>31</v>
      </c>
      <c r="I970" t="s">
        <v>39</v>
      </c>
      <c r="J970" t="s">
        <v>24</v>
      </c>
      <c r="K970" s="11" t="str">
        <f t="shared" ca="1" si="15"/>
        <v>7 Years</v>
      </c>
      <c r="L970" s="3" cm="1">
        <f t="array" ref="L970">_xlfn.SWITCH(Table13_24[[#This Row],[Performance Score]],"A",6,"B",5,"C",4,"D",3,"E",2,"F",1)</f>
        <v>6</v>
      </c>
    </row>
    <row r="971" spans="1:12" x14ac:dyDescent="0.3">
      <c r="A971" t="s">
        <v>29</v>
      </c>
      <c r="B971">
        <v>30</v>
      </c>
      <c r="C971" s="1">
        <v>60000</v>
      </c>
      <c r="D971" t="s">
        <v>19</v>
      </c>
      <c r="E971" t="s">
        <v>13</v>
      </c>
      <c r="F971" t="s">
        <v>21</v>
      </c>
      <c r="G971" s="11">
        <v>43549</v>
      </c>
      <c r="H971" t="s">
        <v>22</v>
      </c>
      <c r="I971" t="s">
        <v>23</v>
      </c>
      <c r="J971" t="s">
        <v>17</v>
      </c>
      <c r="K971" s="11" t="str">
        <f t="shared" ca="1" si="15"/>
        <v>6 Years</v>
      </c>
      <c r="L971" s="3" cm="1">
        <f t="array" ref="L971">_xlfn.SWITCH(Table13_24[[#This Row],[Performance Score]],"A",6,"B",5,"C",4,"D",3,"E",2,"F",1)</f>
        <v>1</v>
      </c>
    </row>
    <row r="972" spans="1:12" x14ac:dyDescent="0.3">
      <c r="A972" t="s">
        <v>33</v>
      </c>
      <c r="B972">
        <v>40</v>
      </c>
      <c r="C972" s="1">
        <v>65000</v>
      </c>
      <c r="D972" t="s">
        <v>12</v>
      </c>
      <c r="E972" t="s">
        <v>30</v>
      </c>
      <c r="F972" t="s">
        <v>37</v>
      </c>
      <c r="G972" s="11">
        <v>43477</v>
      </c>
      <c r="H972" t="s">
        <v>27</v>
      </c>
      <c r="I972" t="s">
        <v>16</v>
      </c>
      <c r="J972" t="s">
        <v>24</v>
      </c>
      <c r="K972" s="11" t="str">
        <f t="shared" ca="1" si="15"/>
        <v>6 Years</v>
      </c>
      <c r="L972" s="3" cm="1">
        <f t="array" ref="L972">_xlfn.SWITCH(Table13_24[[#This Row],[Performance Score]],"A",6,"B",5,"C",4,"D",3,"E",2,"F",1)</f>
        <v>4</v>
      </c>
    </row>
    <row r="973" spans="1:12" x14ac:dyDescent="0.3">
      <c r="A973" t="s">
        <v>45</v>
      </c>
      <c r="B973">
        <v>25</v>
      </c>
      <c r="C973" s="1">
        <v>55000</v>
      </c>
      <c r="D973" t="s">
        <v>19</v>
      </c>
      <c r="E973" t="s">
        <v>26</v>
      </c>
      <c r="F973" t="s">
        <v>37</v>
      </c>
      <c r="G973" s="11">
        <v>43881</v>
      </c>
      <c r="H973" t="s">
        <v>38</v>
      </c>
      <c r="I973" t="s">
        <v>39</v>
      </c>
      <c r="J973" t="s">
        <v>17</v>
      </c>
      <c r="K973" s="11" t="str">
        <f t="shared" ca="1" si="15"/>
        <v>5 Years</v>
      </c>
      <c r="L973" s="3" cm="1">
        <f t="array" ref="L973">_xlfn.SWITCH(Table13_24[[#This Row],[Performance Score]],"A",6,"B",5,"C",4,"D",3,"E",2,"F",1)</f>
        <v>5</v>
      </c>
    </row>
    <row r="974" spans="1:12" x14ac:dyDescent="0.3">
      <c r="A974" t="s">
        <v>43</v>
      </c>
      <c r="B974">
        <v>35</v>
      </c>
      <c r="C974" s="1">
        <v>65000</v>
      </c>
      <c r="D974" t="s">
        <v>19</v>
      </c>
      <c r="E974" t="s">
        <v>30</v>
      </c>
      <c r="F974" t="s">
        <v>41</v>
      </c>
      <c r="G974" s="11">
        <v>43881</v>
      </c>
      <c r="H974" t="s">
        <v>27</v>
      </c>
      <c r="I974" t="s">
        <v>23</v>
      </c>
      <c r="J974" t="s">
        <v>17</v>
      </c>
      <c r="K974" s="11" t="str">
        <f t="shared" ca="1" si="15"/>
        <v>5 Years</v>
      </c>
      <c r="L974" s="3" cm="1">
        <f t="array" ref="L974">_xlfn.SWITCH(Table13_24[[#This Row],[Performance Score]],"A",6,"B",5,"C",4,"D",3,"E",2,"F",1)</f>
        <v>4</v>
      </c>
    </row>
    <row r="975" spans="1:12" x14ac:dyDescent="0.3">
      <c r="A975" t="s">
        <v>43</v>
      </c>
      <c r="B975">
        <v>30</v>
      </c>
      <c r="C975" s="1">
        <v>65000</v>
      </c>
      <c r="D975" t="s">
        <v>34</v>
      </c>
      <c r="E975" t="s">
        <v>13</v>
      </c>
      <c r="F975" t="s">
        <v>40</v>
      </c>
      <c r="G975" s="11">
        <v>43477</v>
      </c>
      <c r="H975" t="s">
        <v>15</v>
      </c>
      <c r="I975" t="s">
        <v>39</v>
      </c>
      <c r="J975" t="s">
        <v>42</v>
      </c>
      <c r="K975" s="11" t="str">
        <f t="shared" ca="1" si="15"/>
        <v>6 Years</v>
      </c>
      <c r="L975" s="3" cm="1">
        <f t="array" ref="L975">_xlfn.SWITCH(Table13_24[[#This Row],[Performance Score]],"A",6,"B",5,"C",4,"D",3,"E",2,"F",1)</f>
        <v>3</v>
      </c>
    </row>
    <row r="976" spans="1:12" x14ac:dyDescent="0.3">
      <c r="A976" t="s">
        <v>18</v>
      </c>
      <c r="B976">
        <v>36</v>
      </c>
      <c r="C976" s="1">
        <v>50000</v>
      </c>
      <c r="D976" t="s">
        <v>19</v>
      </c>
      <c r="E976" t="s">
        <v>26</v>
      </c>
      <c r="F976" t="s">
        <v>40</v>
      </c>
      <c r="G976" s="11">
        <v>43881</v>
      </c>
      <c r="H976" t="s">
        <v>15</v>
      </c>
      <c r="I976" t="s">
        <v>39</v>
      </c>
      <c r="J976" t="s">
        <v>42</v>
      </c>
      <c r="K976" s="11" t="str">
        <f t="shared" ca="1" si="15"/>
        <v>5 Years</v>
      </c>
      <c r="L976" s="3" cm="1">
        <f t="array" ref="L976">_xlfn.SWITCH(Table13_24[[#This Row],[Performance Score]],"A",6,"B",5,"C",4,"D",3,"E",2,"F",1)</f>
        <v>3</v>
      </c>
    </row>
    <row r="977" spans="1:12" x14ac:dyDescent="0.3">
      <c r="A977" t="s">
        <v>25</v>
      </c>
      <c r="B977">
        <v>50</v>
      </c>
      <c r="C977" s="1">
        <v>65000</v>
      </c>
      <c r="D977" t="s">
        <v>34</v>
      </c>
      <c r="E977" t="s">
        <v>13</v>
      </c>
      <c r="F977" t="s">
        <v>37</v>
      </c>
      <c r="G977" s="11">
        <v>43477</v>
      </c>
      <c r="H977" t="s">
        <v>15</v>
      </c>
      <c r="I977" t="s">
        <v>39</v>
      </c>
      <c r="J977" t="s">
        <v>28</v>
      </c>
      <c r="K977" s="11" t="str">
        <f t="shared" ca="1" si="15"/>
        <v>6 Years</v>
      </c>
      <c r="L977" s="3" cm="1">
        <f t="array" ref="L977">_xlfn.SWITCH(Table13_24[[#This Row],[Performance Score]],"A",6,"B",5,"C",4,"D",3,"E",2,"F",1)</f>
        <v>3</v>
      </c>
    </row>
    <row r="978" spans="1:12" x14ac:dyDescent="0.3">
      <c r="A978" t="s">
        <v>18</v>
      </c>
      <c r="B978">
        <v>36</v>
      </c>
      <c r="C978" s="1">
        <v>70000</v>
      </c>
      <c r="D978" t="s">
        <v>12</v>
      </c>
      <c r="E978" t="s">
        <v>30</v>
      </c>
      <c r="F978" t="s">
        <v>21</v>
      </c>
      <c r="G978" s="11">
        <v>43881</v>
      </c>
      <c r="H978" t="s">
        <v>22</v>
      </c>
      <c r="I978" t="s">
        <v>23</v>
      </c>
      <c r="J978" t="s">
        <v>28</v>
      </c>
      <c r="K978" s="11" t="str">
        <f t="shared" ca="1" si="15"/>
        <v>5 Years</v>
      </c>
      <c r="L978" s="3" cm="1">
        <f t="array" ref="L978">_xlfn.SWITCH(Table13_24[[#This Row],[Performance Score]],"A",6,"B",5,"C",4,"D",3,"E",2,"F",1)</f>
        <v>1</v>
      </c>
    </row>
    <row r="979" spans="1:12" x14ac:dyDescent="0.3">
      <c r="A979" t="s">
        <v>25</v>
      </c>
      <c r="B979">
        <v>50</v>
      </c>
      <c r="C979" s="1">
        <v>70000</v>
      </c>
      <c r="D979" t="s">
        <v>19</v>
      </c>
      <c r="E979" t="s">
        <v>20</v>
      </c>
      <c r="F979" t="s">
        <v>37</v>
      </c>
      <c r="G979" s="11">
        <v>43549</v>
      </c>
      <c r="H979" t="s">
        <v>31</v>
      </c>
      <c r="I979" t="s">
        <v>39</v>
      </c>
      <c r="J979" t="s">
        <v>17</v>
      </c>
      <c r="K979" s="11" t="str">
        <f t="shared" ca="1" si="15"/>
        <v>6 Years</v>
      </c>
      <c r="L979" s="3" cm="1">
        <f t="array" ref="L979">_xlfn.SWITCH(Table13_24[[#This Row],[Performance Score]],"A",6,"B",5,"C",4,"D",3,"E",2,"F",1)</f>
        <v>6</v>
      </c>
    </row>
    <row r="980" spans="1:12" x14ac:dyDescent="0.3">
      <c r="A980" t="s">
        <v>25</v>
      </c>
      <c r="B980">
        <v>40</v>
      </c>
      <c r="C980" s="1">
        <v>50000</v>
      </c>
      <c r="D980" t="s">
        <v>12</v>
      </c>
      <c r="E980" t="s">
        <v>35</v>
      </c>
      <c r="F980" t="s">
        <v>21</v>
      </c>
      <c r="G980" s="11">
        <v>43881</v>
      </c>
      <c r="H980" t="s">
        <v>27</v>
      </c>
      <c r="I980" t="s">
        <v>39</v>
      </c>
      <c r="J980" t="s">
        <v>24</v>
      </c>
      <c r="K980" s="11" t="str">
        <f t="shared" ca="1" si="15"/>
        <v>5 Years</v>
      </c>
      <c r="L980" s="3" cm="1">
        <f t="array" ref="L980">_xlfn.SWITCH(Table13_24[[#This Row],[Performance Score]],"A",6,"B",5,"C",4,"D",3,"E",2,"F",1)</f>
        <v>4</v>
      </c>
    </row>
    <row r="981" spans="1:12" x14ac:dyDescent="0.3">
      <c r="A981" t="s">
        <v>29</v>
      </c>
      <c r="B981">
        <v>36</v>
      </c>
      <c r="C981" s="1">
        <v>51825</v>
      </c>
      <c r="D981" t="s">
        <v>19</v>
      </c>
      <c r="E981" t="s">
        <v>13</v>
      </c>
      <c r="F981" t="s">
        <v>21</v>
      </c>
      <c r="G981" s="11">
        <v>43195</v>
      </c>
      <c r="H981" t="s">
        <v>38</v>
      </c>
      <c r="I981" t="s">
        <v>39</v>
      </c>
      <c r="J981" t="s">
        <v>17</v>
      </c>
      <c r="K981" s="11" t="str">
        <f t="shared" ca="1" si="15"/>
        <v>7 Years</v>
      </c>
      <c r="L981" s="3" cm="1">
        <f t="array" ref="L981">_xlfn.SWITCH(Table13_24[[#This Row],[Performance Score]],"A",6,"B",5,"C",4,"D",3,"E",2,"F",1)</f>
        <v>5</v>
      </c>
    </row>
    <row r="982" spans="1:12" x14ac:dyDescent="0.3">
      <c r="A982" t="s">
        <v>18</v>
      </c>
      <c r="B982">
        <v>30</v>
      </c>
      <c r="C982" s="1">
        <v>55000</v>
      </c>
      <c r="D982" t="s">
        <v>12</v>
      </c>
      <c r="E982" t="s">
        <v>30</v>
      </c>
      <c r="F982" t="s">
        <v>37</v>
      </c>
      <c r="G982" s="11">
        <v>43477</v>
      </c>
      <c r="H982" t="s">
        <v>15</v>
      </c>
      <c r="I982" t="s">
        <v>39</v>
      </c>
      <c r="J982" t="s">
        <v>17</v>
      </c>
      <c r="K982" s="11" t="str">
        <f t="shared" ca="1" si="15"/>
        <v>6 Years</v>
      </c>
      <c r="L982" s="3" cm="1">
        <f t="array" ref="L982">_xlfn.SWITCH(Table13_24[[#This Row],[Performance Score]],"A",6,"B",5,"C",4,"D",3,"E",2,"F",1)</f>
        <v>3</v>
      </c>
    </row>
    <row r="983" spans="1:12" x14ac:dyDescent="0.3">
      <c r="A983" t="s">
        <v>44</v>
      </c>
      <c r="B983">
        <v>30</v>
      </c>
      <c r="C983" s="1">
        <v>55000</v>
      </c>
      <c r="D983" t="s">
        <v>19</v>
      </c>
      <c r="E983" t="s">
        <v>26</v>
      </c>
      <c r="F983" t="s">
        <v>14</v>
      </c>
      <c r="G983" s="11">
        <v>43845</v>
      </c>
      <c r="H983" t="s">
        <v>27</v>
      </c>
      <c r="I983" t="s">
        <v>39</v>
      </c>
      <c r="J983" t="s">
        <v>24</v>
      </c>
      <c r="K983" s="11" t="str">
        <f t="shared" ca="1" si="15"/>
        <v>5 Years</v>
      </c>
      <c r="L983" s="3" cm="1">
        <f t="array" ref="L983">_xlfn.SWITCH(Table13_24[[#This Row],[Performance Score]],"A",6,"B",5,"C",4,"D",3,"E",2,"F",1)</f>
        <v>4</v>
      </c>
    </row>
    <row r="984" spans="1:12" x14ac:dyDescent="0.3">
      <c r="A984" t="s">
        <v>36</v>
      </c>
      <c r="B984">
        <v>36</v>
      </c>
      <c r="C984" s="1">
        <v>65000</v>
      </c>
      <c r="D984" t="s">
        <v>19</v>
      </c>
      <c r="E984" t="s">
        <v>13</v>
      </c>
      <c r="F984" t="s">
        <v>40</v>
      </c>
      <c r="G984" s="11">
        <v>43845</v>
      </c>
      <c r="H984" t="s">
        <v>15</v>
      </c>
      <c r="I984" t="s">
        <v>32</v>
      </c>
      <c r="J984" t="s">
        <v>24</v>
      </c>
      <c r="K984" s="11" t="str">
        <f t="shared" ca="1" si="15"/>
        <v>5 Years</v>
      </c>
      <c r="L984" s="3" cm="1">
        <f t="array" ref="L984">_xlfn.SWITCH(Table13_24[[#This Row],[Performance Score]],"A",6,"B",5,"C",4,"D",3,"E",2,"F",1)</f>
        <v>3</v>
      </c>
    </row>
    <row r="985" spans="1:12" x14ac:dyDescent="0.3">
      <c r="A985" t="s">
        <v>36</v>
      </c>
      <c r="B985">
        <v>30</v>
      </c>
      <c r="C985" s="1">
        <v>65000</v>
      </c>
      <c r="D985" t="s">
        <v>19</v>
      </c>
      <c r="E985" t="s">
        <v>13</v>
      </c>
      <c r="F985" t="s">
        <v>21</v>
      </c>
      <c r="G985" s="11">
        <v>43477</v>
      </c>
      <c r="H985" t="s">
        <v>15</v>
      </c>
      <c r="I985" t="s">
        <v>23</v>
      </c>
      <c r="J985" t="s">
        <v>42</v>
      </c>
      <c r="K985" s="11" t="str">
        <f t="shared" ca="1" si="15"/>
        <v>6 Years</v>
      </c>
      <c r="L985" s="3" cm="1">
        <f t="array" ref="L985">_xlfn.SWITCH(Table13_24[[#This Row],[Performance Score]],"A",6,"B",5,"C",4,"D",3,"E",2,"F",1)</f>
        <v>3</v>
      </c>
    </row>
    <row r="986" spans="1:12" x14ac:dyDescent="0.3">
      <c r="A986" t="s">
        <v>18</v>
      </c>
      <c r="B986">
        <v>40</v>
      </c>
      <c r="C986" s="1">
        <v>49144.385026737968</v>
      </c>
      <c r="D986" t="s">
        <v>19</v>
      </c>
      <c r="E986" t="s">
        <v>35</v>
      </c>
      <c r="F986" t="s">
        <v>21</v>
      </c>
      <c r="G986" s="11">
        <v>43549</v>
      </c>
      <c r="H986" t="s">
        <v>38</v>
      </c>
      <c r="I986" t="s">
        <v>39</v>
      </c>
      <c r="J986" t="s">
        <v>17</v>
      </c>
      <c r="K986" s="11" t="str">
        <f t="shared" ca="1" si="15"/>
        <v>6 Years</v>
      </c>
      <c r="L986" s="3" cm="1">
        <f t="array" ref="L986">_xlfn.SWITCH(Table13_24[[#This Row],[Performance Score]],"A",6,"B",5,"C",4,"D",3,"E",2,"F",1)</f>
        <v>5</v>
      </c>
    </row>
    <row r="987" spans="1:12" x14ac:dyDescent="0.3">
      <c r="A987" t="s">
        <v>18</v>
      </c>
      <c r="B987">
        <v>25</v>
      </c>
      <c r="C987" s="1">
        <v>65000</v>
      </c>
      <c r="D987" t="s">
        <v>19</v>
      </c>
      <c r="E987" t="s">
        <v>30</v>
      </c>
      <c r="F987" t="s">
        <v>14</v>
      </c>
      <c r="G987" s="11">
        <v>43881</v>
      </c>
      <c r="H987" t="s">
        <v>22</v>
      </c>
      <c r="I987" t="s">
        <v>39</v>
      </c>
      <c r="J987" t="s">
        <v>17</v>
      </c>
      <c r="K987" s="11" t="str">
        <f t="shared" ca="1" si="15"/>
        <v>5 Years</v>
      </c>
      <c r="L987" s="3" cm="1">
        <f t="array" ref="L987">_xlfn.SWITCH(Table13_24[[#This Row],[Performance Score]],"A",6,"B",5,"C",4,"D",3,"E",2,"F",1)</f>
        <v>1</v>
      </c>
    </row>
    <row r="988" spans="1:12" x14ac:dyDescent="0.3">
      <c r="A988" t="s">
        <v>33</v>
      </c>
      <c r="B988">
        <v>40</v>
      </c>
      <c r="C988" s="1">
        <v>55000</v>
      </c>
      <c r="D988" t="s">
        <v>19</v>
      </c>
      <c r="E988" t="s">
        <v>20</v>
      </c>
      <c r="F988" t="s">
        <v>41</v>
      </c>
      <c r="G988" s="11">
        <v>43549</v>
      </c>
      <c r="H988" t="s">
        <v>31</v>
      </c>
      <c r="I988" t="s">
        <v>23</v>
      </c>
      <c r="J988" t="s">
        <v>28</v>
      </c>
      <c r="K988" s="11" t="str">
        <f t="shared" ca="1" si="15"/>
        <v>6 Years</v>
      </c>
      <c r="L988" s="3" cm="1">
        <f t="array" ref="L988">_xlfn.SWITCH(Table13_24[[#This Row],[Performance Score]],"A",6,"B",5,"C",4,"D",3,"E",2,"F",1)</f>
        <v>6</v>
      </c>
    </row>
    <row r="989" spans="1:12" x14ac:dyDescent="0.3">
      <c r="A989" t="s">
        <v>29</v>
      </c>
      <c r="B989">
        <v>50</v>
      </c>
      <c r="C989" s="1">
        <v>60000</v>
      </c>
      <c r="D989" t="s">
        <v>19</v>
      </c>
      <c r="E989" t="s">
        <v>26</v>
      </c>
      <c r="F989" t="s">
        <v>14</v>
      </c>
      <c r="G989" s="11">
        <v>43845</v>
      </c>
      <c r="H989" t="s">
        <v>22</v>
      </c>
      <c r="I989" t="s">
        <v>23</v>
      </c>
      <c r="J989" t="s">
        <v>42</v>
      </c>
      <c r="K989" s="11" t="str">
        <f t="shared" ca="1" si="15"/>
        <v>5 Years</v>
      </c>
      <c r="L989" s="3" cm="1">
        <f t="array" ref="L989">_xlfn.SWITCH(Table13_24[[#This Row],[Performance Score]],"A",6,"B",5,"C",4,"D",3,"E",2,"F",1)</f>
        <v>1</v>
      </c>
    </row>
    <row r="990" spans="1:12" x14ac:dyDescent="0.3">
      <c r="A990" t="s">
        <v>18</v>
      </c>
      <c r="B990">
        <v>40</v>
      </c>
      <c r="C990" s="1">
        <v>70000</v>
      </c>
      <c r="D990" t="s">
        <v>19</v>
      </c>
      <c r="E990" t="s">
        <v>30</v>
      </c>
      <c r="F990" t="s">
        <v>14</v>
      </c>
      <c r="G990" s="11">
        <v>43477</v>
      </c>
      <c r="H990" t="s">
        <v>27</v>
      </c>
      <c r="I990" t="s">
        <v>23</v>
      </c>
      <c r="J990" t="s">
        <v>17</v>
      </c>
      <c r="K990" s="11" t="str">
        <f t="shared" ca="1" si="15"/>
        <v>6 Years</v>
      </c>
      <c r="L990" s="3" cm="1">
        <f t="array" ref="L990">_xlfn.SWITCH(Table13_24[[#This Row],[Performance Score]],"A",6,"B",5,"C",4,"D",3,"E",2,"F",1)</f>
        <v>4</v>
      </c>
    </row>
    <row r="991" spans="1:12" x14ac:dyDescent="0.3">
      <c r="A991" t="s">
        <v>33</v>
      </c>
      <c r="B991">
        <v>50</v>
      </c>
      <c r="C991" s="1">
        <v>60000</v>
      </c>
      <c r="D991" t="s">
        <v>19</v>
      </c>
      <c r="E991" t="s">
        <v>26</v>
      </c>
      <c r="F991" t="s">
        <v>21</v>
      </c>
      <c r="G991" s="11">
        <v>43477</v>
      </c>
      <c r="H991" t="s">
        <v>22</v>
      </c>
      <c r="I991" t="s">
        <v>23</v>
      </c>
      <c r="J991" t="s">
        <v>24</v>
      </c>
      <c r="K991" s="11" t="str">
        <f t="shared" ca="1" si="15"/>
        <v>6 Years</v>
      </c>
      <c r="L991" s="3" cm="1">
        <f t="array" ref="L991">_xlfn.SWITCH(Table13_24[[#This Row],[Performance Score]],"A",6,"B",5,"C",4,"D",3,"E",2,"F",1)</f>
        <v>1</v>
      </c>
    </row>
    <row r="992" spans="1:12" x14ac:dyDescent="0.3">
      <c r="A992" t="s">
        <v>25</v>
      </c>
      <c r="B992">
        <v>30</v>
      </c>
      <c r="C992" s="1">
        <v>60000</v>
      </c>
      <c r="D992" t="s">
        <v>12</v>
      </c>
      <c r="E992" t="s">
        <v>13</v>
      </c>
      <c r="F992" t="s">
        <v>40</v>
      </c>
      <c r="G992" s="11">
        <v>43549</v>
      </c>
      <c r="H992" t="s">
        <v>27</v>
      </c>
      <c r="I992" t="s">
        <v>16</v>
      </c>
      <c r="J992" t="s">
        <v>17</v>
      </c>
      <c r="K992" s="11" t="str">
        <f t="shared" ca="1" si="15"/>
        <v>6 Years</v>
      </c>
      <c r="L992" s="3" cm="1">
        <f t="array" ref="L992">_xlfn.SWITCH(Table13_24[[#This Row],[Performance Score]],"A",6,"B",5,"C",4,"D",3,"E",2,"F",1)</f>
        <v>4</v>
      </c>
    </row>
    <row r="993" spans="1:12" x14ac:dyDescent="0.3">
      <c r="A993" t="s">
        <v>43</v>
      </c>
      <c r="B993">
        <v>25</v>
      </c>
      <c r="C993" s="1">
        <v>55000</v>
      </c>
      <c r="D993" t="s">
        <v>34</v>
      </c>
      <c r="E993" t="s">
        <v>35</v>
      </c>
      <c r="F993" t="s">
        <v>14</v>
      </c>
      <c r="G993" s="11">
        <v>43549</v>
      </c>
      <c r="H993" t="s">
        <v>27</v>
      </c>
      <c r="I993" t="s">
        <v>39</v>
      </c>
      <c r="J993" t="s">
        <v>17</v>
      </c>
      <c r="K993" s="11" t="str">
        <f t="shared" ca="1" si="15"/>
        <v>6 Years</v>
      </c>
      <c r="L993" s="3" cm="1">
        <f t="array" ref="L993">_xlfn.SWITCH(Table13_24[[#This Row],[Performance Score]],"A",6,"B",5,"C",4,"D",3,"E",2,"F",1)</f>
        <v>4</v>
      </c>
    </row>
    <row r="994" spans="1:12" x14ac:dyDescent="0.3">
      <c r="A994" t="s">
        <v>43</v>
      </c>
      <c r="B994">
        <v>30</v>
      </c>
      <c r="C994" s="1">
        <v>60000</v>
      </c>
      <c r="D994" t="s">
        <v>19</v>
      </c>
      <c r="E994" t="s">
        <v>35</v>
      </c>
      <c r="F994" t="s">
        <v>41</v>
      </c>
      <c r="G994" s="11">
        <v>43881</v>
      </c>
      <c r="H994" t="s">
        <v>31</v>
      </c>
      <c r="I994" t="s">
        <v>16</v>
      </c>
      <c r="J994" t="s">
        <v>42</v>
      </c>
      <c r="K994" s="11" t="str">
        <f t="shared" ca="1" si="15"/>
        <v>5 Years</v>
      </c>
      <c r="L994" s="3" cm="1">
        <f t="array" ref="L994">_xlfn.SWITCH(Table13_24[[#This Row],[Performance Score]],"A",6,"B",5,"C",4,"D",3,"E",2,"F",1)</f>
        <v>6</v>
      </c>
    </row>
    <row r="995" spans="1:12" x14ac:dyDescent="0.3">
      <c r="A995" t="s">
        <v>25</v>
      </c>
      <c r="B995">
        <v>35</v>
      </c>
      <c r="C995" s="1">
        <v>48417.431192660551</v>
      </c>
      <c r="D995" t="s">
        <v>34</v>
      </c>
      <c r="E995" t="s">
        <v>20</v>
      </c>
      <c r="F995" t="s">
        <v>37</v>
      </c>
      <c r="G995" s="11">
        <v>43195</v>
      </c>
      <c r="H995" t="s">
        <v>38</v>
      </c>
      <c r="I995" t="s">
        <v>39</v>
      </c>
      <c r="J995" t="s">
        <v>24</v>
      </c>
      <c r="K995" s="11" t="str">
        <f t="shared" ca="1" si="15"/>
        <v>7 Years</v>
      </c>
      <c r="L995" s="3" cm="1">
        <f t="array" ref="L995">_xlfn.SWITCH(Table13_24[[#This Row],[Performance Score]],"A",6,"B",5,"C",4,"D",3,"E",2,"F",1)</f>
        <v>5</v>
      </c>
    </row>
    <row r="996" spans="1:12" x14ac:dyDescent="0.3">
      <c r="A996" t="s">
        <v>11</v>
      </c>
      <c r="B996">
        <v>30</v>
      </c>
      <c r="C996" s="1">
        <v>50000</v>
      </c>
      <c r="D996" t="s">
        <v>19</v>
      </c>
      <c r="E996" t="s">
        <v>35</v>
      </c>
      <c r="F996" t="s">
        <v>14</v>
      </c>
      <c r="G996" s="11">
        <v>43195</v>
      </c>
      <c r="H996" t="s">
        <v>31</v>
      </c>
      <c r="I996" t="s">
        <v>39</v>
      </c>
      <c r="J996" t="s">
        <v>17</v>
      </c>
      <c r="K996" s="11" t="str">
        <f t="shared" ca="1" si="15"/>
        <v>7 Years</v>
      </c>
      <c r="L996" s="3" cm="1">
        <f t="array" ref="L996">_xlfn.SWITCH(Table13_24[[#This Row],[Performance Score]],"A",6,"B",5,"C",4,"D",3,"E",2,"F",1)</f>
        <v>6</v>
      </c>
    </row>
    <row r="997" spans="1:12" x14ac:dyDescent="0.3">
      <c r="A997" t="s">
        <v>33</v>
      </c>
      <c r="B997">
        <v>50</v>
      </c>
      <c r="C997" s="1">
        <v>65000</v>
      </c>
      <c r="D997" t="s">
        <v>19</v>
      </c>
      <c r="E997" t="s">
        <v>13</v>
      </c>
      <c r="F997" t="s">
        <v>14</v>
      </c>
      <c r="G997" s="11">
        <v>43881</v>
      </c>
      <c r="H997" t="s">
        <v>22</v>
      </c>
      <c r="I997" t="s">
        <v>39</v>
      </c>
      <c r="J997" t="s">
        <v>28</v>
      </c>
      <c r="K997" s="11" t="str">
        <f t="shared" ca="1" si="15"/>
        <v>5 Years</v>
      </c>
      <c r="L997" s="3" cm="1">
        <f t="array" ref="L997">_xlfn.SWITCH(Table13_24[[#This Row],[Performance Score]],"A",6,"B",5,"C",4,"D",3,"E",2,"F",1)</f>
        <v>1</v>
      </c>
    </row>
    <row r="998" spans="1:12" x14ac:dyDescent="0.3">
      <c r="A998" t="s">
        <v>33</v>
      </c>
      <c r="B998">
        <v>30</v>
      </c>
      <c r="C998" s="1">
        <v>50000</v>
      </c>
      <c r="D998" t="s">
        <v>12</v>
      </c>
      <c r="E998" t="s">
        <v>20</v>
      </c>
      <c r="F998" t="s">
        <v>41</v>
      </c>
      <c r="G998" s="11">
        <v>43195</v>
      </c>
      <c r="H998" t="s">
        <v>27</v>
      </c>
      <c r="I998" t="s">
        <v>39</v>
      </c>
      <c r="J998" t="s">
        <v>42</v>
      </c>
      <c r="K998" s="11" t="str">
        <f t="shared" ca="1" si="15"/>
        <v>7 Years</v>
      </c>
      <c r="L998" s="3" cm="1">
        <f t="array" ref="L998">_xlfn.SWITCH(Table13_24[[#This Row],[Performance Score]],"A",6,"B",5,"C",4,"D",3,"E",2,"F",1)</f>
        <v>4</v>
      </c>
    </row>
    <row r="999" spans="1:12" x14ac:dyDescent="0.3">
      <c r="A999" t="s">
        <v>25</v>
      </c>
      <c r="B999">
        <v>30</v>
      </c>
      <c r="C999" s="1">
        <v>70000</v>
      </c>
      <c r="D999" t="s">
        <v>12</v>
      </c>
      <c r="E999" t="s">
        <v>30</v>
      </c>
      <c r="F999" t="s">
        <v>40</v>
      </c>
      <c r="G999" s="11">
        <v>43845</v>
      </c>
      <c r="H999" t="s">
        <v>15</v>
      </c>
      <c r="I999" t="s">
        <v>23</v>
      </c>
      <c r="J999" t="s">
        <v>17</v>
      </c>
      <c r="K999" s="11" t="str">
        <f t="shared" ca="1" si="15"/>
        <v>5 Years</v>
      </c>
      <c r="L999" s="3" cm="1">
        <f t="array" ref="L999">_xlfn.SWITCH(Table13_24[[#This Row],[Performance Score]],"A",6,"B",5,"C",4,"D",3,"E",2,"F",1)</f>
        <v>3</v>
      </c>
    </row>
    <row r="1000" spans="1:12" x14ac:dyDescent="0.3">
      <c r="A1000" t="s">
        <v>44</v>
      </c>
      <c r="B1000">
        <v>25</v>
      </c>
      <c r="C1000" s="1">
        <v>65000</v>
      </c>
      <c r="D1000" t="s">
        <v>34</v>
      </c>
      <c r="E1000" t="s">
        <v>35</v>
      </c>
      <c r="F1000" t="s">
        <v>14</v>
      </c>
      <c r="G1000" s="11">
        <v>43195</v>
      </c>
      <c r="H1000" t="s">
        <v>15</v>
      </c>
      <c r="I1000" t="s">
        <v>16</v>
      </c>
      <c r="J1000" t="s">
        <v>17</v>
      </c>
      <c r="K1000" s="11" t="str">
        <f t="shared" ca="1" si="15"/>
        <v>7 Years</v>
      </c>
      <c r="L1000" s="3" cm="1">
        <f t="array" ref="L1000">_xlfn.SWITCH(Table13_24[[#This Row],[Performance Score]],"A",6,"B",5,"C",4,"D",3,"E",2,"F",1)</f>
        <v>3</v>
      </c>
    </row>
    <row r="1001" spans="1:12" x14ac:dyDescent="0.3">
      <c r="A1001" t="s">
        <v>46</v>
      </c>
      <c r="B1001">
        <v>30</v>
      </c>
      <c r="C1001" s="1">
        <v>60000</v>
      </c>
      <c r="D1001" t="s">
        <v>12</v>
      </c>
      <c r="E1001" t="s">
        <v>20</v>
      </c>
      <c r="F1001" t="s">
        <v>14</v>
      </c>
      <c r="G1001" s="11">
        <v>43881</v>
      </c>
      <c r="H1001" t="s">
        <v>27</v>
      </c>
      <c r="I1001" t="s">
        <v>23</v>
      </c>
      <c r="J1001" t="s">
        <v>24</v>
      </c>
      <c r="K1001" s="11" t="str">
        <f t="shared" ca="1" si="15"/>
        <v>5 Years</v>
      </c>
      <c r="L1001" s="3" cm="1">
        <f t="array" ref="L1001">_xlfn.SWITCH(Table13_24[[#This Row],[Performance Score]],"A",6,"B",5,"C",4,"D",3,"E",2,"F",1)</f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1D50-5FF9-4B15-8C82-70621F3834DC}">
  <dimension ref="A1:L1001"/>
  <sheetViews>
    <sheetView tabSelected="1" workbookViewId="0">
      <selection activeCell="M9" sqref="M9"/>
    </sheetView>
  </sheetViews>
  <sheetFormatPr defaultRowHeight="14.4" x14ac:dyDescent="0.3"/>
  <cols>
    <col min="1" max="1" width="8.21875" bestFit="1" customWidth="1"/>
    <col min="2" max="2" width="6.21875" bestFit="1" customWidth="1"/>
    <col min="3" max="3" width="10.44140625" bestFit="1" customWidth="1"/>
    <col min="4" max="4" width="9.33203125" bestFit="1" customWidth="1"/>
    <col min="5" max="5" width="13.21875" bestFit="1" customWidth="1"/>
    <col min="6" max="6" width="10" bestFit="1" customWidth="1"/>
    <col min="7" max="7" width="13.109375" style="2" bestFit="1" customWidth="1"/>
    <col min="8" max="8" width="19.109375" bestFit="1" customWidth="1"/>
    <col min="9" max="9" width="18.21875" bestFit="1" customWidth="1"/>
    <col min="10" max="10" width="15.5546875" bestFit="1" customWidth="1"/>
    <col min="11" max="11" width="23.6640625" bestFit="1" customWidth="1"/>
    <col min="12" max="12" width="19.109375" bestFit="1" customWidth="1"/>
  </cols>
  <sheetData>
    <row r="1" spans="1:12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47</v>
      </c>
    </row>
    <row r="2" spans="1:12" x14ac:dyDescent="0.3">
      <c r="A2" t="s">
        <v>11</v>
      </c>
      <c r="B2">
        <v>25</v>
      </c>
      <c r="C2" s="1">
        <v>50000</v>
      </c>
      <c r="D2" t="s">
        <v>12</v>
      </c>
      <c r="E2" t="s">
        <v>13</v>
      </c>
      <c r="F2" t="s">
        <v>14</v>
      </c>
      <c r="G2" s="2">
        <v>43195</v>
      </c>
      <c r="H2" t="s">
        <v>15</v>
      </c>
      <c r="I2" t="s">
        <v>16</v>
      </c>
      <c r="J2" t="s">
        <v>17</v>
      </c>
      <c r="K2" s="2" t="str">
        <f ca="1">DATEDIF(G2,TODAY(),"Y") &amp; " Years"</f>
        <v>7 Years</v>
      </c>
      <c r="L2" s="3" cm="1">
        <f t="array" ref="L2">_xlfn.SWITCH(Table13_2[[#This Row],[Performance Score]],"A",6,"B",5,"C",4,"D",3,"E",2,"F",1)</f>
        <v>3</v>
      </c>
    </row>
    <row r="3" spans="1:12" x14ac:dyDescent="0.3">
      <c r="A3" t="s">
        <v>18</v>
      </c>
      <c r="B3">
        <v>36</v>
      </c>
      <c r="C3" s="1">
        <v>65000</v>
      </c>
      <c r="D3" t="s">
        <v>19</v>
      </c>
      <c r="E3" t="s">
        <v>20</v>
      </c>
      <c r="F3" t="s">
        <v>21</v>
      </c>
      <c r="G3" s="2">
        <v>43881</v>
      </c>
      <c r="H3" t="s">
        <v>22</v>
      </c>
      <c r="I3" t="s">
        <v>23</v>
      </c>
      <c r="J3" t="s">
        <v>24</v>
      </c>
      <c r="K3" s="2" t="str">
        <f t="shared" ref="K3:K66" ca="1" si="0">DATEDIF(G3,TODAY(),"Y") &amp; " Years"</f>
        <v>5 Years</v>
      </c>
      <c r="L3" s="3" cm="1">
        <f t="array" ref="L3">_xlfn.SWITCH(Table13_2[[#This Row],[Performance Score]],"A",6,"B",5,"C",4,"D",3,"E",2,"F",1)</f>
        <v>1</v>
      </c>
    </row>
    <row r="4" spans="1:12" x14ac:dyDescent="0.3">
      <c r="A4" t="s">
        <v>25</v>
      </c>
      <c r="B4">
        <v>35</v>
      </c>
      <c r="C4" s="1">
        <v>60000</v>
      </c>
      <c r="D4" t="s">
        <v>19</v>
      </c>
      <c r="E4" t="s">
        <v>26</v>
      </c>
      <c r="F4" t="s">
        <v>21</v>
      </c>
      <c r="G4" s="2">
        <v>43845</v>
      </c>
      <c r="H4" t="s">
        <v>27</v>
      </c>
      <c r="I4" t="s">
        <v>16</v>
      </c>
      <c r="J4" t="s">
        <v>28</v>
      </c>
      <c r="K4" s="2" t="str">
        <f t="shared" ca="1" si="0"/>
        <v>5 Years</v>
      </c>
      <c r="L4" s="3" cm="1">
        <f t="array" ref="L4">_xlfn.SWITCH(Table13_2[[#This Row],[Performance Score]],"A",6,"B",5,"C",4,"D",3,"E",2,"F",1)</f>
        <v>4</v>
      </c>
    </row>
    <row r="5" spans="1:12" x14ac:dyDescent="0.3">
      <c r="A5" t="s">
        <v>29</v>
      </c>
      <c r="B5">
        <v>36</v>
      </c>
      <c r="C5" s="1">
        <v>50000</v>
      </c>
      <c r="D5" t="s">
        <v>19</v>
      </c>
      <c r="E5" t="s">
        <v>30</v>
      </c>
      <c r="F5" t="s">
        <v>14</v>
      </c>
      <c r="G5" s="2">
        <v>43195</v>
      </c>
      <c r="H5" t="s">
        <v>31</v>
      </c>
      <c r="I5" t="s">
        <v>32</v>
      </c>
      <c r="J5" t="s">
        <v>17</v>
      </c>
      <c r="K5" s="2" t="str">
        <f t="shared" ca="1" si="0"/>
        <v>7 Years</v>
      </c>
      <c r="L5" s="3" cm="1">
        <f t="array" ref="L5">_xlfn.SWITCH(Table13_2[[#This Row],[Performance Score]],"A",6,"B",5,"C",4,"D",3,"E",2,"F",1)</f>
        <v>6</v>
      </c>
    </row>
    <row r="6" spans="1:12" x14ac:dyDescent="0.3">
      <c r="A6" t="s">
        <v>11</v>
      </c>
      <c r="B6">
        <v>36</v>
      </c>
      <c r="C6" s="1">
        <v>48417.431192660551</v>
      </c>
      <c r="D6" t="s">
        <v>19</v>
      </c>
      <c r="E6" t="s">
        <v>20</v>
      </c>
      <c r="F6" t="s">
        <v>14</v>
      </c>
      <c r="G6" s="2">
        <v>43845</v>
      </c>
      <c r="H6" t="s">
        <v>22</v>
      </c>
      <c r="I6" t="s">
        <v>32</v>
      </c>
      <c r="J6" t="s">
        <v>28</v>
      </c>
      <c r="K6" s="2" t="str">
        <f t="shared" ca="1" si="0"/>
        <v>5 Years</v>
      </c>
      <c r="L6" s="3" cm="1">
        <f t="array" ref="L6">_xlfn.SWITCH(Table13_2[[#This Row],[Performance Score]],"A",6,"B",5,"C",4,"D",3,"E",2,"F",1)</f>
        <v>1</v>
      </c>
    </row>
    <row r="7" spans="1:12" x14ac:dyDescent="0.3">
      <c r="A7" t="s">
        <v>33</v>
      </c>
      <c r="B7">
        <v>36</v>
      </c>
      <c r="C7" s="1">
        <v>65000</v>
      </c>
      <c r="D7" t="s">
        <v>34</v>
      </c>
      <c r="E7" t="s">
        <v>35</v>
      </c>
      <c r="F7" t="s">
        <v>21</v>
      </c>
      <c r="G7" s="2">
        <v>43549</v>
      </c>
      <c r="H7" t="s">
        <v>22</v>
      </c>
      <c r="I7" t="s">
        <v>23</v>
      </c>
      <c r="J7" t="s">
        <v>17</v>
      </c>
      <c r="K7" s="2" t="str">
        <f t="shared" ca="1" si="0"/>
        <v>6 Years</v>
      </c>
      <c r="L7" s="3" cm="1">
        <f t="array" ref="L7">_xlfn.SWITCH(Table13_2[[#This Row],[Performance Score]],"A",6,"B",5,"C",4,"D",3,"E",2,"F",1)</f>
        <v>1</v>
      </c>
    </row>
    <row r="8" spans="1:12" x14ac:dyDescent="0.3">
      <c r="A8" t="s">
        <v>36</v>
      </c>
      <c r="B8">
        <v>36</v>
      </c>
      <c r="C8" s="1">
        <v>50000</v>
      </c>
      <c r="D8" t="s">
        <v>12</v>
      </c>
      <c r="E8" t="s">
        <v>35</v>
      </c>
      <c r="F8" t="s">
        <v>37</v>
      </c>
      <c r="G8" s="2">
        <v>43800</v>
      </c>
      <c r="H8" t="s">
        <v>38</v>
      </c>
      <c r="I8" t="s">
        <v>39</v>
      </c>
      <c r="J8" t="s">
        <v>24</v>
      </c>
      <c r="K8" s="2" t="str">
        <f t="shared" ca="1" si="0"/>
        <v>6 Years</v>
      </c>
      <c r="L8" s="3" cm="1">
        <f t="array" ref="L8">_xlfn.SWITCH(Table13_2[[#This Row],[Performance Score]],"A",6,"B",5,"C",4,"D",3,"E",2,"F",1)</f>
        <v>5</v>
      </c>
    </row>
    <row r="9" spans="1:12" x14ac:dyDescent="0.3">
      <c r="A9" t="s">
        <v>11</v>
      </c>
      <c r="B9">
        <v>40</v>
      </c>
      <c r="C9" s="1">
        <v>50000</v>
      </c>
      <c r="D9" t="s">
        <v>34</v>
      </c>
      <c r="E9" t="s">
        <v>13</v>
      </c>
      <c r="F9" t="s">
        <v>21</v>
      </c>
      <c r="G9" s="2">
        <v>43549</v>
      </c>
      <c r="H9" t="s">
        <v>27</v>
      </c>
      <c r="I9" t="s">
        <v>39</v>
      </c>
      <c r="J9" t="s">
        <v>17</v>
      </c>
      <c r="K9" s="2" t="str">
        <f t="shared" ca="1" si="0"/>
        <v>6 Years</v>
      </c>
      <c r="L9" s="3" cm="1">
        <f t="array" ref="L9">_xlfn.SWITCH(Table13_2[[#This Row],[Performance Score]],"A",6,"B",5,"C",4,"D",3,"E",2,"F",1)</f>
        <v>4</v>
      </c>
    </row>
    <row r="10" spans="1:12" x14ac:dyDescent="0.3">
      <c r="A10" t="s">
        <v>25</v>
      </c>
      <c r="B10">
        <v>40</v>
      </c>
      <c r="C10" s="1">
        <v>60000</v>
      </c>
      <c r="D10" t="s">
        <v>19</v>
      </c>
      <c r="E10" t="s">
        <v>35</v>
      </c>
      <c r="F10" t="s">
        <v>14</v>
      </c>
      <c r="G10" s="2">
        <v>43845</v>
      </c>
      <c r="H10" t="s">
        <v>27</v>
      </c>
      <c r="I10" t="s">
        <v>23</v>
      </c>
      <c r="J10" t="s">
        <v>24</v>
      </c>
      <c r="K10" s="2" t="str">
        <f t="shared" ca="1" si="0"/>
        <v>5 Years</v>
      </c>
      <c r="L10" s="3" cm="1">
        <f t="array" ref="L10">_xlfn.SWITCH(Table13_2[[#This Row],[Performance Score]],"A",6,"B",5,"C",4,"D",3,"E",2,"F",1)</f>
        <v>4</v>
      </c>
    </row>
    <row r="11" spans="1:12" x14ac:dyDescent="0.3">
      <c r="A11" t="s">
        <v>29</v>
      </c>
      <c r="B11">
        <v>30</v>
      </c>
      <c r="C11" s="1">
        <v>48417.431192660551</v>
      </c>
      <c r="D11" t="s">
        <v>34</v>
      </c>
      <c r="E11" t="s">
        <v>20</v>
      </c>
      <c r="F11" t="s">
        <v>40</v>
      </c>
      <c r="G11" s="2">
        <v>43881</v>
      </c>
      <c r="H11" t="s">
        <v>31</v>
      </c>
      <c r="I11" t="s">
        <v>39</v>
      </c>
      <c r="J11" t="s">
        <v>17</v>
      </c>
      <c r="K11" s="2" t="str">
        <f t="shared" ca="1" si="0"/>
        <v>5 Years</v>
      </c>
      <c r="L11" s="3" cm="1">
        <f t="array" ref="L11">_xlfn.SWITCH(Table13_2[[#This Row],[Performance Score]],"A",6,"B",5,"C",4,"D",3,"E",2,"F",1)</f>
        <v>6</v>
      </c>
    </row>
    <row r="12" spans="1:12" x14ac:dyDescent="0.3">
      <c r="A12" t="s">
        <v>18</v>
      </c>
      <c r="B12">
        <v>25</v>
      </c>
      <c r="C12" s="1">
        <v>70000</v>
      </c>
      <c r="D12" t="s">
        <v>12</v>
      </c>
      <c r="E12" t="s">
        <v>35</v>
      </c>
      <c r="F12" t="s">
        <v>41</v>
      </c>
      <c r="G12" s="2">
        <v>43800</v>
      </c>
      <c r="H12" t="s">
        <v>38</v>
      </c>
      <c r="I12" t="s">
        <v>39</v>
      </c>
      <c r="J12" t="s">
        <v>24</v>
      </c>
      <c r="K12" s="2" t="str">
        <f t="shared" ca="1" si="0"/>
        <v>6 Years</v>
      </c>
      <c r="L12" s="3" cm="1">
        <f t="array" ref="L12">_xlfn.SWITCH(Table13_2[[#This Row],[Performance Score]],"A",6,"B",5,"C",4,"D",3,"E",2,"F",1)</f>
        <v>5</v>
      </c>
    </row>
    <row r="13" spans="1:12" x14ac:dyDescent="0.3">
      <c r="A13" t="s">
        <v>25</v>
      </c>
      <c r="B13">
        <v>36</v>
      </c>
      <c r="C13" s="1">
        <v>70000</v>
      </c>
      <c r="D13" t="s">
        <v>34</v>
      </c>
      <c r="E13" t="s">
        <v>20</v>
      </c>
      <c r="F13" t="s">
        <v>40</v>
      </c>
      <c r="G13" s="2">
        <v>43549</v>
      </c>
      <c r="H13" t="s">
        <v>31</v>
      </c>
      <c r="I13" t="s">
        <v>39</v>
      </c>
      <c r="J13" t="s">
        <v>17</v>
      </c>
      <c r="K13" s="2" t="str">
        <f t="shared" ca="1" si="0"/>
        <v>6 Years</v>
      </c>
      <c r="L13" s="3" cm="1">
        <f t="array" ref="L13">_xlfn.SWITCH(Table13_2[[#This Row],[Performance Score]],"A",6,"B",5,"C",4,"D",3,"E",2,"F",1)</f>
        <v>6</v>
      </c>
    </row>
    <row r="14" spans="1:12" x14ac:dyDescent="0.3">
      <c r="A14" t="s">
        <v>25</v>
      </c>
      <c r="B14">
        <v>30</v>
      </c>
      <c r="C14" s="1">
        <v>50000</v>
      </c>
      <c r="D14" t="s">
        <v>12</v>
      </c>
      <c r="E14" t="s">
        <v>30</v>
      </c>
      <c r="F14" t="s">
        <v>40</v>
      </c>
      <c r="G14" s="2">
        <v>43195</v>
      </c>
      <c r="H14" t="s">
        <v>15</v>
      </c>
      <c r="I14" t="s">
        <v>39</v>
      </c>
      <c r="J14" t="s">
        <v>17</v>
      </c>
      <c r="K14" s="2" t="str">
        <f t="shared" ca="1" si="0"/>
        <v>7 Years</v>
      </c>
      <c r="L14" s="3" cm="1">
        <f t="array" ref="L14">_xlfn.SWITCH(Table13_2[[#This Row],[Performance Score]],"A",6,"B",5,"C",4,"D",3,"E",2,"F",1)</f>
        <v>3</v>
      </c>
    </row>
    <row r="15" spans="1:12" x14ac:dyDescent="0.3">
      <c r="A15" t="s">
        <v>36</v>
      </c>
      <c r="B15">
        <v>25</v>
      </c>
      <c r="C15" s="1">
        <v>55000</v>
      </c>
      <c r="D15" t="s">
        <v>34</v>
      </c>
      <c r="E15" t="s">
        <v>13</v>
      </c>
      <c r="F15" t="s">
        <v>14</v>
      </c>
      <c r="G15" s="2">
        <v>43881</v>
      </c>
      <c r="H15" t="s">
        <v>22</v>
      </c>
      <c r="I15" t="s">
        <v>39</v>
      </c>
      <c r="J15" t="s">
        <v>42</v>
      </c>
      <c r="K15" s="2" t="str">
        <f t="shared" ca="1" si="0"/>
        <v>5 Years</v>
      </c>
      <c r="L15" s="3" cm="1">
        <f t="array" ref="L15">_xlfn.SWITCH(Table13_2[[#This Row],[Performance Score]],"A",6,"B",5,"C",4,"D",3,"E",2,"F",1)</f>
        <v>1</v>
      </c>
    </row>
    <row r="16" spans="1:12" x14ac:dyDescent="0.3">
      <c r="A16" t="s">
        <v>43</v>
      </c>
      <c r="B16">
        <v>50</v>
      </c>
      <c r="C16" s="1">
        <v>49144.385026737968</v>
      </c>
      <c r="D16" t="s">
        <v>12</v>
      </c>
      <c r="E16" t="s">
        <v>35</v>
      </c>
      <c r="F16" t="s">
        <v>21</v>
      </c>
      <c r="G16" s="2">
        <v>43549</v>
      </c>
      <c r="H16" t="s">
        <v>31</v>
      </c>
      <c r="I16" t="s">
        <v>39</v>
      </c>
      <c r="J16" t="s">
        <v>24</v>
      </c>
      <c r="K16" s="2" t="str">
        <f t="shared" ca="1" si="0"/>
        <v>6 Years</v>
      </c>
      <c r="L16" s="3" cm="1">
        <f t="array" ref="L16">_xlfn.SWITCH(Table13_2[[#This Row],[Performance Score]],"A",6,"B",5,"C",4,"D",3,"E",2,"F",1)</f>
        <v>6</v>
      </c>
    </row>
    <row r="17" spans="1:12" x14ac:dyDescent="0.3">
      <c r="A17" t="s">
        <v>29</v>
      </c>
      <c r="B17">
        <v>35</v>
      </c>
      <c r="C17" s="1">
        <v>65000</v>
      </c>
      <c r="D17" t="s">
        <v>12</v>
      </c>
      <c r="E17" t="s">
        <v>20</v>
      </c>
      <c r="F17" t="s">
        <v>37</v>
      </c>
      <c r="G17" s="2">
        <v>43195</v>
      </c>
      <c r="H17" t="s">
        <v>22</v>
      </c>
      <c r="I17" t="s">
        <v>39</v>
      </c>
      <c r="J17" t="s">
        <v>24</v>
      </c>
      <c r="K17" s="2" t="str">
        <f t="shared" ca="1" si="0"/>
        <v>7 Years</v>
      </c>
      <c r="L17" s="3" cm="1">
        <f t="array" ref="L17">_xlfn.SWITCH(Table13_2[[#This Row],[Performance Score]],"A",6,"B",5,"C",4,"D",3,"E",2,"F",1)</f>
        <v>1</v>
      </c>
    </row>
    <row r="18" spans="1:12" x14ac:dyDescent="0.3">
      <c r="A18" t="s">
        <v>44</v>
      </c>
      <c r="B18">
        <v>40</v>
      </c>
      <c r="C18" s="1">
        <v>55000</v>
      </c>
      <c r="D18" t="s">
        <v>19</v>
      </c>
      <c r="E18" t="s">
        <v>26</v>
      </c>
      <c r="F18" t="s">
        <v>40</v>
      </c>
      <c r="G18" s="2">
        <v>43845</v>
      </c>
      <c r="H18" t="s">
        <v>38</v>
      </c>
      <c r="I18" t="s">
        <v>39</v>
      </c>
      <c r="J18" t="s">
        <v>28</v>
      </c>
      <c r="K18" s="2" t="str">
        <f t="shared" ca="1" si="0"/>
        <v>5 Years</v>
      </c>
      <c r="L18" s="3" cm="1">
        <f t="array" ref="L18">_xlfn.SWITCH(Table13_2[[#This Row],[Performance Score]],"A",6,"B",5,"C",4,"D",3,"E",2,"F",1)</f>
        <v>5</v>
      </c>
    </row>
    <row r="19" spans="1:12" x14ac:dyDescent="0.3">
      <c r="A19" t="s">
        <v>25</v>
      </c>
      <c r="B19">
        <v>50</v>
      </c>
      <c r="C19" s="1">
        <v>55000</v>
      </c>
      <c r="D19" t="s">
        <v>12</v>
      </c>
      <c r="E19" t="s">
        <v>13</v>
      </c>
      <c r="F19" t="s">
        <v>21</v>
      </c>
      <c r="G19" s="2">
        <v>43195</v>
      </c>
      <c r="H19" t="s">
        <v>15</v>
      </c>
      <c r="I19" t="s">
        <v>23</v>
      </c>
      <c r="J19" t="s">
        <v>17</v>
      </c>
      <c r="K19" s="2" t="str">
        <f t="shared" ca="1" si="0"/>
        <v>7 Years</v>
      </c>
      <c r="L19" s="3" cm="1">
        <f t="array" ref="L19">_xlfn.SWITCH(Table13_2[[#This Row],[Performance Score]],"A",6,"B",5,"C",4,"D",3,"E",2,"F",1)</f>
        <v>3</v>
      </c>
    </row>
    <row r="20" spans="1:12" x14ac:dyDescent="0.3">
      <c r="A20" t="s">
        <v>43</v>
      </c>
      <c r="B20">
        <v>25</v>
      </c>
      <c r="C20" s="1">
        <v>50777.202072538857</v>
      </c>
      <c r="D20" t="s">
        <v>19</v>
      </c>
      <c r="E20" t="s">
        <v>30</v>
      </c>
      <c r="F20" t="s">
        <v>37</v>
      </c>
      <c r="G20" s="2">
        <v>43549</v>
      </c>
      <c r="H20" t="s">
        <v>38</v>
      </c>
      <c r="I20" t="s">
        <v>16</v>
      </c>
      <c r="J20" t="s">
        <v>42</v>
      </c>
      <c r="K20" s="2" t="str">
        <f t="shared" ca="1" si="0"/>
        <v>6 Years</v>
      </c>
      <c r="L20" s="3" cm="1">
        <f t="array" ref="L20">_xlfn.SWITCH(Table13_2[[#This Row],[Performance Score]],"A",6,"B",5,"C",4,"D",3,"E",2,"F",1)</f>
        <v>5</v>
      </c>
    </row>
    <row r="21" spans="1:12" x14ac:dyDescent="0.3">
      <c r="A21" t="s">
        <v>44</v>
      </c>
      <c r="B21">
        <v>50</v>
      </c>
      <c r="C21" s="1">
        <v>50000</v>
      </c>
      <c r="D21" t="s">
        <v>19</v>
      </c>
      <c r="E21" t="s">
        <v>20</v>
      </c>
      <c r="F21" t="s">
        <v>40</v>
      </c>
      <c r="G21" s="2">
        <v>43549</v>
      </c>
      <c r="H21" t="s">
        <v>15</v>
      </c>
      <c r="I21" t="s">
        <v>23</v>
      </c>
      <c r="J21" t="s">
        <v>17</v>
      </c>
      <c r="K21" s="2" t="str">
        <f t="shared" ca="1" si="0"/>
        <v>6 Years</v>
      </c>
      <c r="L21" s="3" cm="1">
        <f t="array" ref="L21">_xlfn.SWITCH(Table13_2[[#This Row],[Performance Score]],"A",6,"B",5,"C",4,"D",3,"E",2,"F",1)</f>
        <v>3</v>
      </c>
    </row>
    <row r="22" spans="1:12" x14ac:dyDescent="0.3">
      <c r="A22" t="s">
        <v>29</v>
      </c>
      <c r="B22">
        <v>35</v>
      </c>
      <c r="C22" s="1">
        <v>50000</v>
      </c>
      <c r="D22" t="s">
        <v>19</v>
      </c>
      <c r="E22" t="s">
        <v>30</v>
      </c>
      <c r="F22" t="s">
        <v>37</v>
      </c>
      <c r="G22" s="2">
        <v>43845</v>
      </c>
      <c r="H22" t="s">
        <v>15</v>
      </c>
      <c r="I22" t="s">
        <v>16</v>
      </c>
      <c r="J22" t="s">
        <v>28</v>
      </c>
      <c r="K22" s="2" t="str">
        <f t="shared" ca="1" si="0"/>
        <v>5 Years</v>
      </c>
      <c r="L22" s="3" cm="1">
        <f t="array" ref="L22">_xlfn.SWITCH(Table13_2[[#This Row],[Performance Score]],"A",6,"B",5,"C",4,"D",3,"E",2,"F",1)</f>
        <v>3</v>
      </c>
    </row>
    <row r="23" spans="1:12" x14ac:dyDescent="0.3">
      <c r="A23" t="s">
        <v>45</v>
      </c>
      <c r="B23">
        <v>25</v>
      </c>
      <c r="C23" s="1">
        <v>50000</v>
      </c>
      <c r="D23" t="s">
        <v>34</v>
      </c>
      <c r="E23" t="s">
        <v>30</v>
      </c>
      <c r="F23" t="s">
        <v>21</v>
      </c>
      <c r="G23" s="2">
        <v>43195</v>
      </c>
      <c r="H23" t="s">
        <v>22</v>
      </c>
      <c r="I23" t="s">
        <v>23</v>
      </c>
      <c r="J23" t="s">
        <v>42</v>
      </c>
      <c r="K23" s="2" t="str">
        <f t="shared" ca="1" si="0"/>
        <v>7 Years</v>
      </c>
      <c r="L23" s="3" cm="1">
        <f t="array" ref="L23">_xlfn.SWITCH(Table13_2[[#This Row],[Performance Score]],"A",6,"B",5,"C",4,"D",3,"E",2,"F",1)</f>
        <v>1</v>
      </c>
    </row>
    <row r="24" spans="1:12" x14ac:dyDescent="0.3">
      <c r="A24" t="s">
        <v>33</v>
      </c>
      <c r="B24">
        <v>50</v>
      </c>
      <c r="C24" s="1">
        <v>50000</v>
      </c>
      <c r="D24" t="s">
        <v>34</v>
      </c>
      <c r="E24" t="s">
        <v>35</v>
      </c>
      <c r="F24" t="s">
        <v>41</v>
      </c>
      <c r="G24" s="2">
        <v>43195</v>
      </c>
      <c r="H24" t="s">
        <v>38</v>
      </c>
      <c r="I24" t="s">
        <v>16</v>
      </c>
      <c r="J24" t="s">
        <v>17</v>
      </c>
      <c r="K24" s="2" t="str">
        <f t="shared" ca="1" si="0"/>
        <v>7 Years</v>
      </c>
      <c r="L24" s="3" cm="1">
        <f t="array" ref="L24">_xlfn.SWITCH(Table13_2[[#This Row],[Performance Score]],"A",6,"B",5,"C",4,"D",3,"E",2,"F",1)</f>
        <v>5</v>
      </c>
    </row>
    <row r="25" spans="1:12" x14ac:dyDescent="0.3">
      <c r="A25" t="s">
        <v>43</v>
      </c>
      <c r="B25">
        <v>40</v>
      </c>
      <c r="C25" s="1">
        <v>70000</v>
      </c>
      <c r="D25" t="s">
        <v>34</v>
      </c>
      <c r="E25" t="s">
        <v>35</v>
      </c>
      <c r="F25" t="s">
        <v>21</v>
      </c>
      <c r="G25" s="2">
        <v>43845</v>
      </c>
      <c r="H25" t="s">
        <v>38</v>
      </c>
      <c r="I25" t="s">
        <v>16</v>
      </c>
      <c r="J25" t="s">
        <v>42</v>
      </c>
      <c r="K25" s="2" t="str">
        <f t="shared" ca="1" si="0"/>
        <v>5 Years</v>
      </c>
      <c r="L25" s="3" cm="1">
        <f t="array" ref="L25">_xlfn.SWITCH(Table13_2[[#This Row],[Performance Score]],"A",6,"B",5,"C",4,"D",3,"E",2,"F",1)</f>
        <v>5</v>
      </c>
    </row>
    <row r="26" spans="1:12" x14ac:dyDescent="0.3">
      <c r="A26" t="s">
        <v>46</v>
      </c>
      <c r="B26">
        <v>40</v>
      </c>
      <c r="C26" s="1">
        <v>50000</v>
      </c>
      <c r="D26" t="s">
        <v>34</v>
      </c>
      <c r="E26" t="s">
        <v>20</v>
      </c>
      <c r="F26" t="s">
        <v>14</v>
      </c>
      <c r="G26" s="2">
        <v>43195</v>
      </c>
      <c r="H26" t="s">
        <v>31</v>
      </c>
      <c r="I26" t="s">
        <v>32</v>
      </c>
      <c r="J26" t="s">
        <v>24</v>
      </c>
      <c r="K26" s="2" t="str">
        <f t="shared" ca="1" si="0"/>
        <v>7 Years</v>
      </c>
      <c r="L26" s="3" cm="1">
        <f t="array" ref="L26">_xlfn.SWITCH(Table13_2[[#This Row],[Performance Score]],"A",6,"B",5,"C",4,"D",3,"E",2,"F",1)</f>
        <v>6</v>
      </c>
    </row>
    <row r="27" spans="1:12" x14ac:dyDescent="0.3">
      <c r="A27" t="s">
        <v>45</v>
      </c>
      <c r="B27">
        <v>30</v>
      </c>
      <c r="C27" s="1">
        <v>70000</v>
      </c>
      <c r="D27" t="s">
        <v>12</v>
      </c>
      <c r="E27" t="s">
        <v>26</v>
      </c>
      <c r="F27" t="s">
        <v>37</v>
      </c>
      <c r="G27" s="2">
        <v>43845</v>
      </c>
      <c r="H27" t="s">
        <v>38</v>
      </c>
      <c r="I27" t="s">
        <v>16</v>
      </c>
      <c r="J27" t="s">
        <v>24</v>
      </c>
      <c r="K27" s="2" t="str">
        <f t="shared" ca="1" si="0"/>
        <v>5 Years</v>
      </c>
      <c r="L27" s="3" cm="1">
        <f t="array" ref="L27">_xlfn.SWITCH(Table13_2[[#This Row],[Performance Score]],"A",6,"B",5,"C",4,"D",3,"E",2,"F",1)</f>
        <v>5</v>
      </c>
    </row>
    <row r="28" spans="1:12" x14ac:dyDescent="0.3">
      <c r="A28" t="s">
        <v>33</v>
      </c>
      <c r="B28">
        <v>50</v>
      </c>
      <c r="C28" s="1">
        <v>70000</v>
      </c>
      <c r="D28" t="s">
        <v>12</v>
      </c>
      <c r="E28" t="s">
        <v>20</v>
      </c>
      <c r="F28" t="s">
        <v>41</v>
      </c>
      <c r="G28" s="2">
        <v>43881</v>
      </c>
      <c r="H28" t="s">
        <v>31</v>
      </c>
      <c r="I28" t="s">
        <v>16</v>
      </c>
      <c r="J28" t="s">
        <v>28</v>
      </c>
      <c r="K28" s="2" t="str">
        <f t="shared" ca="1" si="0"/>
        <v>5 Years</v>
      </c>
      <c r="L28" s="3" cm="1">
        <f t="array" ref="L28">_xlfn.SWITCH(Table13_2[[#This Row],[Performance Score]],"A",6,"B",5,"C",4,"D",3,"E",2,"F",1)</f>
        <v>6</v>
      </c>
    </row>
    <row r="29" spans="1:12" x14ac:dyDescent="0.3">
      <c r="A29" t="s">
        <v>36</v>
      </c>
      <c r="B29">
        <v>36</v>
      </c>
      <c r="C29" s="1">
        <v>50000</v>
      </c>
      <c r="D29" t="s">
        <v>34</v>
      </c>
      <c r="E29" t="s">
        <v>26</v>
      </c>
      <c r="F29" t="s">
        <v>37</v>
      </c>
      <c r="G29" s="2">
        <v>43549</v>
      </c>
      <c r="H29" t="s">
        <v>27</v>
      </c>
      <c r="I29" t="s">
        <v>32</v>
      </c>
      <c r="J29" t="s">
        <v>17</v>
      </c>
      <c r="K29" s="2" t="str">
        <f t="shared" ca="1" si="0"/>
        <v>6 Years</v>
      </c>
      <c r="L29" s="3" cm="1">
        <f t="array" ref="L29">_xlfn.SWITCH(Table13_2[[#This Row],[Performance Score]],"A",6,"B",5,"C",4,"D",3,"E",2,"F",1)</f>
        <v>4</v>
      </c>
    </row>
    <row r="30" spans="1:12" x14ac:dyDescent="0.3">
      <c r="A30" t="s">
        <v>11</v>
      </c>
      <c r="B30">
        <v>50</v>
      </c>
      <c r="C30" s="1">
        <v>60000</v>
      </c>
      <c r="D30" t="s">
        <v>12</v>
      </c>
      <c r="E30" t="s">
        <v>30</v>
      </c>
      <c r="F30" t="s">
        <v>37</v>
      </c>
      <c r="G30" s="2">
        <v>43881</v>
      </c>
      <c r="H30" t="s">
        <v>27</v>
      </c>
      <c r="I30" t="s">
        <v>39</v>
      </c>
      <c r="J30" t="s">
        <v>17</v>
      </c>
      <c r="K30" s="2" t="str">
        <f t="shared" ca="1" si="0"/>
        <v>5 Years</v>
      </c>
      <c r="L30" s="3" cm="1">
        <f t="array" ref="L30">_xlfn.SWITCH(Table13_2[[#This Row],[Performance Score]],"A",6,"B",5,"C",4,"D",3,"E",2,"F",1)</f>
        <v>4</v>
      </c>
    </row>
    <row r="31" spans="1:12" x14ac:dyDescent="0.3">
      <c r="A31" t="s">
        <v>18</v>
      </c>
      <c r="B31">
        <v>25</v>
      </c>
      <c r="C31" s="1">
        <v>65000</v>
      </c>
      <c r="D31" t="s">
        <v>12</v>
      </c>
      <c r="E31" t="s">
        <v>13</v>
      </c>
      <c r="F31" t="s">
        <v>40</v>
      </c>
      <c r="G31" s="2">
        <v>43800</v>
      </c>
      <c r="H31" t="s">
        <v>27</v>
      </c>
      <c r="I31" t="s">
        <v>39</v>
      </c>
      <c r="J31" t="s">
        <v>42</v>
      </c>
      <c r="K31" s="2" t="str">
        <f t="shared" ca="1" si="0"/>
        <v>6 Years</v>
      </c>
      <c r="L31" s="3" cm="1">
        <f t="array" ref="L31">_xlfn.SWITCH(Table13_2[[#This Row],[Performance Score]],"A",6,"B",5,"C",4,"D",3,"E",2,"F",1)</f>
        <v>4</v>
      </c>
    </row>
    <row r="32" spans="1:12" x14ac:dyDescent="0.3">
      <c r="A32" t="s">
        <v>46</v>
      </c>
      <c r="B32">
        <v>25</v>
      </c>
      <c r="C32" s="1">
        <v>55000</v>
      </c>
      <c r="D32" t="s">
        <v>19</v>
      </c>
      <c r="E32" t="s">
        <v>20</v>
      </c>
      <c r="F32" t="s">
        <v>14</v>
      </c>
      <c r="G32" s="2">
        <v>43800</v>
      </c>
      <c r="H32" t="s">
        <v>38</v>
      </c>
      <c r="I32" t="s">
        <v>32</v>
      </c>
      <c r="J32" t="s">
        <v>28</v>
      </c>
      <c r="K32" s="2" t="str">
        <f t="shared" ca="1" si="0"/>
        <v>6 Years</v>
      </c>
      <c r="L32" s="3" cm="1">
        <f t="array" ref="L32">_xlfn.SWITCH(Table13_2[[#This Row],[Performance Score]],"A",6,"B",5,"C",4,"D",3,"E",2,"F",1)</f>
        <v>5</v>
      </c>
    </row>
    <row r="33" spans="1:12" x14ac:dyDescent="0.3">
      <c r="A33" t="s">
        <v>36</v>
      </c>
      <c r="B33">
        <v>50</v>
      </c>
      <c r="C33" s="1">
        <v>70000</v>
      </c>
      <c r="D33" t="s">
        <v>19</v>
      </c>
      <c r="E33" t="s">
        <v>20</v>
      </c>
      <c r="F33" t="s">
        <v>37</v>
      </c>
      <c r="G33" s="2">
        <v>43800</v>
      </c>
      <c r="H33" t="s">
        <v>38</v>
      </c>
      <c r="I33" t="s">
        <v>39</v>
      </c>
      <c r="J33" t="s">
        <v>17</v>
      </c>
      <c r="K33" s="2" t="str">
        <f t="shared" ca="1" si="0"/>
        <v>6 Years</v>
      </c>
      <c r="L33" s="3" cm="1">
        <f t="array" ref="L33">_xlfn.SWITCH(Table13_2[[#This Row],[Performance Score]],"A",6,"B",5,"C",4,"D",3,"E",2,"F",1)</f>
        <v>5</v>
      </c>
    </row>
    <row r="34" spans="1:12" x14ac:dyDescent="0.3">
      <c r="A34" t="s">
        <v>29</v>
      </c>
      <c r="B34">
        <v>35</v>
      </c>
      <c r="C34" s="1">
        <v>50742.574257425746</v>
      </c>
      <c r="D34" t="s">
        <v>19</v>
      </c>
      <c r="E34" t="s">
        <v>26</v>
      </c>
      <c r="F34" t="s">
        <v>21</v>
      </c>
      <c r="G34" s="2">
        <v>43845</v>
      </c>
      <c r="H34" t="s">
        <v>31</v>
      </c>
      <c r="I34" t="s">
        <v>16</v>
      </c>
      <c r="J34" t="s">
        <v>24</v>
      </c>
      <c r="K34" s="2" t="str">
        <f t="shared" ca="1" si="0"/>
        <v>5 Years</v>
      </c>
      <c r="L34" s="3" cm="1">
        <f t="array" ref="L34">_xlfn.SWITCH(Table13_2[[#This Row],[Performance Score]],"A",6,"B",5,"C",4,"D",3,"E",2,"F",1)</f>
        <v>6</v>
      </c>
    </row>
    <row r="35" spans="1:12" x14ac:dyDescent="0.3">
      <c r="A35" t="s">
        <v>36</v>
      </c>
      <c r="B35">
        <v>40</v>
      </c>
      <c r="C35" s="1">
        <v>50777.202072538857</v>
      </c>
      <c r="D35" t="s">
        <v>19</v>
      </c>
      <c r="E35" t="s">
        <v>30</v>
      </c>
      <c r="F35" t="s">
        <v>21</v>
      </c>
      <c r="G35" s="2">
        <v>43195</v>
      </c>
      <c r="H35" t="s">
        <v>15</v>
      </c>
      <c r="I35" t="s">
        <v>16</v>
      </c>
      <c r="J35" t="s">
        <v>42</v>
      </c>
      <c r="K35" s="2" t="str">
        <f t="shared" ca="1" si="0"/>
        <v>7 Years</v>
      </c>
      <c r="L35" s="3" cm="1">
        <f t="array" ref="L35">_xlfn.SWITCH(Table13_2[[#This Row],[Performance Score]],"A",6,"B",5,"C",4,"D",3,"E",2,"F",1)</f>
        <v>3</v>
      </c>
    </row>
    <row r="36" spans="1:12" x14ac:dyDescent="0.3">
      <c r="A36" t="s">
        <v>11</v>
      </c>
      <c r="B36">
        <v>25</v>
      </c>
      <c r="C36" s="1">
        <v>65000</v>
      </c>
      <c r="D36" t="s">
        <v>12</v>
      </c>
      <c r="E36" t="s">
        <v>30</v>
      </c>
      <c r="F36" t="s">
        <v>40</v>
      </c>
      <c r="G36" s="2">
        <v>43881</v>
      </c>
      <c r="H36" t="s">
        <v>31</v>
      </c>
      <c r="I36" t="s">
        <v>32</v>
      </c>
      <c r="J36" t="s">
        <v>17</v>
      </c>
      <c r="K36" s="2" t="str">
        <f t="shared" ca="1" si="0"/>
        <v>5 Years</v>
      </c>
      <c r="L36" s="3" cm="1">
        <f t="array" ref="L36">_xlfn.SWITCH(Table13_2[[#This Row],[Performance Score]],"A",6,"B",5,"C",4,"D",3,"E",2,"F",1)</f>
        <v>6</v>
      </c>
    </row>
    <row r="37" spans="1:12" x14ac:dyDescent="0.3">
      <c r="A37" t="s">
        <v>29</v>
      </c>
      <c r="B37">
        <v>40</v>
      </c>
      <c r="C37" s="1">
        <v>50742.574257425746</v>
      </c>
      <c r="D37" t="s">
        <v>34</v>
      </c>
      <c r="E37" t="s">
        <v>26</v>
      </c>
      <c r="F37" t="s">
        <v>14</v>
      </c>
      <c r="G37" s="2">
        <v>43881</v>
      </c>
      <c r="H37" t="s">
        <v>27</v>
      </c>
      <c r="I37" t="s">
        <v>32</v>
      </c>
      <c r="J37" t="s">
        <v>24</v>
      </c>
      <c r="K37" s="2" t="str">
        <f t="shared" ca="1" si="0"/>
        <v>5 Years</v>
      </c>
      <c r="L37" s="3" cm="1">
        <f t="array" ref="L37">_xlfn.SWITCH(Table13_2[[#This Row],[Performance Score]],"A",6,"B",5,"C",4,"D",3,"E",2,"F",1)</f>
        <v>4</v>
      </c>
    </row>
    <row r="38" spans="1:12" x14ac:dyDescent="0.3">
      <c r="A38" t="s">
        <v>46</v>
      </c>
      <c r="B38">
        <v>25</v>
      </c>
      <c r="C38" s="1">
        <v>60000</v>
      </c>
      <c r="D38" t="s">
        <v>12</v>
      </c>
      <c r="E38" t="s">
        <v>30</v>
      </c>
      <c r="F38" t="s">
        <v>14</v>
      </c>
      <c r="G38" s="2">
        <v>43881</v>
      </c>
      <c r="H38" t="s">
        <v>31</v>
      </c>
      <c r="I38" t="s">
        <v>39</v>
      </c>
      <c r="J38" t="s">
        <v>28</v>
      </c>
      <c r="K38" s="2" t="str">
        <f t="shared" ca="1" si="0"/>
        <v>5 Years</v>
      </c>
      <c r="L38" s="3" cm="1">
        <f t="array" ref="L38">_xlfn.SWITCH(Table13_2[[#This Row],[Performance Score]],"A",6,"B",5,"C",4,"D",3,"E",2,"F",1)</f>
        <v>6</v>
      </c>
    </row>
    <row r="39" spans="1:12" x14ac:dyDescent="0.3">
      <c r="A39" t="s">
        <v>11</v>
      </c>
      <c r="B39">
        <v>30</v>
      </c>
      <c r="C39" s="1">
        <v>49144.385026737968</v>
      </c>
      <c r="D39" t="s">
        <v>12</v>
      </c>
      <c r="E39" t="s">
        <v>35</v>
      </c>
      <c r="F39" t="s">
        <v>21</v>
      </c>
      <c r="G39" s="2">
        <v>43881</v>
      </c>
      <c r="H39" t="s">
        <v>15</v>
      </c>
      <c r="I39" t="s">
        <v>39</v>
      </c>
      <c r="J39" t="s">
        <v>17</v>
      </c>
      <c r="K39" s="2" t="str">
        <f t="shared" ca="1" si="0"/>
        <v>5 Years</v>
      </c>
      <c r="L39" s="3" cm="1">
        <f t="array" ref="L39">_xlfn.SWITCH(Table13_2[[#This Row],[Performance Score]],"A",6,"B",5,"C",4,"D",3,"E",2,"F",1)</f>
        <v>3</v>
      </c>
    </row>
    <row r="40" spans="1:12" x14ac:dyDescent="0.3">
      <c r="A40" t="s">
        <v>44</v>
      </c>
      <c r="B40">
        <v>36</v>
      </c>
      <c r="C40" s="1">
        <v>55000</v>
      </c>
      <c r="D40" t="s">
        <v>12</v>
      </c>
      <c r="E40" t="s">
        <v>13</v>
      </c>
      <c r="F40" t="s">
        <v>41</v>
      </c>
      <c r="G40" s="2">
        <v>43800</v>
      </c>
      <c r="H40" t="s">
        <v>38</v>
      </c>
      <c r="I40" t="s">
        <v>23</v>
      </c>
      <c r="J40" t="s">
        <v>24</v>
      </c>
      <c r="K40" s="2" t="str">
        <f t="shared" ca="1" si="0"/>
        <v>6 Years</v>
      </c>
      <c r="L40" s="3" cm="1">
        <f t="array" ref="L40">_xlfn.SWITCH(Table13_2[[#This Row],[Performance Score]],"A",6,"B",5,"C",4,"D",3,"E",2,"F",1)</f>
        <v>5</v>
      </c>
    </row>
    <row r="41" spans="1:12" x14ac:dyDescent="0.3">
      <c r="A41" t="s">
        <v>18</v>
      </c>
      <c r="B41">
        <v>25</v>
      </c>
      <c r="C41" s="1">
        <v>55000</v>
      </c>
      <c r="D41" t="s">
        <v>19</v>
      </c>
      <c r="E41" t="s">
        <v>20</v>
      </c>
      <c r="F41" t="s">
        <v>40</v>
      </c>
      <c r="G41" s="2">
        <v>43881</v>
      </c>
      <c r="H41" t="s">
        <v>31</v>
      </c>
      <c r="I41" t="s">
        <v>39</v>
      </c>
      <c r="J41" t="s">
        <v>17</v>
      </c>
      <c r="K41" s="2" t="str">
        <f t="shared" ca="1" si="0"/>
        <v>5 Years</v>
      </c>
      <c r="L41" s="3" cm="1">
        <f t="array" ref="L41">_xlfn.SWITCH(Table13_2[[#This Row],[Performance Score]],"A",6,"B",5,"C",4,"D",3,"E",2,"F",1)</f>
        <v>6</v>
      </c>
    </row>
    <row r="42" spans="1:12" x14ac:dyDescent="0.3">
      <c r="A42" t="s">
        <v>46</v>
      </c>
      <c r="B42">
        <v>40</v>
      </c>
      <c r="C42" s="1">
        <v>70000</v>
      </c>
      <c r="D42" t="s">
        <v>19</v>
      </c>
      <c r="E42" t="s">
        <v>13</v>
      </c>
      <c r="F42" t="s">
        <v>40</v>
      </c>
      <c r="G42" s="2">
        <v>43195</v>
      </c>
      <c r="H42" t="s">
        <v>27</v>
      </c>
      <c r="I42" t="s">
        <v>16</v>
      </c>
      <c r="J42" t="s">
        <v>17</v>
      </c>
      <c r="K42" s="2" t="str">
        <f t="shared" ca="1" si="0"/>
        <v>7 Years</v>
      </c>
      <c r="L42" s="3" cm="1">
        <f t="array" ref="L42">_xlfn.SWITCH(Table13_2[[#This Row],[Performance Score]],"A",6,"B",5,"C",4,"D",3,"E",2,"F",1)</f>
        <v>4</v>
      </c>
    </row>
    <row r="43" spans="1:12" x14ac:dyDescent="0.3">
      <c r="A43" t="s">
        <v>44</v>
      </c>
      <c r="B43">
        <v>30</v>
      </c>
      <c r="C43" s="1">
        <v>50000</v>
      </c>
      <c r="D43" t="s">
        <v>19</v>
      </c>
      <c r="E43" t="s">
        <v>20</v>
      </c>
      <c r="F43" t="s">
        <v>21</v>
      </c>
      <c r="G43" s="2">
        <v>43800</v>
      </c>
      <c r="H43" t="s">
        <v>27</v>
      </c>
      <c r="I43" t="s">
        <v>32</v>
      </c>
      <c r="J43" t="s">
        <v>28</v>
      </c>
      <c r="K43" s="2" t="str">
        <f t="shared" ca="1" si="0"/>
        <v>6 Years</v>
      </c>
      <c r="L43" s="3" cm="1">
        <f t="array" ref="L43">_xlfn.SWITCH(Table13_2[[#This Row],[Performance Score]],"A",6,"B",5,"C",4,"D",3,"E",2,"F",1)</f>
        <v>4</v>
      </c>
    </row>
    <row r="44" spans="1:12" x14ac:dyDescent="0.3">
      <c r="A44" t="s">
        <v>33</v>
      </c>
      <c r="B44">
        <v>25</v>
      </c>
      <c r="C44" s="1">
        <v>60000</v>
      </c>
      <c r="D44" t="s">
        <v>34</v>
      </c>
      <c r="E44" t="s">
        <v>35</v>
      </c>
      <c r="F44" t="s">
        <v>21</v>
      </c>
      <c r="G44" s="2">
        <v>43881</v>
      </c>
      <c r="H44" t="s">
        <v>38</v>
      </c>
      <c r="I44" t="s">
        <v>39</v>
      </c>
      <c r="J44" t="s">
        <v>24</v>
      </c>
      <c r="K44" s="2" t="str">
        <f t="shared" ca="1" si="0"/>
        <v>5 Years</v>
      </c>
      <c r="L44" s="3" cm="1">
        <f t="array" ref="L44">_xlfn.SWITCH(Table13_2[[#This Row],[Performance Score]],"A",6,"B",5,"C",4,"D",3,"E",2,"F",1)</f>
        <v>5</v>
      </c>
    </row>
    <row r="45" spans="1:12" x14ac:dyDescent="0.3">
      <c r="A45" t="s">
        <v>46</v>
      </c>
      <c r="B45">
        <v>35</v>
      </c>
      <c r="C45" s="1">
        <v>70000</v>
      </c>
      <c r="D45" t="s">
        <v>12</v>
      </c>
      <c r="E45" t="s">
        <v>30</v>
      </c>
      <c r="F45" t="s">
        <v>41</v>
      </c>
      <c r="G45" s="2">
        <v>43845</v>
      </c>
      <c r="H45" t="s">
        <v>31</v>
      </c>
      <c r="I45" t="s">
        <v>39</v>
      </c>
      <c r="J45" t="s">
        <v>42</v>
      </c>
      <c r="K45" s="2" t="str">
        <f t="shared" ca="1" si="0"/>
        <v>5 Years</v>
      </c>
      <c r="L45" s="3" cm="1">
        <f t="array" ref="L45">_xlfn.SWITCH(Table13_2[[#This Row],[Performance Score]],"A",6,"B",5,"C",4,"D",3,"E",2,"F",1)</f>
        <v>6</v>
      </c>
    </row>
    <row r="46" spans="1:12" x14ac:dyDescent="0.3">
      <c r="A46" t="s">
        <v>33</v>
      </c>
      <c r="B46">
        <v>36</v>
      </c>
      <c r="C46" s="1">
        <v>60000</v>
      </c>
      <c r="D46" t="s">
        <v>34</v>
      </c>
      <c r="E46" t="s">
        <v>26</v>
      </c>
      <c r="F46" t="s">
        <v>41</v>
      </c>
      <c r="G46" s="2">
        <v>43549</v>
      </c>
      <c r="H46" t="s">
        <v>15</v>
      </c>
      <c r="I46" t="s">
        <v>39</v>
      </c>
      <c r="J46" t="s">
        <v>24</v>
      </c>
      <c r="K46" s="2" t="str">
        <f t="shared" ca="1" si="0"/>
        <v>6 Years</v>
      </c>
      <c r="L46" s="3" cm="1">
        <f t="array" ref="L46">_xlfn.SWITCH(Table13_2[[#This Row],[Performance Score]],"A",6,"B",5,"C",4,"D",3,"E",2,"F",1)</f>
        <v>3</v>
      </c>
    </row>
    <row r="47" spans="1:12" x14ac:dyDescent="0.3">
      <c r="A47" t="s">
        <v>29</v>
      </c>
      <c r="B47">
        <v>25</v>
      </c>
      <c r="C47" s="1">
        <v>50000</v>
      </c>
      <c r="D47" t="s">
        <v>19</v>
      </c>
      <c r="E47" t="s">
        <v>35</v>
      </c>
      <c r="F47" t="s">
        <v>14</v>
      </c>
      <c r="G47" s="2">
        <v>43549</v>
      </c>
      <c r="H47" t="s">
        <v>38</v>
      </c>
      <c r="I47" t="s">
        <v>39</v>
      </c>
      <c r="J47" t="s">
        <v>17</v>
      </c>
      <c r="K47" s="2" t="str">
        <f t="shared" ca="1" si="0"/>
        <v>6 Years</v>
      </c>
      <c r="L47" s="3" cm="1">
        <f t="array" ref="L47">_xlfn.SWITCH(Table13_2[[#This Row],[Performance Score]],"A",6,"B",5,"C",4,"D",3,"E",2,"F",1)</f>
        <v>5</v>
      </c>
    </row>
    <row r="48" spans="1:12" x14ac:dyDescent="0.3">
      <c r="A48" t="s">
        <v>44</v>
      </c>
      <c r="B48">
        <v>30</v>
      </c>
      <c r="C48" s="1">
        <v>51825</v>
      </c>
      <c r="D48" t="s">
        <v>34</v>
      </c>
      <c r="E48" t="s">
        <v>13</v>
      </c>
      <c r="F48" t="s">
        <v>40</v>
      </c>
      <c r="G48" s="2">
        <v>43549</v>
      </c>
      <c r="H48" t="s">
        <v>31</v>
      </c>
      <c r="I48" t="s">
        <v>16</v>
      </c>
      <c r="J48" t="s">
        <v>28</v>
      </c>
      <c r="K48" s="2" t="str">
        <f t="shared" ca="1" si="0"/>
        <v>6 Years</v>
      </c>
      <c r="L48" s="3" cm="1">
        <f t="array" ref="L48">_xlfn.SWITCH(Table13_2[[#This Row],[Performance Score]],"A",6,"B",5,"C",4,"D",3,"E",2,"F",1)</f>
        <v>6</v>
      </c>
    </row>
    <row r="49" spans="1:12" x14ac:dyDescent="0.3">
      <c r="A49" t="s">
        <v>18</v>
      </c>
      <c r="B49">
        <v>35</v>
      </c>
      <c r="C49" s="1">
        <v>50742.574257425746</v>
      </c>
      <c r="D49" t="s">
        <v>12</v>
      </c>
      <c r="E49" t="s">
        <v>26</v>
      </c>
      <c r="F49" t="s">
        <v>40</v>
      </c>
      <c r="G49" s="2">
        <v>43800</v>
      </c>
      <c r="H49" t="s">
        <v>22</v>
      </c>
      <c r="I49" t="s">
        <v>23</v>
      </c>
      <c r="J49" t="s">
        <v>28</v>
      </c>
      <c r="K49" s="2" t="str">
        <f t="shared" ca="1" si="0"/>
        <v>6 Years</v>
      </c>
      <c r="L49" s="3" cm="1">
        <f t="array" ref="L49">_xlfn.SWITCH(Table13_2[[#This Row],[Performance Score]],"A",6,"B",5,"C",4,"D",3,"E",2,"F",1)</f>
        <v>1</v>
      </c>
    </row>
    <row r="50" spans="1:12" x14ac:dyDescent="0.3">
      <c r="A50" t="s">
        <v>11</v>
      </c>
      <c r="B50">
        <v>50</v>
      </c>
      <c r="C50" s="1">
        <v>50000</v>
      </c>
      <c r="D50" t="s">
        <v>12</v>
      </c>
      <c r="E50" t="s">
        <v>30</v>
      </c>
      <c r="F50" t="s">
        <v>21</v>
      </c>
      <c r="G50" s="2">
        <v>43881</v>
      </c>
      <c r="H50" t="s">
        <v>27</v>
      </c>
      <c r="I50" t="s">
        <v>39</v>
      </c>
      <c r="J50" t="s">
        <v>42</v>
      </c>
      <c r="K50" s="2" t="str">
        <f t="shared" ca="1" si="0"/>
        <v>5 Years</v>
      </c>
      <c r="L50" s="3" cm="1">
        <f t="array" ref="L50">_xlfn.SWITCH(Table13_2[[#This Row],[Performance Score]],"A",6,"B",5,"C",4,"D",3,"E",2,"F",1)</f>
        <v>4</v>
      </c>
    </row>
    <row r="51" spans="1:12" x14ac:dyDescent="0.3">
      <c r="A51" t="s">
        <v>25</v>
      </c>
      <c r="B51">
        <v>30</v>
      </c>
      <c r="C51" s="1">
        <v>70000</v>
      </c>
      <c r="D51" t="s">
        <v>19</v>
      </c>
      <c r="E51" t="s">
        <v>35</v>
      </c>
      <c r="F51" t="s">
        <v>14</v>
      </c>
      <c r="G51" s="2">
        <v>43800</v>
      </c>
      <c r="H51" t="s">
        <v>15</v>
      </c>
      <c r="I51" t="s">
        <v>39</v>
      </c>
      <c r="J51" t="s">
        <v>28</v>
      </c>
      <c r="K51" s="2" t="str">
        <f t="shared" ca="1" si="0"/>
        <v>6 Years</v>
      </c>
      <c r="L51" s="3" cm="1">
        <f t="array" ref="L51">_xlfn.SWITCH(Table13_2[[#This Row],[Performance Score]],"A",6,"B",5,"C",4,"D",3,"E",2,"F",1)</f>
        <v>3</v>
      </c>
    </row>
    <row r="52" spans="1:12" x14ac:dyDescent="0.3">
      <c r="A52" t="s">
        <v>36</v>
      </c>
      <c r="B52">
        <v>30</v>
      </c>
      <c r="C52" s="1">
        <v>50000</v>
      </c>
      <c r="D52" t="s">
        <v>19</v>
      </c>
      <c r="E52" t="s">
        <v>26</v>
      </c>
      <c r="F52" t="s">
        <v>40</v>
      </c>
      <c r="G52" s="2">
        <v>43195</v>
      </c>
      <c r="H52" t="s">
        <v>15</v>
      </c>
      <c r="I52" t="s">
        <v>23</v>
      </c>
      <c r="J52" t="s">
        <v>28</v>
      </c>
      <c r="K52" s="2" t="str">
        <f t="shared" ca="1" si="0"/>
        <v>7 Years</v>
      </c>
      <c r="L52" s="3" cm="1">
        <f t="array" ref="L52">_xlfn.SWITCH(Table13_2[[#This Row],[Performance Score]],"A",6,"B",5,"C",4,"D",3,"E",2,"F",1)</f>
        <v>3</v>
      </c>
    </row>
    <row r="53" spans="1:12" x14ac:dyDescent="0.3">
      <c r="A53" t="s">
        <v>45</v>
      </c>
      <c r="B53">
        <v>35</v>
      </c>
      <c r="C53" s="1">
        <v>65000</v>
      </c>
      <c r="D53" t="s">
        <v>34</v>
      </c>
      <c r="E53" t="s">
        <v>35</v>
      </c>
      <c r="F53" t="s">
        <v>14</v>
      </c>
      <c r="G53" s="2">
        <v>43845</v>
      </c>
      <c r="H53" t="s">
        <v>15</v>
      </c>
      <c r="I53" t="s">
        <v>39</v>
      </c>
      <c r="J53" t="s">
        <v>28</v>
      </c>
      <c r="K53" s="2" t="str">
        <f t="shared" ca="1" si="0"/>
        <v>5 Years</v>
      </c>
      <c r="L53" s="3" cm="1">
        <f t="array" ref="L53">_xlfn.SWITCH(Table13_2[[#This Row],[Performance Score]],"A",6,"B",5,"C",4,"D",3,"E",2,"F",1)</f>
        <v>3</v>
      </c>
    </row>
    <row r="54" spans="1:12" x14ac:dyDescent="0.3">
      <c r="A54" t="s">
        <v>18</v>
      </c>
      <c r="B54">
        <v>30</v>
      </c>
      <c r="C54" s="1">
        <v>55000</v>
      </c>
      <c r="D54" t="s">
        <v>19</v>
      </c>
      <c r="E54" t="s">
        <v>35</v>
      </c>
      <c r="F54" t="s">
        <v>14</v>
      </c>
      <c r="G54" s="2">
        <v>43845</v>
      </c>
      <c r="H54" t="s">
        <v>27</v>
      </c>
      <c r="I54" t="s">
        <v>39</v>
      </c>
      <c r="J54" t="s">
        <v>28</v>
      </c>
      <c r="K54" s="2" t="str">
        <f t="shared" ca="1" si="0"/>
        <v>5 Years</v>
      </c>
      <c r="L54" s="3" cm="1">
        <f t="array" ref="L54">_xlfn.SWITCH(Table13_2[[#This Row],[Performance Score]],"A",6,"B",5,"C",4,"D",3,"E",2,"F",1)</f>
        <v>4</v>
      </c>
    </row>
    <row r="55" spans="1:12" x14ac:dyDescent="0.3">
      <c r="A55" t="s">
        <v>44</v>
      </c>
      <c r="B55">
        <v>35</v>
      </c>
      <c r="C55" s="1">
        <v>70000</v>
      </c>
      <c r="D55" t="s">
        <v>19</v>
      </c>
      <c r="E55" t="s">
        <v>30</v>
      </c>
      <c r="F55" t="s">
        <v>21</v>
      </c>
      <c r="G55" s="2">
        <v>43549</v>
      </c>
      <c r="H55" t="s">
        <v>31</v>
      </c>
      <c r="I55" t="s">
        <v>39</v>
      </c>
      <c r="J55" t="s">
        <v>28</v>
      </c>
      <c r="K55" s="2" t="str">
        <f t="shared" ca="1" si="0"/>
        <v>6 Years</v>
      </c>
      <c r="L55" s="3" cm="1">
        <f t="array" ref="L55">_xlfn.SWITCH(Table13_2[[#This Row],[Performance Score]],"A",6,"B",5,"C",4,"D",3,"E",2,"F",1)</f>
        <v>6</v>
      </c>
    </row>
    <row r="56" spans="1:12" x14ac:dyDescent="0.3">
      <c r="A56" t="s">
        <v>25</v>
      </c>
      <c r="B56">
        <v>25</v>
      </c>
      <c r="C56" s="1">
        <v>60000</v>
      </c>
      <c r="D56" t="s">
        <v>12</v>
      </c>
      <c r="E56" t="s">
        <v>20</v>
      </c>
      <c r="F56" t="s">
        <v>14</v>
      </c>
      <c r="G56" s="2">
        <v>43549</v>
      </c>
      <c r="H56" t="s">
        <v>38</v>
      </c>
      <c r="I56" t="s">
        <v>39</v>
      </c>
      <c r="J56" t="s">
        <v>17</v>
      </c>
      <c r="K56" s="2" t="str">
        <f t="shared" ca="1" si="0"/>
        <v>6 Years</v>
      </c>
      <c r="L56" s="3" cm="1">
        <f t="array" ref="L56">_xlfn.SWITCH(Table13_2[[#This Row],[Performance Score]],"A",6,"B",5,"C",4,"D",3,"E",2,"F",1)</f>
        <v>5</v>
      </c>
    </row>
    <row r="57" spans="1:12" x14ac:dyDescent="0.3">
      <c r="A57" t="s">
        <v>18</v>
      </c>
      <c r="B57">
        <v>35</v>
      </c>
      <c r="C57" s="1">
        <v>65000</v>
      </c>
      <c r="D57" t="s">
        <v>19</v>
      </c>
      <c r="E57" t="s">
        <v>26</v>
      </c>
      <c r="F57" t="s">
        <v>41</v>
      </c>
      <c r="G57" s="2">
        <v>43549</v>
      </c>
      <c r="H57" t="s">
        <v>31</v>
      </c>
      <c r="I57" t="s">
        <v>23</v>
      </c>
      <c r="J57" t="s">
        <v>24</v>
      </c>
      <c r="K57" s="2" t="str">
        <f t="shared" ca="1" si="0"/>
        <v>6 Years</v>
      </c>
      <c r="L57" s="3" cm="1">
        <f t="array" ref="L57">_xlfn.SWITCH(Table13_2[[#This Row],[Performance Score]],"A",6,"B",5,"C",4,"D",3,"E",2,"F",1)</f>
        <v>6</v>
      </c>
    </row>
    <row r="58" spans="1:12" x14ac:dyDescent="0.3">
      <c r="A58" t="s">
        <v>44</v>
      </c>
      <c r="B58">
        <v>35</v>
      </c>
      <c r="C58" s="1">
        <v>70000</v>
      </c>
      <c r="D58" t="s">
        <v>19</v>
      </c>
      <c r="E58" t="s">
        <v>30</v>
      </c>
      <c r="F58" t="s">
        <v>41</v>
      </c>
      <c r="G58" s="2">
        <v>43881</v>
      </c>
      <c r="H58" t="s">
        <v>38</v>
      </c>
      <c r="I58" t="s">
        <v>16</v>
      </c>
      <c r="J58" t="s">
        <v>17</v>
      </c>
      <c r="K58" s="2" t="str">
        <f t="shared" ca="1" si="0"/>
        <v>5 Years</v>
      </c>
      <c r="L58" s="3" cm="1">
        <f t="array" ref="L58">_xlfn.SWITCH(Table13_2[[#This Row],[Performance Score]],"A",6,"B",5,"C",4,"D",3,"E",2,"F",1)</f>
        <v>5</v>
      </c>
    </row>
    <row r="59" spans="1:12" x14ac:dyDescent="0.3">
      <c r="A59" t="s">
        <v>43</v>
      </c>
      <c r="B59">
        <v>36</v>
      </c>
      <c r="C59" s="1">
        <v>50000</v>
      </c>
      <c r="D59" t="s">
        <v>12</v>
      </c>
      <c r="E59" t="s">
        <v>35</v>
      </c>
      <c r="F59" t="s">
        <v>37</v>
      </c>
      <c r="G59" s="2">
        <v>43195</v>
      </c>
      <c r="H59" t="s">
        <v>15</v>
      </c>
      <c r="I59" t="s">
        <v>39</v>
      </c>
      <c r="J59" t="s">
        <v>28</v>
      </c>
      <c r="K59" s="2" t="str">
        <f t="shared" ca="1" si="0"/>
        <v>7 Years</v>
      </c>
      <c r="L59" s="3" cm="1">
        <f t="array" ref="L59">_xlfn.SWITCH(Table13_2[[#This Row],[Performance Score]],"A",6,"B",5,"C",4,"D",3,"E",2,"F",1)</f>
        <v>3</v>
      </c>
    </row>
    <row r="60" spans="1:12" x14ac:dyDescent="0.3">
      <c r="A60" t="s">
        <v>43</v>
      </c>
      <c r="B60">
        <v>35</v>
      </c>
      <c r="C60" s="1">
        <v>50000</v>
      </c>
      <c r="D60" t="s">
        <v>12</v>
      </c>
      <c r="E60" t="s">
        <v>30</v>
      </c>
      <c r="F60" t="s">
        <v>21</v>
      </c>
      <c r="G60" s="2">
        <v>43195</v>
      </c>
      <c r="H60" t="s">
        <v>31</v>
      </c>
      <c r="I60" t="s">
        <v>16</v>
      </c>
      <c r="J60" t="s">
        <v>17</v>
      </c>
      <c r="K60" s="2" t="str">
        <f t="shared" ca="1" si="0"/>
        <v>7 Years</v>
      </c>
      <c r="L60" s="3" cm="1">
        <f t="array" ref="L60">_xlfn.SWITCH(Table13_2[[#This Row],[Performance Score]],"A",6,"B",5,"C",4,"D",3,"E",2,"F",1)</f>
        <v>6</v>
      </c>
    </row>
    <row r="61" spans="1:12" x14ac:dyDescent="0.3">
      <c r="A61" t="s">
        <v>33</v>
      </c>
      <c r="B61">
        <v>35</v>
      </c>
      <c r="C61" s="1">
        <v>50000</v>
      </c>
      <c r="D61" t="s">
        <v>34</v>
      </c>
      <c r="E61" t="s">
        <v>20</v>
      </c>
      <c r="F61" t="s">
        <v>37</v>
      </c>
      <c r="G61" s="2">
        <v>43195</v>
      </c>
      <c r="H61" t="s">
        <v>15</v>
      </c>
      <c r="I61" t="s">
        <v>23</v>
      </c>
      <c r="J61" t="s">
        <v>17</v>
      </c>
      <c r="K61" s="2" t="str">
        <f t="shared" ca="1" si="0"/>
        <v>7 Years</v>
      </c>
      <c r="L61" s="3" cm="1">
        <f t="array" ref="L61">_xlfn.SWITCH(Table13_2[[#This Row],[Performance Score]],"A",6,"B",5,"C",4,"D",3,"E",2,"F",1)</f>
        <v>3</v>
      </c>
    </row>
    <row r="62" spans="1:12" x14ac:dyDescent="0.3">
      <c r="A62" t="s">
        <v>18</v>
      </c>
      <c r="B62">
        <v>50</v>
      </c>
      <c r="C62" s="1">
        <v>50000</v>
      </c>
      <c r="D62" t="s">
        <v>19</v>
      </c>
      <c r="E62" t="s">
        <v>26</v>
      </c>
      <c r="F62" t="s">
        <v>41</v>
      </c>
      <c r="G62" s="2">
        <v>43195</v>
      </c>
      <c r="H62" t="s">
        <v>22</v>
      </c>
      <c r="I62" t="s">
        <v>23</v>
      </c>
      <c r="J62" t="s">
        <v>17</v>
      </c>
      <c r="K62" s="2" t="str">
        <f t="shared" ca="1" si="0"/>
        <v>7 Years</v>
      </c>
      <c r="L62" s="3" cm="1">
        <f t="array" ref="L62">_xlfn.SWITCH(Table13_2[[#This Row],[Performance Score]],"A",6,"B",5,"C",4,"D",3,"E",2,"F",1)</f>
        <v>1</v>
      </c>
    </row>
    <row r="63" spans="1:12" x14ac:dyDescent="0.3">
      <c r="A63" t="s">
        <v>43</v>
      </c>
      <c r="B63">
        <v>25</v>
      </c>
      <c r="C63" s="1">
        <v>60000</v>
      </c>
      <c r="D63" t="s">
        <v>12</v>
      </c>
      <c r="E63" t="s">
        <v>20</v>
      </c>
      <c r="F63" t="s">
        <v>37</v>
      </c>
      <c r="G63" s="2">
        <v>43549</v>
      </c>
      <c r="H63" t="s">
        <v>15</v>
      </c>
      <c r="I63" t="s">
        <v>39</v>
      </c>
      <c r="J63" t="s">
        <v>28</v>
      </c>
      <c r="K63" s="2" t="str">
        <f t="shared" ca="1" si="0"/>
        <v>6 Years</v>
      </c>
      <c r="L63" s="3" cm="1">
        <f t="array" ref="L63">_xlfn.SWITCH(Table13_2[[#This Row],[Performance Score]],"A",6,"B",5,"C",4,"D",3,"E",2,"F",1)</f>
        <v>3</v>
      </c>
    </row>
    <row r="64" spans="1:12" x14ac:dyDescent="0.3">
      <c r="A64" t="s">
        <v>44</v>
      </c>
      <c r="B64">
        <v>36</v>
      </c>
      <c r="C64" s="1">
        <v>65000</v>
      </c>
      <c r="D64" t="s">
        <v>34</v>
      </c>
      <c r="E64" t="s">
        <v>13</v>
      </c>
      <c r="F64" t="s">
        <v>21</v>
      </c>
      <c r="G64" s="2">
        <v>43845</v>
      </c>
      <c r="H64" t="s">
        <v>15</v>
      </c>
      <c r="I64" t="s">
        <v>39</v>
      </c>
      <c r="J64" t="s">
        <v>17</v>
      </c>
      <c r="K64" s="2" t="str">
        <f t="shared" ca="1" si="0"/>
        <v>5 Years</v>
      </c>
      <c r="L64" s="3" cm="1">
        <f t="array" ref="L64">_xlfn.SWITCH(Table13_2[[#This Row],[Performance Score]],"A",6,"B",5,"C",4,"D",3,"E",2,"F",1)</f>
        <v>3</v>
      </c>
    </row>
    <row r="65" spans="1:12" x14ac:dyDescent="0.3">
      <c r="A65" t="s">
        <v>33</v>
      </c>
      <c r="B65">
        <v>50</v>
      </c>
      <c r="C65" s="1">
        <v>50742.574257425746</v>
      </c>
      <c r="D65" t="s">
        <v>34</v>
      </c>
      <c r="E65" t="s">
        <v>26</v>
      </c>
      <c r="F65" t="s">
        <v>21</v>
      </c>
      <c r="G65" s="2">
        <v>43549</v>
      </c>
      <c r="H65" t="s">
        <v>38</v>
      </c>
      <c r="I65" t="s">
        <v>32</v>
      </c>
      <c r="J65" t="s">
        <v>28</v>
      </c>
      <c r="K65" s="2" t="str">
        <f t="shared" ca="1" si="0"/>
        <v>6 Years</v>
      </c>
      <c r="L65" s="3" cm="1">
        <f t="array" ref="L65">_xlfn.SWITCH(Table13_2[[#This Row],[Performance Score]],"A",6,"B",5,"C",4,"D",3,"E",2,"F",1)</f>
        <v>5</v>
      </c>
    </row>
    <row r="66" spans="1:12" x14ac:dyDescent="0.3">
      <c r="A66" t="s">
        <v>44</v>
      </c>
      <c r="B66">
        <v>40</v>
      </c>
      <c r="C66" s="1">
        <v>55000</v>
      </c>
      <c r="D66" t="s">
        <v>19</v>
      </c>
      <c r="E66" t="s">
        <v>20</v>
      </c>
      <c r="F66" t="s">
        <v>14</v>
      </c>
      <c r="G66" s="2">
        <v>43195</v>
      </c>
      <c r="H66" t="s">
        <v>22</v>
      </c>
      <c r="I66" t="s">
        <v>23</v>
      </c>
      <c r="J66" t="s">
        <v>42</v>
      </c>
      <c r="K66" s="2" t="str">
        <f t="shared" ca="1" si="0"/>
        <v>7 Years</v>
      </c>
      <c r="L66" s="3" cm="1">
        <f t="array" ref="L66">_xlfn.SWITCH(Table13_2[[#This Row],[Performance Score]],"A",6,"B",5,"C",4,"D",3,"E",2,"F",1)</f>
        <v>1</v>
      </c>
    </row>
    <row r="67" spans="1:12" x14ac:dyDescent="0.3">
      <c r="A67" t="s">
        <v>33</v>
      </c>
      <c r="B67">
        <v>25</v>
      </c>
      <c r="C67" s="1">
        <v>60000</v>
      </c>
      <c r="D67" t="s">
        <v>19</v>
      </c>
      <c r="E67" t="s">
        <v>35</v>
      </c>
      <c r="F67" t="s">
        <v>40</v>
      </c>
      <c r="G67" s="2">
        <v>43549</v>
      </c>
      <c r="H67" t="s">
        <v>15</v>
      </c>
      <c r="I67" t="s">
        <v>39</v>
      </c>
      <c r="J67" t="s">
        <v>42</v>
      </c>
      <c r="K67" s="2" t="str">
        <f t="shared" ref="K67:K130" ca="1" si="1">DATEDIF(G67,TODAY(),"Y") &amp; " Years"</f>
        <v>6 Years</v>
      </c>
      <c r="L67" s="3" cm="1">
        <f t="array" ref="L67">_xlfn.SWITCH(Table13_2[[#This Row],[Performance Score]],"A",6,"B",5,"C",4,"D",3,"E",2,"F",1)</f>
        <v>3</v>
      </c>
    </row>
    <row r="68" spans="1:12" x14ac:dyDescent="0.3">
      <c r="A68" t="s">
        <v>18</v>
      </c>
      <c r="B68">
        <v>25</v>
      </c>
      <c r="C68" s="1">
        <v>60000</v>
      </c>
      <c r="D68" t="s">
        <v>34</v>
      </c>
      <c r="E68" t="s">
        <v>26</v>
      </c>
      <c r="F68" t="s">
        <v>14</v>
      </c>
      <c r="G68" s="2">
        <v>43195</v>
      </c>
      <c r="H68" t="s">
        <v>15</v>
      </c>
      <c r="I68" t="s">
        <v>16</v>
      </c>
      <c r="J68" t="s">
        <v>42</v>
      </c>
      <c r="K68" s="2" t="str">
        <f t="shared" ca="1" si="1"/>
        <v>7 Years</v>
      </c>
      <c r="L68" s="3" cm="1">
        <f t="array" ref="L68">_xlfn.SWITCH(Table13_2[[#This Row],[Performance Score]],"A",6,"B",5,"C",4,"D",3,"E",2,"F",1)</f>
        <v>3</v>
      </c>
    </row>
    <row r="69" spans="1:12" x14ac:dyDescent="0.3">
      <c r="A69" t="s">
        <v>25</v>
      </c>
      <c r="B69">
        <v>40</v>
      </c>
      <c r="C69" s="1">
        <v>50742.574257425746</v>
      </c>
      <c r="D69" t="s">
        <v>12</v>
      </c>
      <c r="E69" t="s">
        <v>26</v>
      </c>
      <c r="F69" t="s">
        <v>21</v>
      </c>
      <c r="G69" s="2">
        <v>43800</v>
      </c>
      <c r="H69" t="s">
        <v>22</v>
      </c>
      <c r="I69" t="s">
        <v>39</v>
      </c>
      <c r="J69" t="s">
        <v>17</v>
      </c>
      <c r="K69" s="2" t="str">
        <f t="shared" ca="1" si="1"/>
        <v>6 Years</v>
      </c>
      <c r="L69" s="3" cm="1">
        <f t="array" ref="L69">_xlfn.SWITCH(Table13_2[[#This Row],[Performance Score]],"A",6,"B",5,"C",4,"D",3,"E",2,"F",1)</f>
        <v>1</v>
      </c>
    </row>
    <row r="70" spans="1:12" x14ac:dyDescent="0.3">
      <c r="A70" t="s">
        <v>11</v>
      </c>
      <c r="B70">
        <v>35</v>
      </c>
      <c r="C70" s="1">
        <v>50777.202072538857</v>
      </c>
      <c r="D70" t="s">
        <v>34</v>
      </c>
      <c r="E70" t="s">
        <v>30</v>
      </c>
      <c r="F70" t="s">
        <v>41</v>
      </c>
      <c r="G70" s="2">
        <v>43845</v>
      </c>
      <c r="H70" t="s">
        <v>22</v>
      </c>
      <c r="I70" t="s">
        <v>16</v>
      </c>
      <c r="J70" t="s">
        <v>42</v>
      </c>
      <c r="K70" s="2" t="str">
        <f t="shared" ca="1" si="1"/>
        <v>5 Years</v>
      </c>
      <c r="L70" s="3" cm="1">
        <f t="array" ref="L70">_xlfn.SWITCH(Table13_2[[#This Row],[Performance Score]],"A",6,"B",5,"C",4,"D",3,"E",2,"F",1)</f>
        <v>1</v>
      </c>
    </row>
    <row r="71" spans="1:12" x14ac:dyDescent="0.3">
      <c r="A71" t="s">
        <v>46</v>
      </c>
      <c r="B71">
        <v>50</v>
      </c>
      <c r="C71" s="1">
        <v>55000</v>
      </c>
      <c r="D71" t="s">
        <v>19</v>
      </c>
      <c r="E71" t="s">
        <v>35</v>
      </c>
      <c r="F71" t="s">
        <v>41</v>
      </c>
      <c r="G71" s="2">
        <v>43800</v>
      </c>
      <c r="H71" t="s">
        <v>31</v>
      </c>
      <c r="I71" t="s">
        <v>23</v>
      </c>
      <c r="J71" t="s">
        <v>17</v>
      </c>
      <c r="K71" s="2" t="str">
        <f t="shared" ca="1" si="1"/>
        <v>6 Years</v>
      </c>
      <c r="L71" s="3" cm="1">
        <f t="array" ref="L71">_xlfn.SWITCH(Table13_2[[#This Row],[Performance Score]],"A",6,"B",5,"C",4,"D",3,"E",2,"F",1)</f>
        <v>6</v>
      </c>
    </row>
    <row r="72" spans="1:12" x14ac:dyDescent="0.3">
      <c r="A72" t="s">
        <v>25</v>
      </c>
      <c r="B72">
        <v>30</v>
      </c>
      <c r="C72" s="1">
        <v>55000</v>
      </c>
      <c r="D72" t="s">
        <v>12</v>
      </c>
      <c r="E72" t="s">
        <v>13</v>
      </c>
      <c r="F72" t="s">
        <v>14</v>
      </c>
      <c r="G72" s="2">
        <v>43881</v>
      </c>
      <c r="H72" t="s">
        <v>38</v>
      </c>
      <c r="I72" t="s">
        <v>23</v>
      </c>
      <c r="J72" t="s">
        <v>17</v>
      </c>
      <c r="K72" s="2" t="str">
        <f t="shared" ca="1" si="1"/>
        <v>5 Years</v>
      </c>
      <c r="L72" s="3" cm="1">
        <f t="array" ref="L72">_xlfn.SWITCH(Table13_2[[#This Row],[Performance Score]],"A",6,"B",5,"C",4,"D",3,"E",2,"F",1)</f>
        <v>5</v>
      </c>
    </row>
    <row r="73" spans="1:12" x14ac:dyDescent="0.3">
      <c r="A73" t="s">
        <v>29</v>
      </c>
      <c r="B73">
        <v>36</v>
      </c>
      <c r="C73" s="1">
        <v>48417.431192660551</v>
      </c>
      <c r="D73" t="s">
        <v>12</v>
      </c>
      <c r="E73" t="s">
        <v>20</v>
      </c>
      <c r="F73" t="s">
        <v>21</v>
      </c>
      <c r="G73" s="2">
        <v>43549</v>
      </c>
      <c r="H73" t="s">
        <v>22</v>
      </c>
      <c r="I73" t="s">
        <v>16</v>
      </c>
      <c r="J73" t="s">
        <v>17</v>
      </c>
      <c r="K73" s="2" t="str">
        <f t="shared" ca="1" si="1"/>
        <v>6 Years</v>
      </c>
      <c r="L73" s="3" cm="1">
        <f t="array" ref="L73">_xlfn.SWITCH(Table13_2[[#This Row],[Performance Score]],"A",6,"B",5,"C",4,"D",3,"E",2,"F",1)</f>
        <v>1</v>
      </c>
    </row>
    <row r="74" spans="1:12" x14ac:dyDescent="0.3">
      <c r="A74" t="s">
        <v>44</v>
      </c>
      <c r="B74">
        <v>30</v>
      </c>
      <c r="C74" s="1">
        <v>50000</v>
      </c>
      <c r="D74" t="s">
        <v>34</v>
      </c>
      <c r="E74" t="s">
        <v>30</v>
      </c>
      <c r="F74" t="s">
        <v>41</v>
      </c>
      <c r="G74" s="2">
        <v>43881</v>
      </c>
      <c r="H74" t="s">
        <v>22</v>
      </c>
      <c r="I74" t="s">
        <v>23</v>
      </c>
      <c r="J74" t="s">
        <v>28</v>
      </c>
      <c r="K74" s="2" t="str">
        <f t="shared" ca="1" si="1"/>
        <v>5 Years</v>
      </c>
      <c r="L74" s="3" cm="1">
        <f t="array" ref="L74">_xlfn.SWITCH(Table13_2[[#This Row],[Performance Score]],"A",6,"B",5,"C",4,"D",3,"E",2,"F",1)</f>
        <v>1</v>
      </c>
    </row>
    <row r="75" spans="1:12" x14ac:dyDescent="0.3">
      <c r="A75" t="s">
        <v>29</v>
      </c>
      <c r="B75">
        <v>40</v>
      </c>
      <c r="C75" s="1">
        <v>60000</v>
      </c>
      <c r="D75" t="s">
        <v>19</v>
      </c>
      <c r="E75" t="s">
        <v>20</v>
      </c>
      <c r="F75" t="s">
        <v>21</v>
      </c>
      <c r="G75" s="2">
        <v>43549</v>
      </c>
      <c r="H75" t="s">
        <v>27</v>
      </c>
      <c r="I75" t="s">
        <v>39</v>
      </c>
      <c r="J75" t="s">
        <v>24</v>
      </c>
      <c r="K75" s="2" t="str">
        <f t="shared" ca="1" si="1"/>
        <v>6 Years</v>
      </c>
      <c r="L75" s="3" cm="1">
        <f t="array" ref="L75">_xlfn.SWITCH(Table13_2[[#This Row],[Performance Score]],"A",6,"B",5,"C",4,"D",3,"E",2,"F",1)</f>
        <v>4</v>
      </c>
    </row>
    <row r="76" spans="1:12" x14ac:dyDescent="0.3">
      <c r="A76" t="s">
        <v>25</v>
      </c>
      <c r="B76">
        <v>25</v>
      </c>
      <c r="C76" s="1">
        <v>70000</v>
      </c>
      <c r="D76" t="s">
        <v>34</v>
      </c>
      <c r="E76" t="s">
        <v>13</v>
      </c>
      <c r="F76" t="s">
        <v>41</v>
      </c>
      <c r="G76" s="2">
        <v>43800</v>
      </c>
      <c r="H76" t="s">
        <v>22</v>
      </c>
      <c r="I76" t="s">
        <v>23</v>
      </c>
      <c r="J76" t="s">
        <v>28</v>
      </c>
      <c r="K76" s="2" t="str">
        <f t="shared" ca="1" si="1"/>
        <v>6 Years</v>
      </c>
      <c r="L76" s="3" cm="1">
        <f t="array" ref="L76">_xlfn.SWITCH(Table13_2[[#This Row],[Performance Score]],"A",6,"B",5,"C",4,"D",3,"E",2,"F",1)</f>
        <v>1</v>
      </c>
    </row>
    <row r="77" spans="1:12" x14ac:dyDescent="0.3">
      <c r="A77" t="s">
        <v>33</v>
      </c>
      <c r="B77">
        <v>25</v>
      </c>
      <c r="C77" s="1">
        <v>55000</v>
      </c>
      <c r="D77" t="s">
        <v>34</v>
      </c>
      <c r="E77" t="s">
        <v>13</v>
      </c>
      <c r="F77" t="s">
        <v>21</v>
      </c>
      <c r="G77" s="2">
        <v>43195</v>
      </c>
      <c r="H77" t="s">
        <v>38</v>
      </c>
      <c r="I77" t="s">
        <v>39</v>
      </c>
      <c r="J77" t="s">
        <v>28</v>
      </c>
      <c r="K77" s="2" t="str">
        <f t="shared" ca="1" si="1"/>
        <v>7 Years</v>
      </c>
      <c r="L77" s="3" cm="1">
        <f t="array" ref="L77">_xlfn.SWITCH(Table13_2[[#This Row],[Performance Score]],"A",6,"B",5,"C",4,"D",3,"E",2,"F",1)</f>
        <v>5</v>
      </c>
    </row>
    <row r="78" spans="1:12" x14ac:dyDescent="0.3">
      <c r="A78" t="s">
        <v>46</v>
      </c>
      <c r="B78">
        <v>36</v>
      </c>
      <c r="C78" s="1">
        <v>55000</v>
      </c>
      <c r="D78" t="s">
        <v>34</v>
      </c>
      <c r="E78" t="s">
        <v>26</v>
      </c>
      <c r="F78" t="s">
        <v>37</v>
      </c>
      <c r="G78" s="2">
        <v>43195</v>
      </c>
      <c r="H78" t="s">
        <v>15</v>
      </c>
      <c r="I78" t="s">
        <v>39</v>
      </c>
      <c r="J78" t="s">
        <v>28</v>
      </c>
      <c r="K78" s="2" t="str">
        <f t="shared" ca="1" si="1"/>
        <v>7 Years</v>
      </c>
      <c r="L78" s="3" cm="1">
        <f t="array" ref="L78">_xlfn.SWITCH(Table13_2[[#This Row],[Performance Score]],"A",6,"B",5,"C",4,"D",3,"E",2,"F",1)</f>
        <v>3</v>
      </c>
    </row>
    <row r="79" spans="1:12" x14ac:dyDescent="0.3">
      <c r="A79" t="s">
        <v>46</v>
      </c>
      <c r="B79">
        <v>25</v>
      </c>
      <c r="C79" s="1">
        <v>51825</v>
      </c>
      <c r="D79" t="s">
        <v>12</v>
      </c>
      <c r="E79" t="s">
        <v>13</v>
      </c>
      <c r="F79" t="s">
        <v>21</v>
      </c>
      <c r="G79" s="2">
        <v>43549</v>
      </c>
      <c r="H79" t="s">
        <v>15</v>
      </c>
      <c r="I79" t="s">
        <v>32</v>
      </c>
      <c r="J79" t="s">
        <v>28</v>
      </c>
      <c r="K79" s="2" t="str">
        <f t="shared" ca="1" si="1"/>
        <v>6 Years</v>
      </c>
      <c r="L79" s="3" cm="1">
        <f t="array" ref="L79">_xlfn.SWITCH(Table13_2[[#This Row],[Performance Score]],"A",6,"B",5,"C",4,"D",3,"E",2,"F",1)</f>
        <v>3</v>
      </c>
    </row>
    <row r="80" spans="1:12" x14ac:dyDescent="0.3">
      <c r="A80" t="s">
        <v>45</v>
      </c>
      <c r="B80">
        <v>25</v>
      </c>
      <c r="C80" s="1">
        <v>65000</v>
      </c>
      <c r="D80" t="s">
        <v>12</v>
      </c>
      <c r="E80" t="s">
        <v>20</v>
      </c>
      <c r="F80" t="s">
        <v>21</v>
      </c>
      <c r="G80" s="2">
        <v>43195</v>
      </c>
      <c r="H80" t="s">
        <v>15</v>
      </c>
      <c r="I80" t="s">
        <v>23</v>
      </c>
      <c r="J80" t="s">
        <v>24</v>
      </c>
      <c r="K80" s="2" t="str">
        <f t="shared" ca="1" si="1"/>
        <v>7 Years</v>
      </c>
      <c r="L80" s="3" cm="1">
        <f t="array" ref="L80">_xlfn.SWITCH(Table13_2[[#This Row],[Performance Score]],"A",6,"B",5,"C",4,"D",3,"E",2,"F",1)</f>
        <v>3</v>
      </c>
    </row>
    <row r="81" spans="1:12" x14ac:dyDescent="0.3">
      <c r="A81" t="s">
        <v>46</v>
      </c>
      <c r="B81">
        <v>36</v>
      </c>
      <c r="C81" s="1">
        <v>70000</v>
      </c>
      <c r="D81" t="s">
        <v>19</v>
      </c>
      <c r="E81" t="s">
        <v>35</v>
      </c>
      <c r="F81" t="s">
        <v>14</v>
      </c>
      <c r="G81" s="2">
        <v>43800</v>
      </c>
      <c r="H81" t="s">
        <v>15</v>
      </c>
      <c r="I81" t="s">
        <v>23</v>
      </c>
      <c r="J81" t="s">
        <v>42</v>
      </c>
      <c r="K81" s="2" t="str">
        <f t="shared" ca="1" si="1"/>
        <v>6 Years</v>
      </c>
      <c r="L81" s="3" cm="1">
        <f t="array" ref="L81">_xlfn.SWITCH(Table13_2[[#This Row],[Performance Score]],"A",6,"B",5,"C",4,"D",3,"E",2,"F",1)</f>
        <v>3</v>
      </c>
    </row>
    <row r="82" spans="1:12" x14ac:dyDescent="0.3">
      <c r="A82" t="s">
        <v>11</v>
      </c>
      <c r="B82">
        <v>50</v>
      </c>
      <c r="C82" s="1">
        <v>70000</v>
      </c>
      <c r="D82" t="s">
        <v>19</v>
      </c>
      <c r="E82" t="s">
        <v>35</v>
      </c>
      <c r="F82" t="s">
        <v>37</v>
      </c>
      <c r="G82" s="2">
        <v>43195</v>
      </c>
      <c r="H82" t="s">
        <v>27</v>
      </c>
      <c r="I82" t="s">
        <v>39</v>
      </c>
      <c r="J82" t="s">
        <v>28</v>
      </c>
      <c r="K82" s="2" t="str">
        <f t="shared" ca="1" si="1"/>
        <v>7 Years</v>
      </c>
      <c r="L82" s="3" cm="1">
        <f t="array" ref="L82">_xlfn.SWITCH(Table13_2[[#This Row],[Performance Score]],"A",6,"B",5,"C",4,"D",3,"E",2,"F",1)</f>
        <v>4</v>
      </c>
    </row>
    <row r="83" spans="1:12" x14ac:dyDescent="0.3">
      <c r="A83" t="s">
        <v>46</v>
      </c>
      <c r="B83">
        <v>50</v>
      </c>
      <c r="C83" s="1">
        <v>55000</v>
      </c>
      <c r="D83" t="s">
        <v>34</v>
      </c>
      <c r="E83" t="s">
        <v>26</v>
      </c>
      <c r="F83" t="s">
        <v>40</v>
      </c>
      <c r="G83" s="2">
        <v>43800</v>
      </c>
      <c r="H83" t="s">
        <v>22</v>
      </c>
      <c r="I83" t="s">
        <v>39</v>
      </c>
      <c r="J83" t="s">
        <v>17</v>
      </c>
      <c r="K83" s="2" t="str">
        <f t="shared" ca="1" si="1"/>
        <v>6 Years</v>
      </c>
      <c r="L83" s="3" cm="1">
        <f t="array" ref="L83">_xlfn.SWITCH(Table13_2[[#This Row],[Performance Score]],"A",6,"B",5,"C",4,"D",3,"E",2,"F",1)</f>
        <v>1</v>
      </c>
    </row>
    <row r="84" spans="1:12" x14ac:dyDescent="0.3">
      <c r="A84" t="s">
        <v>25</v>
      </c>
      <c r="B84">
        <v>36</v>
      </c>
      <c r="C84" s="1">
        <v>50000</v>
      </c>
      <c r="D84" t="s">
        <v>34</v>
      </c>
      <c r="E84" t="s">
        <v>20</v>
      </c>
      <c r="F84" t="s">
        <v>14</v>
      </c>
      <c r="G84" s="2">
        <v>43881</v>
      </c>
      <c r="H84" t="s">
        <v>15</v>
      </c>
      <c r="I84" t="s">
        <v>16</v>
      </c>
      <c r="J84" t="s">
        <v>17</v>
      </c>
      <c r="K84" s="2" t="str">
        <f t="shared" ca="1" si="1"/>
        <v>5 Years</v>
      </c>
      <c r="L84" s="3" cm="1">
        <f t="array" ref="L84">_xlfn.SWITCH(Table13_2[[#This Row],[Performance Score]],"A",6,"B",5,"C",4,"D",3,"E",2,"F",1)</f>
        <v>3</v>
      </c>
    </row>
    <row r="85" spans="1:12" x14ac:dyDescent="0.3">
      <c r="A85" t="s">
        <v>45</v>
      </c>
      <c r="B85">
        <v>40</v>
      </c>
      <c r="C85" s="1">
        <v>65000</v>
      </c>
      <c r="D85" t="s">
        <v>34</v>
      </c>
      <c r="E85" t="s">
        <v>20</v>
      </c>
      <c r="F85" t="s">
        <v>40</v>
      </c>
      <c r="G85" s="2">
        <v>43800</v>
      </c>
      <c r="H85" t="s">
        <v>31</v>
      </c>
      <c r="I85" t="s">
        <v>16</v>
      </c>
      <c r="J85" t="s">
        <v>17</v>
      </c>
      <c r="K85" s="2" t="str">
        <f t="shared" ca="1" si="1"/>
        <v>6 Years</v>
      </c>
      <c r="L85" s="3" cm="1">
        <f t="array" ref="L85">_xlfn.SWITCH(Table13_2[[#This Row],[Performance Score]],"A",6,"B",5,"C",4,"D",3,"E",2,"F",1)</f>
        <v>6</v>
      </c>
    </row>
    <row r="86" spans="1:12" x14ac:dyDescent="0.3">
      <c r="A86" t="s">
        <v>25</v>
      </c>
      <c r="B86">
        <v>25</v>
      </c>
      <c r="C86" s="1">
        <v>70000</v>
      </c>
      <c r="D86" t="s">
        <v>19</v>
      </c>
      <c r="E86" t="s">
        <v>13</v>
      </c>
      <c r="F86" t="s">
        <v>41</v>
      </c>
      <c r="G86" s="2">
        <v>43845</v>
      </c>
      <c r="H86" t="s">
        <v>15</v>
      </c>
      <c r="I86" t="s">
        <v>16</v>
      </c>
      <c r="J86" t="s">
        <v>17</v>
      </c>
      <c r="K86" s="2" t="str">
        <f t="shared" ca="1" si="1"/>
        <v>5 Years</v>
      </c>
      <c r="L86" s="3" cm="1">
        <f t="array" ref="L86">_xlfn.SWITCH(Table13_2[[#This Row],[Performance Score]],"A",6,"B",5,"C",4,"D",3,"E",2,"F",1)</f>
        <v>3</v>
      </c>
    </row>
    <row r="87" spans="1:12" x14ac:dyDescent="0.3">
      <c r="A87" t="s">
        <v>25</v>
      </c>
      <c r="B87">
        <v>25</v>
      </c>
      <c r="C87" s="1">
        <v>55000</v>
      </c>
      <c r="D87" t="s">
        <v>12</v>
      </c>
      <c r="E87" t="s">
        <v>20</v>
      </c>
      <c r="F87" t="s">
        <v>40</v>
      </c>
      <c r="G87" s="2">
        <v>43845</v>
      </c>
      <c r="H87" t="s">
        <v>22</v>
      </c>
      <c r="I87" t="s">
        <v>39</v>
      </c>
      <c r="J87" t="s">
        <v>28</v>
      </c>
      <c r="K87" s="2" t="str">
        <f t="shared" ca="1" si="1"/>
        <v>5 Years</v>
      </c>
      <c r="L87" s="3" cm="1">
        <f t="array" ref="L87">_xlfn.SWITCH(Table13_2[[#This Row],[Performance Score]],"A",6,"B",5,"C",4,"D",3,"E",2,"F",1)</f>
        <v>1</v>
      </c>
    </row>
    <row r="88" spans="1:12" x14ac:dyDescent="0.3">
      <c r="A88" t="s">
        <v>36</v>
      </c>
      <c r="B88">
        <v>40</v>
      </c>
      <c r="C88" s="1">
        <v>70000</v>
      </c>
      <c r="D88" t="s">
        <v>12</v>
      </c>
      <c r="E88" t="s">
        <v>30</v>
      </c>
      <c r="F88" t="s">
        <v>21</v>
      </c>
      <c r="G88" s="2">
        <v>43845</v>
      </c>
      <c r="H88" t="s">
        <v>15</v>
      </c>
      <c r="I88" t="s">
        <v>16</v>
      </c>
      <c r="J88" t="s">
        <v>24</v>
      </c>
      <c r="K88" s="2" t="str">
        <f t="shared" ca="1" si="1"/>
        <v>5 Years</v>
      </c>
      <c r="L88" s="3" cm="1">
        <f t="array" ref="L88">_xlfn.SWITCH(Table13_2[[#This Row],[Performance Score]],"A",6,"B",5,"C",4,"D",3,"E",2,"F",1)</f>
        <v>3</v>
      </c>
    </row>
    <row r="89" spans="1:12" x14ac:dyDescent="0.3">
      <c r="A89" t="s">
        <v>45</v>
      </c>
      <c r="B89">
        <v>50</v>
      </c>
      <c r="C89" s="1">
        <v>65000</v>
      </c>
      <c r="D89" t="s">
        <v>34</v>
      </c>
      <c r="E89" t="s">
        <v>13</v>
      </c>
      <c r="F89" t="s">
        <v>40</v>
      </c>
      <c r="G89" s="2">
        <v>43549</v>
      </c>
      <c r="H89" t="s">
        <v>27</v>
      </c>
      <c r="I89" t="s">
        <v>16</v>
      </c>
      <c r="J89" t="s">
        <v>42</v>
      </c>
      <c r="K89" s="2" t="str">
        <f t="shared" ca="1" si="1"/>
        <v>6 Years</v>
      </c>
      <c r="L89" s="3" cm="1">
        <f t="array" ref="L89">_xlfn.SWITCH(Table13_2[[#This Row],[Performance Score]],"A",6,"B",5,"C",4,"D",3,"E",2,"F",1)</f>
        <v>4</v>
      </c>
    </row>
    <row r="90" spans="1:12" x14ac:dyDescent="0.3">
      <c r="A90" t="s">
        <v>25</v>
      </c>
      <c r="B90">
        <v>35</v>
      </c>
      <c r="C90" s="1">
        <v>65000</v>
      </c>
      <c r="D90" t="s">
        <v>34</v>
      </c>
      <c r="E90" t="s">
        <v>30</v>
      </c>
      <c r="F90" t="s">
        <v>14</v>
      </c>
      <c r="G90" s="2">
        <v>43549</v>
      </c>
      <c r="H90" t="s">
        <v>38</v>
      </c>
      <c r="I90" t="s">
        <v>32</v>
      </c>
      <c r="J90" t="s">
        <v>17</v>
      </c>
      <c r="K90" s="2" t="str">
        <f t="shared" ca="1" si="1"/>
        <v>6 Years</v>
      </c>
      <c r="L90" s="3" cm="1">
        <f t="array" ref="L90">_xlfn.SWITCH(Table13_2[[#This Row],[Performance Score]],"A",6,"B",5,"C",4,"D",3,"E",2,"F",1)</f>
        <v>5</v>
      </c>
    </row>
    <row r="91" spans="1:12" x14ac:dyDescent="0.3">
      <c r="A91" t="s">
        <v>36</v>
      </c>
      <c r="B91">
        <v>35</v>
      </c>
      <c r="C91" s="1">
        <v>60000</v>
      </c>
      <c r="D91" t="s">
        <v>34</v>
      </c>
      <c r="E91" t="s">
        <v>26</v>
      </c>
      <c r="F91" t="s">
        <v>14</v>
      </c>
      <c r="G91" s="2">
        <v>43549</v>
      </c>
      <c r="H91" t="s">
        <v>38</v>
      </c>
      <c r="I91" t="s">
        <v>16</v>
      </c>
      <c r="J91" t="s">
        <v>42</v>
      </c>
      <c r="K91" s="2" t="str">
        <f t="shared" ca="1" si="1"/>
        <v>6 Years</v>
      </c>
      <c r="L91" s="3" cm="1">
        <f t="array" ref="L91">_xlfn.SWITCH(Table13_2[[#This Row],[Performance Score]],"A",6,"B",5,"C",4,"D",3,"E",2,"F",1)</f>
        <v>5</v>
      </c>
    </row>
    <row r="92" spans="1:12" x14ac:dyDescent="0.3">
      <c r="A92" t="s">
        <v>36</v>
      </c>
      <c r="B92">
        <v>35</v>
      </c>
      <c r="C92" s="1">
        <v>49144.385026737968</v>
      </c>
      <c r="D92" t="s">
        <v>34</v>
      </c>
      <c r="E92" t="s">
        <v>35</v>
      </c>
      <c r="F92" t="s">
        <v>40</v>
      </c>
      <c r="G92" s="2">
        <v>43800</v>
      </c>
      <c r="H92" t="s">
        <v>22</v>
      </c>
      <c r="I92" t="s">
        <v>23</v>
      </c>
      <c r="J92" t="s">
        <v>24</v>
      </c>
      <c r="K92" s="2" t="str">
        <f t="shared" ca="1" si="1"/>
        <v>6 Years</v>
      </c>
      <c r="L92" s="3" cm="1">
        <f t="array" ref="L92">_xlfn.SWITCH(Table13_2[[#This Row],[Performance Score]],"A",6,"B",5,"C",4,"D",3,"E",2,"F",1)</f>
        <v>1</v>
      </c>
    </row>
    <row r="93" spans="1:12" x14ac:dyDescent="0.3">
      <c r="A93" t="s">
        <v>45</v>
      </c>
      <c r="B93">
        <v>50</v>
      </c>
      <c r="C93" s="1">
        <v>50742.574257425746</v>
      </c>
      <c r="D93" t="s">
        <v>19</v>
      </c>
      <c r="E93" t="s">
        <v>26</v>
      </c>
      <c r="F93" t="s">
        <v>14</v>
      </c>
      <c r="G93" s="2">
        <v>43549</v>
      </c>
      <c r="H93" t="s">
        <v>38</v>
      </c>
      <c r="I93" t="s">
        <v>39</v>
      </c>
      <c r="J93" t="s">
        <v>17</v>
      </c>
      <c r="K93" s="2" t="str">
        <f t="shared" ca="1" si="1"/>
        <v>6 Years</v>
      </c>
      <c r="L93" s="3" cm="1">
        <f t="array" ref="L93">_xlfn.SWITCH(Table13_2[[#This Row],[Performance Score]],"A",6,"B",5,"C",4,"D",3,"E",2,"F",1)</f>
        <v>5</v>
      </c>
    </row>
    <row r="94" spans="1:12" x14ac:dyDescent="0.3">
      <c r="A94" t="s">
        <v>29</v>
      </c>
      <c r="B94">
        <v>50</v>
      </c>
      <c r="C94" s="1">
        <v>55000</v>
      </c>
      <c r="D94" t="s">
        <v>12</v>
      </c>
      <c r="E94" t="s">
        <v>35</v>
      </c>
      <c r="F94" t="s">
        <v>14</v>
      </c>
      <c r="G94" s="2">
        <v>43881</v>
      </c>
      <c r="H94" t="s">
        <v>38</v>
      </c>
      <c r="I94" t="s">
        <v>39</v>
      </c>
      <c r="J94" t="s">
        <v>42</v>
      </c>
      <c r="K94" s="2" t="str">
        <f t="shared" ca="1" si="1"/>
        <v>5 Years</v>
      </c>
      <c r="L94" s="3" cm="1">
        <f t="array" ref="L94">_xlfn.SWITCH(Table13_2[[#This Row],[Performance Score]],"A",6,"B",5,"C",4,"D",3,"E",2,"F",1)</f>
        <v>5</v>
      </c>
    </row>
    <row r="95" spans="1:12" x14ac:dyDescent="0.3">
      <c r="A95" t="s">
        <v>33</v>
      </c>
      <c r="B95">
        <v>40</v>
      </c>
      <c r="C95" s="1">
        <v>65000</v>
      </c>
      <c r="D95" t="s">
        <v>34</v>
      </c>
      <c r="E95" t="s">
        <v>26</v>
      </c>
      <c r="F95" t="s">
        <v>40</v>
      </c>
      <c r="G95" s="2">
        <v>43845</v>
      </c>
      <c r="H95" t="s">
        <v>31</v>
      </c>
      <c r="I95" t="s">
        <v>32</v>
      </c>
      <c r="J95" t="s">
        <v>24</v>
      </c>
      <c r="K95" s="2" t="str">
        <f t="shared" ca="1" si="1"/>
        <v>5 Years</v>
      </c>
      <c r="L95" s="3" cm="1">
        <f t="array" ref="L95">_xlfn.SWITCH(Table13_2[[#This Row],[Performance Score]],"A",6,"B",5,"C",4,"D",3,"E",2,"F",1)</f>
        <v>6</v>
      </c>
    </row>
    <row r="96" spans="1:12" x14ac:dyDescent="0.3">
      <c r="A96" t="s">
        <v>11</v>
      </c>
      <c r="B96">
        <v>25</v>
      </c>
      <c r="C96" s="1">
        <v>60000</v>
      </c>
      <c r="D96" t="s">
        <v>19</v>
      </c>
      <c r="E96" t="s">
        <v>20</v>
      </c>
      <c r="F96" t="s">
        <v>37</v>
      </c>
      <c r="G96" s="2">
        <v>43800</v>
      </c>
      <c r="H96" t="s">
        <v>22</v>
      </c>
      <c r="I96" t="s">
        <v>39</v>
      </c>
      <c r="J96" t="s">
        <v>42</v>
      </c>
      <c r="K96" s="2" t="str">
        <f t="shared" ca="1" si="1"/>
        <v>6 Years</v>
      </c>
      <c r="L96" s="3" cm="1">
        <f t="array" ref="L96">_xlfn.SWITCH(Table13_2[[#This Row],[Performance Score]],"A",6,"B",5,"C",4,"D",3,"E",2,"F",1)</f>
        <v>1</v>
      </c>
    </row>
    <row r="97" spans="1:12" x14ac:dyDescent="0.3">
      <c r="A97" t="s">
        <v>33</v>
      </c>
      <c r="B97">
        <v>40</v>
      </c>
      <c r="C97" s="1">
        <v>60000</v>
      </c>
      <c r="D97" t="s">
        <v>34</v>
      </c>
      <c r="E97" t="s">
        <v>30</v>
      </c>
      <c r="F97" t="s">
        <v>37</v>
      </c>
      <c r="G97" s="2">
        <v>43845</v>
      </c>
      <c r="H97" t="s">
        <v>22</v>
      </c>
      <c r="I97" t="s">
        <v>39</v>
      </c>
      <c r="J97" t="s">
        <v>28</v>
      </c>
      <c r="K97" s="2" t="str">
        <f t="shared" ca="1" si="1"/>
        <v>5 Years</v>
      </c>
      <c r="L97" s="3" cm="1">
        <f t="array" ref="L97">_xlfn.SWITCH(Table13_2[[#This Row],[Performance Score]],"A",6,"B",5,"C",4,"D",3,"E",2,"F",1)</f>
        <v>1</v>
      </c>
    </row>
    <row r="98" spans="1:12" x14ac:dyDescent="0.3">
      <c r="A98" t="s">
        <v>46</v>
      </c>
      <c r="B98">
        <v>40</v>
      </c>
      <c r="C98" s="1">
        <v>70000</v>
      </c>
      <c r="D98" t="s">
        <v>34</v>
      </c>
      <c r="E98" t="s">
        <v>35</v>
      </c>
      <c r="F98" t="s">
        <v>41</v>
      </c>
      <c r="G98" s="2">
        <v>43549</v>
      </c>
      <c r="H98" t="s">
        <v>38</v>
      </c>
      <c r="I98" t="s">
        <v>23</v>
      </c>
      <c r="J98" t="s">
        <v>24</v>
      </c>
      <c r="K98" s="2" t="str">
        <f t="shared" ca="1" si="1"/>
        <v>6 Years</v>
      </c>
      <c r="L98" s="3" cm="1">
        <f t="array" ref="L98">_xlfn.SWITCH(Table13_2[[#This Row],[Performance Score]],"A",6,"B",5,"C",4,"D",3,"E",2,"F",1)</f>
        <v>5</v>
      </c>
    </row>
    <row r="99" spans="1:12" x14ac:dyDescent="0.3">
      <c r="A99" t="s">
        <v>11</v>
      </c>
      <c r="B99">
        <v>50</v>
      </c>
      <c r="C99" s="1">
        <v>70000</v>
      </c>
      <c r="D99" t="s">
        <v>12</v>
      </c>
      <c r="E99" t="s">
        <v>13</v>
      </c>
      <c r="F99" t="s">
        <v>14</v>
      </c>
      <c r="G99" s="2">
        <v>43800</v>
      </c>
      <c r="H99" t="s">
        <v>38</v>
      </c>
      <c r="I99" t="s">
        <v>16</v>
      </c>
      <c r="J99" t="s">
        <v>42</v>
      </c>
      <c r="K99" s="2" t="str">
        <f t="shared" ca="1" si="1"/>
        <v>6 Years</v>
      </c>
      <c r="L99" s="3" cm="1">
        <f t="array" ref="L99">_xlfn.SWITCH(Table13_2[[#This Row],[Performance Score]],"A",6,"B",5,"C",4,"D",3,"E",2,"F",1)</f>
        <v>5</v>
      </c>
    </row>
    <row r="100" spans="1:12" x14ac:dyDescent="0.3">
      <c r="A100" t="s">
        <v>46</v>
      </c>
      <c r="B100">
        <v>35</v>
      </c>
      <c r="C100" s="1">
        <v>60000</v>
      </c>
      <c r="D100" t="s">
        <v>34</v>
      </c>
      <c r="E100" t="s">
        <v>30</v>
      </c>
      <c r="F100" t="s">
        <v>40</v>
      </c>
      <c r="G100" s="2">
        <v>43195</v>
      </c>
      <c r="H100" t="s">
        <v>38</v>
      </c>
      <c r="I100" t="s">
        <v>23</v>
      </c>
      <c r="J100" t="s">
        <v>28</v>
      </c>
      <c r="K100" s="2" t="str">
        <f t="shared" ca="1" si="1"/>
        <v>7 Years</v>
      </c>
      <c r="L100" s="3" cm="1">
        <f t="array" ref="L100">_xlfn.SWITCH(Table13_2[[#This Row],[Performance Score]],"A",6,"B",5,"C",4,"D",3,"E",2,"F",1)</f>
        <v>5</v>
      </c>
    </row>
    <row r="101" spans="1:12" x14ac:dyDescent="0.3">
      <c r="A101" t="s">
        <v>25</v>
      </c>
      <c r="B101">
        <v>30</v>
      </c>
      <c r="C101" s="1">
        <v>70000</v>
      </c>
      <c r="D101" t="s">
        <v>12</v>
      </c>
      <c r="E101" t="s">
        <v>13</v>
      </c>
      <c r="F101" t="s">
        <v>14</v>
      </c>
      <c r="G101" s="2">
        <v>43881</v>
      </c>
      <c r="H101" t="s">
        <v>27</v>
      </c>
      <c r="I101" t="s">
        <v>16</v>
      </c>
      <c r="J101" t="s">
        <v>28</v>
      </c>
      <c r="K101" s="2" t="str">
        <f t="shared" ca="1" si="1"/>
        <v>5 Years</v>
      </c>
      <c r="L101" s="3" cm="1">
        <f t="array" ref="L101">_xlfn.SWITCH(Table13_2[[#This Row],[Performance Score]],"A",6,"B",5,"C",4,"D",3,"E",2,"F",1)</f>
        <v>4</v>
      </c>
    </row>
    <row r="102" spans="1:12" x14ac:dyDescent="0.3">
      <c r="A102" t="s">
        <v>44</v>
      </c>
      <c r="B102">
        <v>25</v>
      </c>
      <c r="C102" s="1">
        <v>65000</v>
      </c>
      <c r="D102" t="s">
        <v>12</v>
      </c>
      <c r="E102" t="s">
        <v>30</v>
      </c>
      <c r="F102" t="s">
        <v>21</v>
      </c>
      <c r="G102" s="2">
        <v>43549</v>
      </c>
      <c r="H102" t="s">
        <v>15</v>
      </c>
      <c r="I102" t="s">
        <v>16</v>
      </c>
      <c r="J102" t="s">
        <v>24</v>
      </c>
      <c r="K102" s="2" t="str">
        <f t="shared" ca="1" si="1"/>
        <v>6 Years</v>
      </c>
      <c r="L102" s="3" cm="1">
        <f t="array" ref="L102">_xlfn.SWITCH(Table13_2[[#This Row],[Performance Score]],"A",6,"B",5,"C",4,"D",3,"E",2,"F",1)</f>
        <v>3</v>
      </c>
    </row>
    <row r="103" spans="1:12" x14ac:dyDescent="0.3">
      <c r="A103" t="s">
        <v>45</v>
      </c>
      <c r="B103">
        <v>50</v>
      </c>
      <c r="C103" s="1">
        <v>50000</v>
      </c>
      <c r="D103" t="s">
        <v>12</v>
      </c>
      <c r="E103" t="s">
        <v>30</v>
      </c>
      <c r="F103" t="s">
        <v>14</v>
      </c>
      <c r="G103" s="2">
        <v>43549</v>
      </c>
      <c r="H103" t="s">
        <v>27</v>
      </c>
      <c r="I103" t="s">
        <v>39</v>
      </c>
      <c r="J103" t="s">
        <v>17</v>
      </c>
      <c r="K103" s="2" t="str">
        <f t="shared" ca="1" si="1"/>
        <v>6 Years</v>
      </c>
      <c r="L103" s="3" cm="1">
        <f t="array" ref="L103">_xlfn.SWITCH(Table13_2[[#This Row],[Performance Score]],"A",6,"B",5,"C",4,"D",3,"E",2,"F",1)</f>
        <v>4</v>
      </c>
    </row>
    <row r="104" spans="1:12" x14ac:dyDescent="0.3">
      <c r="A104" t="s">
        <v>11</v>
      </c>
      <c r="B104">
        <v>35</v>
      </c>
      <c r="C104" s="1">
        <v>65000</v>
      </c>
      <c r="D104" t="s">
        <v>19</v>
      </c>
      <c r="E104" t="s">
        <v>26</v>
      </c>
      <c r="F104" t="s">
        <v>14</v>
      </c>
      <c r="G104" s="2">
        <v>43881</v>
      </c>
      <c r="H104" t="s">
        <v>22</v>
      </c>
      <c r="I104" t="s">
        <v>16</v>
      </c>
      <c r="J104" t="s">
        <v>17</v>
      </c>
      <c r="K104" s="2" t="str">
        <f t="shared" ca="1" si="1"/>
        <v>5 Years</v>
      </c>
      <c r="L104" s="3" cm="1">
        <f t="array" ref="L104">_xlfn.SWITCH(Table13_2[[#This Row],[Performance Score]],"A",6,"B",5,"C",4,"D",3,"E",2,"F",1)</f>
        <v>1</v>
      </c>
    </row>
    <row r="105" spans="1:12" x14ac:dyDescent="0.3">
      <c r="A105" t="s">
        <v>11</v>
      </c>
      <c r="B105">
        <v>30</v>
      </c>
      <c r="C105" s="1">
        <v>60000</v>
      </c>
      <c r="D105" t="s">
        <v>19</v>
      </c>
      <c r="E105" t="s">
        <v>35</v>
      </c>
      <c r="F105" t="s">
        <v>37</v>
      </c>
      <c r="G105" s="2">
        <v>43881</v>
      </c>
      <c r="H105" t="s">
        <v>31</v>
      </c>
      <c r="I105" t="s">
        <v>32</v>
      </c>
      <c r="J105" t="s">
        <v>24</v>
      </c>
      <c r="K105" s="2" t="str">
        <f t="shared" ca="1" si="1"/>
        <v>5 Years</v>
      </c>
      <c r="L105" s="3" cm="1">
        <f t="array" ref="L105">_xlfn.SWITCH(Table13_2[[#This Row],[Performance Score]],"A",6,"B",5,"C",4,"D",3,"E",2,"F",1)</f>
        <v>6</v>
      </c>
    </row>
    <row r="106" spans="1:12" x14ac:dyDescent="0.3">
      <c r="A106" t="s">
        <v>25</v>
      </c>
      <c r="B106">
        <v>30</v>
      </c>
      <c r="C106" s="1">
        <v>60000</v>
      </c>
      <c r="D106" t="s">
        <v>12</v>
      </c>
      <c r="E106" t="s">
        <v>35</v>
      </c>
      <c r="F106" t="s">
        <v>40</v>
      </c>
      <c r="G106" s="2">
        <v>43195</v>
      </c>
      <c r="H106" t="s">
        <v>15</v>
      </c>
      <c r="I106" t="s">
        <v>32</v>
      </c>
      <c r="J106" t="s">
        <v>28</v>
      </c>
      <c r="K106" s="2" t="str">
        <f t="shared" ca="1" si="1"/>
        <v>7 Years</v>
      </c>
      <c r="L106" s="3" cm="1">
        <f t="array" ref="L106">_xlfn.SWITCH(Table13_2[[#This Row],[Performance Score]],"A",6,"B",5,"C",4,"D",3,"E",2,"F",1)</f>
        <v>3</v>
      </c>
    </row>
    <row r="107" spans="1:12" x14ac:dyDescent="0.3">
      <c r="A107" t="s">
        <v>29</v>
      </c>
      <c r="B107">
        <v>50</v>
      </c>
      <c r="C107" s="1">
        <v>65000</v>
      </c>
      <c r="D107" t="s">
        <v>34</v>
      </c>
      <c r="E107" t="s">
        <v>30</v>
      </c>
      <c r="F107" t="s">
        <v>14</v>
      </c>
      <c r="G107" s="2">
        <v>43549</v>
      </c>
      <c r="H107" t="s">
        <v>31</v>
      </c>
      <c r="I107" t="s">
        <v>32</v>
      </c>
      <c r="J107" t="s">
        <v>28</v>
      </c>
      <c r="K107" s="2" t="str">
        <f t="shared" ca="1" si="1"/>
        <v>6 Years</v>
      </c>
      <c r="L107" s="3" cm="1">
        <f t="array" ref="L107">_xlfn.SWITCH(Table13_2[[#This Row],[Performance Score]],"A",6,"B",5,"C",4,"D",3,"E",2,"F",1)</f>
        <v>6</v>
      </c>
    </row>
    <row r="108" spans="1:12" x14ac:dyDescent="0.3">
      <c r="A108" t="s">
        <v>36</v>
      </c>
      <c r="B108">
        <v>36</v>
      </c>
      <c r="C108" s="1">
        <v>70000</v>
      </c>
      <c r="D108" t="s">
        <v>12</v>
      </c>
      <c r="E108" t="s">
        <v>20</v>
      </c>
      <c r="F108" t="s">
        <v>37</v>
      </c>
      <c r="G108" s="2">
        <v>43549</v>
      </c>
      <c r="H108" t="s">
        <v>22</v>
      </c>
      <c r="I108" t="s">
        <v>39</v>
      </c>
      <c r="J108" t="s">
        <v>24</v>
      </c>
      <c r="K108" s="2" t="str">
        <f t="shared" ca="1" si="1"/>
        <v>6 Years</v>
      </c>
      <c r="L108" s="3" cm="1">
        <f t="array" ref="L108">_xlfn.SWITCH(Table13_2[[#This Row],[Performance Score]],"A",6,"B",5,"C",4,"D",3,"E",2,"F",1)</f>
        <v>1</v>
      </c>
    </row>
    <row r="109" spans="1:12" x14ac:dyDescent="0.3">
      <c r="A109" t="s">
        <v>25</v>
      </c>
      <c r="B109">
        <v>25</v>
      </c>
      <c r="C109" s="1">
        <v>70000</v>
      </c>
      <c r="D109" t="s">
        <v>34</v>
      </c>
      <c r="E109" t="s">
        <v>20</v>
      </c>
      <c r="F109" t="s">
        <v>41</v>
      </c>
      <c r="G109" s="2">
        <v>43845</v>
      </c>
      <c r="H109" t="s">
        <v>22</v>
      </c>
      <c r="I109" t="s">
        <v>23</v>
      </c>
      <c r="J109" t="s">
        <v>17</v>
      </c>
      <c r="K109" s="2" t="str">
        <f t="shared" ca="1" si="1"/>
        <v>5 Years</v>
      </c>
      <c r="L109" s="3" cm="1">
        <f t="array" ref="L109">_xlfn.SWITCH(Table13_2[[#This Row],[Performance Score]],"A",6,"B",5,"C",4,"D",3,"E",2,"F",1)</f>
        <v>1</v>
      </c>
    </row>
    <row r="110" spans="1:12" x14ac:dyDescent="0.3">
      <c r="A110" t="s">
        <v>43</v>
      </c>
      <c r="B110">
        <v>30</v>
      </c>
      <c r="C110" s="1">
        <v>51825</v>
      </c>
      <c r="D110" t="s">
        <v>12</v>
      </c>
      <c r="E110" t="s">
        <v>13</v>
      </c>
      <c r="F110" t="s">
        <v>37</v>
      </c>
      <c r="G110" s="2">
        <v>43800</v>
      </c>
      <c r="H110" t="s">
        <v>31</v>
      </c>
      <c r="I110" t="s">
        <v>39</v>
      </c>
      <c r="J110" t="s">
        <v>17</v>
      </c>
      <c r="K110" s="2" t="str">
        <f t="shared" ca="1" si="1"/>
        <v>6 Years</v>
      </c>
      <c r="L110" s="3" cm="1">
        <f t="array" ref="L110">_xlfn.SWITCH(Table13_2[[#This Row],[Performance Score]],"A",6,"B",5,"C",4,"D",3,"E",2,"F",1)</f>
        <v>6</v>
      </c>
    </row>
    <row r="111" spans="1:12" x14ac:dyDescent="0.3">
      <c r="A111" t="s">
        <v>36</v>
      </c>
      <c r="B111">
        <v>50</v>
      </c>
      <c r="C111" s="1">
        <v>60000</v>
      </c>
      <c r="D111" t="s">
        <v>34</v>
      </c>
      <c r="E111" t="s">
        <v>13</v>
      </c>
      <c r="F111" t="s">
        <v>37</v>
      </c>
      <c r="G111" s="2">
        <v>43800</v>
      </c>
      <c r="H111" t="s">
        <v>31</v>
      </c>
      <c r="I111" t="s">
        <v>16</v>
      </c>
      <c r="J111" t="s">
        <v>42</v>
      </c>
      <c r="K111" s="2" t="str">
        <f t="shared" ca="1" si="1"/>
        <v>6 Years</v>
      </c>
      <c r="L111" s="3" cm="1">
        <f t="array" ref="L111">_xlfn.SWITCH(Table13_2[[#This Row],[Performance Score]],"A",6,"B",5,"C",4,"D",3,"E",2,"F",1)</f>
        <v>6</v>
      </c>
    </row>
    <row r="112" spans="1:12" x14ac:dyDescent="0.3">
      <c r="A112" t="s">
        <v>45</v>
      </c>
      <c r="B112">
        <v>50</v>
      </c>
      <c r="C112" s="1">
        <v>55000</v>
      </c>
      <c r="D112" t="s">
        <v>19</v>
      </c>
      <c r="E112" t="s">
        <v>26</v>
      </c>
      <c r="F112" t="s">
        <v>37</v>
      </c>
      <c r="G112" s="2">
        <v>43845</v>
      </c>
      <c r="H112" t="s">
        <v>31</v>
      </c>
      <c r="I112" t="s">
        <v>39</v>
      </c>
      <c r="J112" t="s">
        <v>24</v>
      </c>
      <c r="K112" s="2" t="str">
        <f t="shared" ca="1" si="1"/>
        <v>5 Years</v>
      </c>
      <c r="L112" s="3" cm="1">
        <f t="array" ref="L112">_xlfn.SWITCH(Table13_2[[#This Row],[Performance Score]],"A",6,"B",5,"C",4,"D",3,"E",2,"F",1)</f>
        <v>6</v>
      </c>
    </row>
    <row r="113" spans="1:12" x14ac:dyDescent="0.3">
      <c r="A113" t="s">
        <v>36</v>
      </c>
      <c r="B113">
        <v>35</v>
      </c>
      <c r="C113" s="1">
        <v>50777.202072538857</v>
      </c>
      <c r="D113" t="s">
        <v>34</v>
      </c>
      <c r="E113" t="s">
        <v>30</v>
      </c>
      <c r="F113" t="s">
        <v>14</v>
      </c>
      <c r="G113" s="2">
        <v>43800</v>
      </c>
      <c r="H113" t="s">
        <v>22</v>
      </c>
      <c r="I113" t="s">
        <v>23</v>
      </c>
      <c r="J113" t="s">
        <v>17</v>
      </c>
      <c r="K113" s="2" t="str">
        <f t="shared" ca="1" si="1"/>
        <v>6 Years</v>
      </c>
      <c r="L113" s="3" cm="1">
        <f t="array" ref="L113">_xlfn.SWITCH(Table13_2[[#This Row],[Performance Score]],"A",6,"B",5,"C",4,"D",3,"E",2,"F",1)</f>
        <v>1</v>
      </c>
    </row>
    <row r="114" spans="1:12" x14ac:dyDescent="0.3">
      <c r="A114" t="s">
        <v>29</v>
      </c>
      <c r="B114">
        <v>36</v>
      </c>
      <c r="C114" s="1">
        <v>70000</v>
      </c>
      <c r="D114" t="s">
        <v>12</v>
      </c>
      <c r="E114" t="s">
        <v>13</v>
      </c>
      <c r="F114" t="s">
        <v>14</v>
      </c>
      <c r="G114" s="2">
        <v>43881</v>
      </c>
      <c r="H114" t="s">
        <v>38</v>
      </c>
      <c r="I114" t="s">
        <v>23</v>
      </c>
      <c r="J114" t="s">
        <v>17</v>
      </c>
      <c r="K114" s="2" t="str">
        <f t="shared" ca="1" si="1"/>
        <v>5 Years</v>
      </c>
      <c r="L114" s="3" cm="1">
        <f t="array" ref="L114">_xlfn.SWITCH(Table13_2[[#This Row],[Performance Score]],"A",6,"B",5,"C",4,"D",3,"E",2,"F",1)</f>
        <v>5</v>
      </c>
    </row>
    <row r="115" spans="1:12" x14ac:dyDescent="0.3">
      <c r="A115" t="s">
        <v>36</v>
      </c>
      <c r="B115">
        <v>25</v>
      </c>
      <c r="C115" s="1">
        <v>65000</v>
      </c>
      <c r="D115" t="s">
        <v>19</v>
      </c>
      <c r="E115" t="s">
        <v>13</v>
      </c>
      <c r="F115" t="s">
        <v>41</v>
      </c>
      <c r="G115" s="2">
        <v>43800</v>
      </c>
      <c r="H115" t="s">
        <v>31</v>
      </c>
      <c r="I115" t="s">
        <v>39</v>
      </c>
      <c r="J115" t="s">
        <v>28</v>
      </c>
      <c r="K115" s="2" t="str">
        <f t="shared" ca="1" si="1"/>
        <v>6 Years</v>
      </c>
      <c r="L115" s="3" cm="1">
        <f t="array" ref="L115">_xlfn.SWITCH(Table13_2[[#This Row],[Performance Score]],"A",6,"B",5,"C",4,"D",3,"E",2,"F",1)</f>
        <v>6</v>
      </c>
    </row>
    <row r="116" spans="1:12" x14ac:dyDescent="0.3">
      <c r="A116" t="s">
        <v>45</v>
      </c>
      <c r="B116">
        <v>40</v>
      </c>
      <c r="C116" s="1">
        <v>70000</v>
      </c>
      <c r="D116" t="s">
        <v>34</v>
      </c>
      <c r="E116" t="s">
        <v>30</v>
      </c>
      <c r="F116" t="s">
        <v>21</v>
      </c>
      <c r="G116" s="2">
        <v>43800</v>
      </c>
      <c r="H116" t="s">
        <v>15</v>
      </c>
      <c r="I116" t="s">
        <v>32</v>
      </c>
      <c r="J116" t="s">
        <v>42</v>
      </c>
      <c r="K116" s="2" t="str">
        <f t="shared" ca="1" si="1"/>
        <v>6 Years</v>
      </c>
      <c r="L116" s="3" cm="1">
        <f t="array" ref="L116">_xlfn.SWITCH(Table13_2[[#This Row],[Performance Score]],"A",6,"B",5,"C",4,"D",3,"E",2,"F",1)</f>
        <v>3</v>
      </c>
    </row>
    <row r="117" spans="1:12" x14ac:dyDescent="0.3">
      <c r="A117" t="s">
        <v>29</v>
      </c>
      <c r="B117">
        <v>35</v>
      </c>
      <c r="C117" s="1">
        <v>65000</v>
      </c>
      <c r="D117" t="s">
        <v>34</v>
      </c>
      <c r="E117" t="s">
        <v>26</v>
      </c>
      <c r="F117" t="s">
        <v>21</v>
      </c>
      <c r="G117" s="2">
        <v>43845</v>
      </c>
      <c r="H117" t="s">
        <v>22</v>
      </c>
      <c r="I117" t="s">
        <v>32</v>
      </c>
      <c r="J117" t="s">
        <v>24</v>
      </c>
      <c r="K117" s="2" t="str">
        <f t="shared" ca="1" si="1"/>
        <v>5 Years</v>
      </c>
      <c r="L117" s="3" cm="1">
        <f t="array" ref="L117">_xlfn.SWITCH(Table13_2[[#This Row],[Performance Score]],"A",6,"B",5,"C",4,"D",3,"E",2,"F",1)</f>
        <v>1</v>
      </c>
    </row>
    <row r="118" spans="1:12" x14ac:dyDescent="0.3">
      <c r="A118" t="s">
        <v>33</v>
      </c>
      <c r="B118">
        <v>30</v>
      </c>
      <c r="C118" s="1">
        <v>51825</v>
      </c>
      <c r="D118" t="s">
        <v>34</v>
      </c>
      <c r="E118" t="s">
        <v>13</v>
      </c>
      <c r="F118" t="s">
        <v>21</v>
      </c>
      <c r="G118" s="2">
        <v>43195</v>
      </c>
      <c r="H118" t="s">
        <v>27</v>
      </c>
      <c r="I118" t="s">
        <v>23</v>
      </c>
      <c r="J118" t="s">
        <v>28</v>
      </c>
      <c r="K118" s="2" t="str">
        <f t="shared" ca="1" si="1"/>
        <v>7 Years</v>
      </c>
      <c r="L118" s="3" cm="1">
        <f t="array" ref="L118">_xlfn.SWITCH(Table13_2[[#This Row],[Performance Score]],"A",6,"B",5,"C",4,"D",3,"E",2,"F",1)</f>
        <v>4</v>
      </c>
    </row>
    <row r="119" spans="1:12" x14ac:dyDescent="0.3">
      <c r="A119" t="s">
        <v>11</v>
      </c>
      <c r="B119">
        <v>30</v>
      </c>
      <c r="C119" s="1">
        <v>60000</v>
      </c>
      <c r="D119" t="s">
        <v>34</v>
      </c>
      <c r="E119" t="s">
        <v>26</v>
      </c>
      <c r="F119" t="s">
        <v>41</v>
      </c>
      <c r="G119" s="2">
        <v>43800</v>
      </c>
      <c r="H119" t="s">
        <v>27</v>
      </c>
      <c r="I119" t="s">
        <v>39</v>
      </c>
      <c r="J119" t="s">
        <v>28</v>
      </c>
      <c r="K119" s="2" t="str">
        <f t="shared" ca="1" si="1"/>
        <v>6 Years</v>
      </c>
      <c r="L119" s="3" cm="1">
        <f t="array" ref="L119">_xlfn.SWITCH(Table13_2[[#This Row],[Performance Score]],"A",6,"B",5,"C",4,"D",3,"E",2,"F",1)</f>
        <v>4</v>
      </c>
    </row>
    <row r="120" spans="1:12" x14ac:dyDescent="0.3">
      <c r="A120" t="s">
        <v>11</v>
      </c>
      <c r="B120">
        <v>35</v>
      </c>
      <c r="C120" s="1">
        <v>70000</v>
      </c>
      <c r="D120" t="s">
        <v>34</v>
      </c>
      <c r="E120" t="s">
        <v>35</v>
      </c>
      <c r="F120" t="s">
        <v>21</v>
      </c>
      <c r="G120" s="2">
        <v>43800</v>
      </c>
      <c r="H120" t="s">
        <v>15</v>
      </c>
      <c r="I120" t="s">
        <v>39</v>
      </c>
      <c r="J120" t="s">
        <v>17</v>
      </c>
      <c r="K120" s="2" t="str">
        <f t="shared" ca="1" si="1"/>
        <v>6 Years</v>
      </c>
      <c r="L120" s="3" cm="1">
        <f t="array" ref="L120">_xlfn.SWITCH(Table13_2[[#This Row],[Performance Score]],"A",6,"B",5,"C",4,"D",3,"E",2,"F",1)</f>
        <v>3</v>
      </c>
    </row>
    <row r="121" spans="1:12" x14ac:dyDescent="0.3">
      <c r="A121" t="s">
        <v>46</v>
      </c>
      <c r="B121">
        <v>50</v>
      </c>
      <c r="C121" s="1">
        <v>65000</v>
      </c>
      <c r="D121" t="s">
        <v>19</v>
      </c>
      <c r="E121" t="s">
        <v>26</v>
      </c>
      <c r="F121" t="s">
        <v>21</v>
      </c>
      <c r="G121" s="2">
        <v>43195</v>
      </c>
      <c r="H121" t="s">
        <v>38</v>
      </c>
      <c r="I121" t="s">
        <v>16</v>
      </c>
      <c r="J121" t="s">
        <v>17</v>
      </c>
      <c r="K121" s="2" t="str">
        <f t="shared" ca="1" si="1"/>
        <v>7 Years</v>
      </c>
      <c r="L121" s="3" cm="1">
        <f t="array" ref="L121">_xlfn.SWITCH(Table13_2[[#This Row],[Performance Score]],"A",6,"B",5,"C",4,"D",3,"E",2,"F",1)</f>
        <v>5</v>
      </c>
    </row>
    <row r="122" spans="1:12" x14ac:dyDescent="0.3">
      <c r="A122" t="s">
        <v>33</v>
      </c>
      <c r="B122">
        <v>30</v>
      </c>
      <c r="C122" s="1">
        <v>60000</v>
      </c>
      <c r="D122" t="s">
        <v>19</v>
      </c>
      <c r="E122" t="s">
        <v>20</v>
      </c>
      <c r="F122" t="s">
        <v>37</v>
      </c>
      <c r="G122" s="2">
        <v>43845</v>
      </c>
      <c r="H122" t="s">
        <v>31</v>
      </c>
      <c r="I122" t="s">
        <v>32</v>
      </c>
      <c r="J122" t="s">
        <v>24</v>
      </c>
      <c r="K122" s="2" t="str">
        <f t="shared" ca="1" si="1"/>
        <v>5 Years</v>
      </c>
      <c r="L122" s="3" cm="1">
        <f t="array" ref="L122">_xlfn.SWITCH(Table13_2[[#This Row],[Performance Score]],"A",6,"B",5,"C",4,"D",3,"E",2,"F",1)</f>
        <v>6</v>
      </c>
    </row>
    <row r="123" spans="1:12" x14ac:dyDescent="0.3">
      <c r="A123" t="s">
        <v>33</v>
      </c>
      <c r="B123">
        <v>36</v>
      </c>
      <c r="C123" s="1">
        <v>55000</v>
      </c>
      <c r="D123" t="s">
        <v>19</v>
      </c>
      <c r="E123" t="s">
        <v>20</v>
      </c>
      <c r="F123" t="s">
        <v>14</v>
      </c>
      <c r="G123" s="2">
        <v>43195</v>
      </c>
      <c r="H123" t="s">
        <v>22</v>
      </c>
      <c r="I123" t="s">
        <v>23</v>
      </c>
      <c r="J123" t="s">
        <v>24</v>
      </c>
      <c r="K123" s="2" t="str">
        <f t="shared" ca="1" si="1"/>
        <v>7 Years</v>
      </c>
      <c r="L123" s="3" cm="1">
        <f t="array" ref="L123">_xlfn.SWITCH(Table13_2[[#This Row],[Performance Score]],"A",6,"B",5,"C",4,"D",3,"E",2,"F",1)</f>
        <v>1</v>
      </c>
    </row>
    <row r="124" spans="1:12" x14ac:dyDescent="0.3">
      <c r="A124" t="s">
        <v>36</v>
      </c>
      <c r="B124">
        <v>25</v>
      </c>
      <c r="C124" s="1">
        <v>65000</v>
      </c>
      <c r="D124" t="s">
        <v>19</v>
      </c>
      <c r="E124" t="s">
        <v>26</v>
      </c>
      <c r="F124" t="s">
        <v>14</v>
      </c>
      <c r="G124" s="2">
        <v>43845</v>
      </c>
      <c r="H124" t="s">
        <v>31</v>
      </c>
      <c r="I124" t="s">
        <v>39</v>
      </c>
      <c r="J124" t="s">
        <v>24</v>
      </c>
      <c r="K124" s="2" t="str">
        <f t="shared" ca="1" si="1"/>
        <v>5 Years</v>
      </c>
      <c r="L124" s="3" cm="1">
        <f t="array" ref="L124">_xlfn.SWITCH(Table13_2[[#This Row],[Performance Score]],"A",6,"B",5,"C",4,"D",3,"E",2,"F",1)</f>
        <v>6</v>
      </c>
    </row>
    <row r="125" spans="1:12" x14ac:dyDescent="0.3">
      <c r="A125" t="s">
        <v>11</v>
      </c>
      <c r="B125">
        <v>36</v>
      </c>
      <c r="C125" s="1">
        <v>48417.431192660551</v>
      </c>
      <c r="D125" t="s">
        <v>12</v>
      </c>
      <c r="E125" t="s">
        <v>20</v>
      </c>
      <c r="F125" t="s">
        <v>37</v>
      </c>
      <c r="G125" s="2">
        <v>43881</v>
      </c>
      <c r="H125" t="s">
        <v>22</v>
      </c>
      <c r="I125" t="s">
        <v>32</v>
      </c>
      <c r="J125" t="s">
        <v>28</v>
      </c>
      <c r="K125" s="2" t="str">
        <f t="shared" ca="1" si="1"/>
        <v>5 Years</v>
      </c>
      <c r="L125" s="3" cm="1">
        <f t="array" ref="L125">_xlfn.SWITCH(Table13_2[[#This Row],[Performance Score]],"A",6,"B",5,"C",4,"D",3,"E",2,"F",1)</f>
        <v>1</v>
      </c>
    </row>
    <row r="126" spans="1:12" x14ac:dyDescent="0.3">
      <c r="A126" t="s">
        <v>45</v>
      </c>
      <c r="B126">
        <v>30</v>
      </c>
      <c r="C126" s="1">
        <v>55000</v>
      </c>
      <c r="D126" t="s">
        <v>19</v>
      </c>
      <c r="E126" t="s">
        <v>35</v>
      </c>
      <c r="F126" t="s">
        <v>37</v>
      </c>
      <c r="G126" s="2">
        <v>43845</v>
      </c>
      <c r="H126" t="s">
        <v>27</v>
      </c>
      <c r="I126" t="s">
        <v>16</v>
      </c>
      <c r="J126" t="s">
        <v>17</v>
      </c>
      <c r="K126" s="2" t="str">
        <f t="shared" ca="1" si="1"/>
        <v>5 Years</v>
      </c>
      <c r="L126" s="3" cm="1">
        <f t="array" ref="L126">_xlfn.SWITCH(Table13_2[[#This Row],[Performance Score]],"A",6,"B",5,"C",4,"D",3,"E",2,"F",1)</f>
        <v>4</v>
      </c>
    </row>
    <row r="127" spans="1:12" x14ac:dyDescent="0.3">
      <c r="A127" t="s">
        <v>18</v>
      </c>
      <c r="B127">
        <v>40</v>
      </c>
      <c r="C127" s="1">
        <v>55000</v>
      </c>
      <c r="D127" t="s">
        <v>34</v>
      </c>
      <c r="E127" t="s">
        <v>30</v>
      </c>
      <c r="F127" t="s">
        <v>37</v>
      </c>
      <c r="G127" s="2">
        <v>43881</v>
      </c>
      <c r="H127" t="s">
        <v>31</v>
      </c>
      <c r="I127" t="s">
        <v>39</v>
      </c>
      <c r="J127" t="s">
        <v>42</v>
      </c>
      <c r="K127" s="2" t="str">
        <f t="shared" ca="1" si="1"/>
        <v>5 Years</v>
      </c>
      <c r="L127" s="3" cm="1">
        <f t="array" ref="L127">_xlfn.SWITCH(Table13_2[[#This Row],[Performance Score]],"A",6,"B",5,"C",4,"D",3,"E",2,"F",1)</f>
        <v>6</v>
      </c>
    </row>
    <row r="128" spans="1:12" x14ac:dyDescent="0.3">
      <c r="A128" t="s">
        <v>18</v>
      </c>
      <c r="B128">
        <v>25</v>
      </c>
      <c r="C128" s="1">
        <v>50000</v>
      </c>
      <c r="D128" t="s">
        <v>34</v>
      </c>
      <c r="E128" t="s">
        <v>20</v>
      </c>
      <c r="F128" t="s">
        <v>14</v>
      </c>
      <c r="G128" s="2">
        <v>43881</v>
      </c>
      <c r="H128" t="s">
        <v>15</v>
      </c>
      <c r="I128" t="s">
        <v>23</v>
      </c>
      <c r="J128" t="s">
        <v>28</v>
      </c>
      <c r="K128" s="2" t="str">
        <f t="shared" ca="1" si="1"/>
        <v>5 Years</v>
      </c>
      <c r="L128" s="3" cm="1">
        <f t="array" ref="L128">_xlfn.SWITCH(Table13_2[[#This Row],[Performance Score]],"A",6,"B",5,"C",4,"D",3,"E",2,"F",1)</f>
        <v>3</v>
      </c>
    </row>
    <row r="129" spans="1:12" x14ac:dyDescent="0.3">
      <c r="A129" t="s">
        <v>29</v>
      </c>
      <c r="B129">
        <v>25</v>
      </c>
      <c r="C129" s="1">
        <v>70000</v>
      </c>
      <c r="D129" t="s">
        <v>19</v>
      </c>
      <c r="E129" t="s">
        <v>20</v>
      </c>
      <c r="F129" t="s">
        <v>21</v>
      </c>
      <c r="G129" s="2">
        <v>43845</v>
      </c>
      <c r="H129" t="s">
        <v>38</v>
      </c>
      <c r="I129" t="s">
        <v>32</v>
      </c>
      <c r="J129" t="s">
        <v>42</v>
      </c>
      <c r="K129" s="2" t="str">
        <f t="shared" ca="1" si="1"/>
        <v>5 Years</v>
      </c>
      <c r="L129" s="3" cm="1">
        <f t="array" ref="L129">_xlfn.SWITCH(Table13_2[[#This Row],[Performance Score]],"A",6,"B",5,"C",4,"D",3,"E",2,"F",1)</f>
        <v>5</v>
      </c>
    </row>
    <row r="130" spans="1:12" x14ac:dyDescent="0.3">
      <c r="A130" t="s">
        <v>11</v>
      </c>
      <c r="B130">
        <v>35</v>
      </c>
      <c r="C130" s="1">
        <v>65000</v>
      </c>
      <c r="D130" t="s">
        <v>34</v>
      </c>
      <c r="E130" t="s">
        <v>26</v>
      </c>
      <c r="F130" t="s">
        <v>37</v>
      </c>
      <c r="G130" s="2">
        <v>43549</v>
      </c>
      <c r="H130" t="s">
        <v>15</v>
      </c>
      <c r="I130" t="s">
        <v>39</v>
      </c>
      <c r="J130" t="s">
        <v>17</v>
      </c>
      <c r="K130" s="2" t="str">
        <f t="shared" ca="1" si="1"/>
        <v>6 Years</v>
      </c>
      <c r="L130" s="3" cm="1">
        <f t="array" ref="L130">_xlfn.SWITCH(Table13_2[[#This Row],[Performance Score]],"A",6,"B",5,"C",4,"D",3,"E",2,"F",1)</f>
        <v>3</v>
      </c>
    </row>
    <row r="131" spans="1:12" x14ac:dyDescent="0.3">
      <c r="A131" t="s">
        <v>11</v>
      </c>
      <c r="B131">
        <v>35</v>
      </c>
      <c r="C131" s="1">
        <v>55000</v>
      </c>
      <c r="D131" t="s">
        <v>19</v>
      </c>
      <c r="E131" t="s">
        <v>35</v>
      </c>
      <c r="F131" t="s">
        <v>41</v>
      </c>
      <c r="G131" s="2">
        <v>43845</v>
      </c>
      <c r="H131" t="s">
        <v>38</v>
      </c>
      <c r="I131" t="s">
        <v>16</v>
      </c>
      <c r="J131" t="s">
        <v>17</v>
      </c>
      <c r="K131" s="2" t="str">
        <f t="shared" ref="K131:K194" ca="1" si="2">DATEDIF(G131,TODAY(),"Y") &amp; " Years"</f>
        <v>5 Years</v>
      </c>
      <c r="L131" s="3" cm="1">
        <f t="array" ref="L131">_xlfn.SWITCH(Table13_2[[#This Row],[Performance Score]],"A",6,"B",5,"C",4,"D",3,"E",2,"F",1)</f>
        <v>5</v>
      </c>
    </row>
    <row r="132" spans="1:12" x14ac:dyDescent="0.3">
      <c r="A132" t="s">
        <v>18</v>
      </c>
      <c r="B132">
        <v>40</v>
      </c>
      <c r="C132" s="1">
        <v>50000</v>
      </c>
      <c r="D132" t="s">
        <v>34</v>
      </c>
      <c r="E132" t="s">
        <v>30</v>
      </c>
      <c r="F132" t="s">
        <v>37</v>
      </c>
      <c r="G132" s="2">
        <v>43800</v>
      </c>
      <c r="H132" t="s">
        <v>31</v>
      </c>
      <c r="I132" t="s">
        <v>16</v>
      </c>
      <c r="J132" t="s">
        <v>24</v>
      </c>
      <c r="K132" s="2" t="str">
        <f t="shared" ca="1" si="2"/>
        <v>6 Years</v>
      </c>
      <c r="L132" s="3" cm="1">
        <f t="array" ref="L132">_xlfn.SWITCH(Table13_2[[#This Row],[Performance Score]],"A",6,"B",5,"C",4,"D",3,"E",2,"F",1)</f>
        <v>6</v>
      </c>
    </row>
    <row r="133" spans="1:12" x14ac:dyDescent="0.3">
      <c r="A133" t="s">
        <v>11</v>
      </c>
      <c r="B133">
        <v>50</v>
      </c>
      <c r="C133" s="1">
        <v>50742.574257425746</v>
      </c>
      <c r="D133" t="s">
        <v>12</v>
      </c>
      <c r="E133" t="s">
        <v>26</v>
      </c>
      <c r="F133" t="s">
        <v>40</v>
      </c>
      <c r="G133" s="2">
        <v>43800</v>
      </c>
      <c r="H133" t="s">
        <v>31</v>
      </c>
      <c r="I133" t="s">
        <v>32</v>
      </c>
      <c r="J133" t="s">
        <v>42</v>
      </c>
      <c r="K133" s="2" t="str">
        <f t="shared" ca="1" si="2"/>
        <v>6 Years</v>
      </c>
      <c r="L133" s="3" cm="1">
        <f t="array" ref="L133">_xlfn.SWITCH(Table13_2[[#This Row],[Performance Score]],"A",6,"B",5,"C",4,"D",3,"E",2,"F",1)</f>
        <v>6</v>
      </c>
    </row>
    <row r="134" spans="1:12" x14ac:dyDescent="0.3">
      <c r="A134" t="s">
        <v>36</v>
      </c>
      <c r="B134">
        <v>25</v>
      </c>
      <c r="C134" s="1">
        <v>60000</v>
      </c>
      <c r="D134" t="s">
        <v>12</v>
      </c>
      <c r="E134" t="s">
        <v>26</v>
      </c>
      <c r="F134" t="s">
        <v>37</v>
      </c>
      <c r="G134" s="2">
        <v>43549</v>
      </c>
      <c r="H134" t="s">
        <v>38</v>
      </c>
      <c r="I134" t="s">
        <v>39</v>
      </c>
      <c r="J134" t="s">
        <v>28</v>
      </c>
      <c r="K134" s="2" t="str">
        <f t="shared" ca="1" si="2"/>
        <v>6 Years</v>
      </c>
      <c r="L134" s="3" cm="1">
        <f t="array" ref="L134">_xlfn.SWITCH(Table13_2[[#This Row],[Performance Score]],"A",6,"B",5,"C",4,"D",3,"E",2,"F",1)</f>
        <v>5</v>
      </c>
    </row>
    <row r="135" spans="1:12" x14ac:dyDescent="0.3">
      <c r="A135" t="s">
        <v>43</v>
      </c>
      <c r="B135">
        <v>40</v>
      </c>
      <c r="C135" s="1">
        <v>65000</v>
      </c>
      <c r="D135" t="s">
        <v>19</v>
      </c>
      <c r="E135" t="s">
        <v>35</v>
      </c>
      <c r="F135" t="s">
        <v>14</v>
      </c>
      <c r="G135" s="2">
        <v>43881</v>
      </c>
      <c r="H135" t="s">
        <v>27</v>
      </c>
      <c r="I135" t="s">
        <v>16</v>
      </c>
      <c r="J135" t="s">
        <v>42</v>
      </c>
      <c r="K135" s="2" t="str">
        <f t="shared" ca="1" si="2"/>
        <v>5 Years</v>
      </c>
      <c r="L135" s="3" cm="1">
        <f t="array" ref="L135">_xlfn.SWITCH(Table13_2[[#This Row],[Performance Score]],"A",6,"B",5,"C",4,"D",3,"E",2,"F",1)</f>
        <v>4</v>
      </c>
    </row>
    <row r="136" spans="1:12" x14ac:dyDescent="0.3">
      <c r="A136" t="s">
        <v>44</v>
      </c>
      <c r="B136">
        <v>35</v>
      </c>
      <c r="C136" s="1">
        <v>55000</v>
      </c>
      <c r="D136" t="s">
        <v>19</v>
      </c>
      <c r="E136" t="s">
        <v>30</v>
      </c>
      <c r="F136" t="s">
        <v>37</v>
      </c>
      <c r="G136" s="2">
        <v>43549</v>
      </c>
      <c r="H136" t="s">
        <v>22</v>
      </c>
      <c r="I136" t="s">
        <v>23</v>
      </c>
      <c r="J136" t="s">
        <v>17</v>
      </c>
      <c r="K136" s="2" t="str">
        <f t="shared" ca="1" si="2"/>
        <v>6 Years</v>
      </c>
      <c r="L136" s="3" cm="1">
        <f t="array" ref="L136">_xlfn.SWITCH(Table13_2[[#This Row],[Performance Score]],"A",6,"B",5,"C",4,"D",3,"E",2,"F",1)</f>
        <v>1</v>
      </c>
    </row>
    <row r="137" spans="1:12" x14ac:dyDescent="0.3">
      <c r="A137" t="s">
        <v>33</v>
      </c>
      <c r="B137">
        <v>35</v>
      </c>
      <c r="C137" s="1">
        <v>70000</v>
      </c>
      <c r="D137" t="s">
        <v>19</v>
      </c>
      <c r="E137" t="s">
        <v>35</v>
      </c>
      <c r="F137" t="s">
        <v>40</v>
      </c>
      <c r="G137" s="2">
        <v>43800</v>
      </c>
      <c r="H137" t="s">
        <v>15</v>
      </c>
      <c r="I137" t="s">
        <v>16</v>
      </c>
      <c r="J137" t="s">
        <v>24</v>
      </c>
      <c r="K137" s="2" t="str">
        <f t="shared" ca="1" si="2"/>
        <v>6 Years</v>
      </c>
      <c r="L137" s="3" cm="1">
        <f t="array" ref="L137">_xlfn.SWITCH(Table13_2[[#This Row],[Performance Score]],"A",6,"B",5,"C",4,"D",3,"E",2,"F",1)</f>
        <v>3</v>
      </c>
    </row>
    <row r="138" spans="1:12" x14ac:dyDescent="0.3">
      <c r="A138" t="s">
        <v>46</v>
      </c>
      <c r="B138">
        <v>25</v>
      </c>
      <c r="C138" s="1">
        <v>50000</v>
      </c>
      <c r="D138" t="s">
        <v>34</v>
      </c>
      <c r="E138" t="s">
        <v>30</v>
      </c>
      <c r="F138" t="s">
        <v>41</v>
      </c>
      <c r="G138" s="2">
        <v>43549</v>
      </c>
      <c r="H138" t="s">
        <v>15</v>
      </c>
      <c r="I138" t="s">
        <v>39</v>
      </c>
      <c r="J138" t="s">
        <v>42</v>
      </c>
      <c r="K138" s="2" t="str">
        <f t="shared" ca="1" si="2"/>
        <v>6 Years</v>
      </c>
      <c r="L138" s="3" cm="1">
        <f t="array" ref="L138">_xlfn.SWITCH(Table13_2[[#This Row],[Performance Score]],"A",6,"B",5,"C",4,"D",3,"E",2,"F",1)</f>
        <v>3</v>
      </c>
    </row>
    <row r="139" spans="1:12" x14ac:dyDescent="0.3">
      <c r="A139" t="s">
        <v>29</v>
      </c>
      <c r="B139">
        <v>36</v>
      </c>
      <c r="C139" s="1">
        <v>55000</v>
      </c>
      <c r="D139" t="s">
        <v>19</v>
      </c>
      <c r="E139" t="s">
        <v>35</v>
      </c>
      <c r="F139" t="s">
        <v>21</v>
      </c>
      <c r="G139" s="2">
        <v>43845</v>
      </c>
      <c r="H139" t="s">
        <v>15</v>
      </c>
      <c r="I139" t="s">
        <v>39</v>
      </c>
      <c r="J139" t="s">
        <v>17</v>
      </c>
      <c r="K139" s="2" t="str">
        <f t="shared" ca="1" si="2"/>
        <v>5 Years</v>
      </c>
      <c r="L139" s="3" cm="1">
        <f t="array" ref="L139">_xlfn.SWITCH(Table13_2[[#This Row],[Performance Score]],"A",6,"B",5,"C",4,"D",3,"E",2,"F",1)</f>
        <v>3</v>
      </c>
    </row>
    <row r="140" spans="1:12" x14ac:dyDescent="0.3">
      <c r="A140" t="s">
        <v>43</v>
      </c>
      <c r="B140">
        <v>30</v>
      </c>
      <c r="C140" s="1">
        <v>70000</v>
      </c>
      <c r="D140" t="s">
        <v>12</v>
      </c>
      <c r="E140" t="s">
        <v>26</v>
      </c>
      <c r="F140" t="s">
        <v>37</v>
      </c>
      <c r="G140" s="2">
        <v>43549</v>
      </c>
      <c r="H140" t="s">
        <v>31</v>
      </c>
      <c r="I140" t="s">
        <v>39</v>
      </c>
      <c r="J140" t="s">
        <v>28</v>
      </c>
      <c r="K140" s="2" t="str">
        <f t="shared" ca="1" si="2"/>
        <v>6 Years</v>
      </c>
      <c r="L140" s="3" cm="1">
        <f t="array" ref="L140">_xlfn.SWITCH(Table13_2[[#This Row],[Performance Score]],"A",6,"B",5,"C",4,"D",3,"E",2,"F",1)</f>
        <v>6</v>
      </c>
    </row>
    <row r="141" spans="1:12" x14ac:dyDescent="0.3">
      <c r="A141" t="s">
        <v>18</v>
      </c>
      <c r="B141">
        <v>35</v>
      </c>
      <c r="C141" s="1">
        <v>55000</v>
      </c>
      <c r="D141" t="s">
        <v>34</v>
      </c>
      <c r="E141" t="s">
        <v>26</v>
      </c>
      <c r="F141" t="s">
        <v>40</v>
      </c>
      <c r="G141" s="2">
        <v>43881</v>
      </c>
      <c r="H141" t="s">
        <v>15</v>
      </c>
      <c r="I141" t="s">
        <v>32</v>
      </c>
      <c r="J141" t="s">
        <v>17</v>
      </c>
      <c r="K141" s="2" t="str">
        <f t="shared" ca="1" si="2"/>
        <v>5 Years</v>
      </c>
      <c r="L141" s="3" cm="1">
        <f t="array" ref="L141">_xlfn.SWITCH(Table13_2[[#This Row],[Performance Score]],"A",6,"B",5,"C",4,"D",3,"E",2,"F",1)</f>
        <v>3</v>
      </c>
    </row>
    <row r="142" spans="1:12" x14ac:dyDescent="0.3">
      <c r="A142" t="s">
        <v>33</v>
      </c>
      <c r="B142">
        <v>50</v>
      </c>
      <c r="C142" s="1">
        <v>65000</v>
      </c>
      <c r="D142" t="s">
        <v>19</v>
      </c>
      <c r="E142" t="s">
        <v>13</v>
      </c>
      <c r="F142" t="s">
        <v>40</v>
      </c>
      <c r="G142" s="2">
        <v>43845</v>
      </c>
      <c r="H142" t="s">
        <v>22</v>
      </c>
      <c r="I142" t="s">
        <v>39</v>
      </c>
      <c r="J142" t="s">
        <v>28</v>
      </c>
      <c r="K142" s="2" t="str">
        <f t="shared" ca="1" si="2"/>
        <v>5 Years</v>
      </c>
      <c r="L142" s="3" cm="1">
        <f t="array" ref="L142">_xlfn.SWITCH(Table13_2[[#This Row],[Performance Score]],"A",6,"B",5,"C",4,"D",3,"E",2,"F",1)</f>
        <v>1</v>
      </c>
    </row>
    <row r="143" spans="1:12" x14ac:dyDescent="0.3">
      <c r="A143" t="s">
        <v>11</v>
      </c>
      <c r="B143">
        <v>50</v>
      </c>
      <c r="C143" s="1">
        <v>65000</v>
      </c>
      <c r="D143" t="s">
        <v>34</v>
      </c>
      <c r="E143" t="s">
        <v>20</v>
      </c>
      <c r="F143" t="s">
        <v>41</v>
      </c>
      <c r="G143" s="2">
        <v>43195</v>
      </c>
      <c r="H143" t="s">
        <v>22</v>
      </c>
      <c r="I143" t="s">
        <v>16</v>
      </c>
      <c r="J143" t="s">
        <v>24</v>
      </c>
      <c r="K143" s="2" t="str">
        <f t="shared" ca="1" si="2"/>
        <v>7 Years</v>
      </c>
      <c r="L143" s="3" cm="1">
        <f t="array" ref="L143">_xlfn.SWITCH(Table13_2[[#This Row],[Performance Score]],"A",6,"B",5,"C",4,"D",3,"E",2,"F",1)</f>
        <v>1</v>
      </c>
    </row>
    <row r="144" spans="1:12" x14ac:dyDescent="0.3">
      <c r="A144" t="s">
        <v>46</v>
      </c>
      <c r="B144">
        <v>35</v>
      </c>
      <c r="C144" s="1">
        <v>65000</v>
      </c>
      <c r="D144" t="s">
        <v>34</v>
      </c>
      <c r="E144" t="s">
        <v>35</v>
      </c>
      <c r="F144" t="s">
        <v>14</v>
      </c>
      <c r="G144" s="2">
        <v>43800</v>
      </c>
      <c r="H144" t="s">
        <v>38</v>
      </c>
      <c r="I144" t="s">
        <v>16</v>
      </c>
      <c r="J144" t="s">
        <v>28</v>
      </c>
      <c r="K144" s="2" t="str">
        <f t="shared" ca="1" si="2"/>
        <v>6 Years</v>
      </c>
      <c r="L144" s="3" cm="1">
        <f t="array" ref="L144">_xlfn.SWITCH(Table13_2[[#This Row],[Performance Score]],"A",6,"B",5,"C",4,"D",3,"E",2,"F",1)</f>
        <v>5</v>
      </c>
    </row>
    <row r="145" spans="1:12" x14ac:dyDescent="0.3">
      <c r="A145" t="s">
        <v>11</v>
      </c>
      <c r="B145">
        <v>36</v>
      </c>
      <c r="C145" s="1">
        <v>51825</v>
      </c>
      <c r="D145" t="s">
        <v>19</v>
      </c>
      <c r="E145" t="s">
        <v>13</v>
      </c>
      <c r="F145" t="s">
        <v>37</v>
      </c>
      <c r="G145" s="2">
        <v>43800</v>
      </c>
      <c r="H145" t="s">
        <v>31</v>
      </c>
      <c r="I145" t="s">
        <v>39</v>
      </c>
      <c r="J145" t="s">
        <v>28</v>
      </c>
      <c r="K145" s="2" t="str">
        <f t="shared" ca="1" si="2"/>
        <v>6 Years</v>
      </c>
      <c r="L145" s="3" cm="1">
        <f t="array" ref="L145">_xlfn.SWITCH(Table13_2[[#This Row],[Performance Score]],"A",6,"B",5,"C",4,"D",3,"E",2,"F",1)</f>
        <v>6</v>
      </c>
    </row>
    <row r="146" spans="1:12" x14ac:dyDescent="0.3">
      <c r="A146" t="s">
        <v>45</v>
      </c>
      <c r="B146">
        <v>36</v>
      </c>
      <c r="C146" s="1">
        <v>48417.431192660551</v>
      </c>
      <c r="D146" t="s">
        <v>34</v>
      </c>
      <c r="E146" t="s">
        <v>20</v>
      </c>
      <c r="F146" t="s">
        <v>40</v>
      </c>
      <c r="G146" s="2">
        <v>43549</v>
      </c>
      <c r="H146" t="s">
        <v>22</v>
      </c>
      <c r="I146" t="s">
        <v>39</v>
      </c>
      <c r="J146" t="s">
        <v>28</v>
      </c>
      <c r="K146" s="2" t="str">
        <f t="shared" ca="1" si="2"/>
        <v>6 Years</v>
      </c>
      <c r="L146" s="3" cm="1">
        <f t="array" ref="L146">_xlfn.SWITCH(Table13_2[[#This Row],[Performance Score]],"A",6,"B",5,"C",4,"D",3,"E",2,"F",1)</f>
        <v>1</v>
      </c>
    </row>
    <row r="147" spans="1:12" x14ac:dyDescent="0.3">
      <c r="A147" t="s">
        <v>45</v>
      </c>
      <c r="B147">
        <v>40</v>
      </c>
      <c r="C147" s="1">
        <v>50000</v>
      </c>
      <c r="D147" t="s">
        <v>12</v>
      </c>
      <c r="E147" t="s">
        <v>35</v>
      </c>
      <c r="F147" t="s">
        <v>41</v>
      </c>
      <c r="G147" s="2">
        <v>43845</v>
      </c>
      <c r="H147" t="s">
        <v>27</v>
      </c>
      <c r="I147" t="s">
        <v>23</v>
      </c>
      <c r="J147" t="s">
        <v>28</v>
      </c>
      <c r="K147" s="2" t="str">
        <f t="shared" ca="1" si="2"/>
        <v>5 Years</v>
      </c>
      <c r="L147" s="3" cm="1">
        <f t="array" ref="L147">_xlfn.SWITCH(Table13_2[[#This Row],[Performance Score]],"A",6,"B",5,"C",4,"D",3,"E",2,"F",1)</f>
        <v>4</v>
      </c>
    </row>
    <row r="148" spans="1:12" x14ac:dyDescent="0.3">
      <c r="A148" t="s">
        <v>46</v>
      </c>
      <c r="B148">
        <v>50</v>
      </c>
      <c r="C148" s="1">
        <v>65000</v>
      </c>
      <c r="D148" t="s">
        <v>12</v>
      </c>
      <c r="E148" t="s">
        <v>30</v>
      </c>
      <c r="F148" t="s">
        <v>21</v>
      </c>
      <c r="G148" s="2">
        <v>43195</v>
      </c>
      <c r="H148" t="s">
        <v>31</v>
      </c>
      <c r="I148" t="s">
        <v>39</v>
      </c>
      <c r="J148" t="s">
        <v>24</v>
      </c>
      <c r="K148" s="2" t="str">
        <f t="shared" ca="1" si="2"/>
        <v>7 Years</v>
      </c>
      <c r="L148" s="3" cm="1">
        <f t="array" ref="L148">_xlfn.SWITCH(Table13_2[[#This Row],[Performance Score]],"A",6,"B",5,"C",4,"D",3,"E",2,"F",1)</f>
        <v>6</v>
      </c>
    </row>
    <row r="149" spans="1:12" x14ac:dyDescent="0.3">
      <c r="A149" t="s">
        <v>46</v>
      </c>
      <c r="B149">
        <v>40</v>
      </c>
      <c r="C149" s="1">
        <v>70000</v>
      </c>
      <c r="D149" t="s">
        <v>34</v>
      </c>
      <c r="E149" t="s">
        <v>20</v>
      </c>
      <c r="F149" t="s">
        <v>40</v>
      </c>
      <c r="G149" s="2">
        <v>43845</v>
      </c>
      <c r="H149" t="s">
        <v>31</v>
      </c>
      <c r="I149" t="s">
        <v>23</v>
      </c>
      <c r="J149" t="s">
        <v>17</v>
      </c>
      <c r="K149" s="2" t="str">
        <f t="shared" ca="1" si="2"/>
        <v>5 Years</v>
      </c>
      <c r="L149" s="3" cm="1">
        <f t="array" ref="L149">_xlfn.SWITCH(Table13_2[[#This Row],[Performance Score]],"A",6,"B",5,"C",4,"D",3,"E",2,"F",1)</f>
        <v>6</v>
      </c>
    </row>
    <row r="150" spans="1:12" x14ac:dyDescent="0.3">
      <c r="A150" t="s">
        <v>18</v>
      </c>
      <c r="B150">
        <v>50</v>
      </c>
      <c r="C150" s="1">
        <v>55000</v>
      </c>
      <c r="D150" t="s">
        <v>19</v>
      </c>
      <c r="E150" t="s">
        <v>26</v>
      </c>
      <c r="F150" t="s">
        <v>41</v>
      </c>
      <c r="G150" s="2">
        <v>43800</v>
      </c>
      <c r="H150" t="s">
        <v>22</v>
      </c>
      <c r="I150" t="s">
        <v>16</v>
      </c>
      <c r="J150" t="s">
        <v>42</v>
      </c>
      <c r="K150" s="2" t="str">
        <f t="shared" ca="1" si="2"/>
        <v>6 Years</v>
      </c>
      <c r="L150" s="3" cm="1">
        <f t="array" ref="L150">_xlfn.SWITCH(Table13_2[[#This Row],[Performance Score]],"A",6,"B",5,"C",4,"D",3,"E",2,"F",1)</f>
        <v>1</v>
      </c>
    </row>
    <row r="151" spans="1:12" x14ac:dyDescent="0.3">
      <c r="A151" t="s">
        <v>46</v>
      </c>
      <c r="B151">
        <v>30</v>
      </c>
      <c r="C151" s="1">
        <v>60000</v>
      </c>
      <c r="D151" t="s">
        <v>34</v>
      </c>
      <c r="E151" t="s">
        <v>13</v>
      </c>
      <c r="F151" t="s">
        <v>14</v>
      </c>
      <c r="G151" s="2">
        <v>43845</v>
      </c>
      <c r="H151" t="s">
        <v>27</v>
      </c>
      <c r="I151" t="s">
        <v>23</v>
      </c>
      <c r="J151" t="s">
        <v>17</v>
      </c>
      <c r="K151" s="2" t="str">
        <f t="shared" ca="1" si="2"/>
        <v>5 Years</v>
      </c>
      <c r="L151" s="3" cm="1">
        <f t="array" ref="L151">_xlfn.SWITCH(Table13_2[[#This Row],[Performance Score]],"A",6,"B",5,"C",4,"D",3,"E",2,"F",1)</f>
        <v>4</v>
      </c>
    </row>
    <row r="152" spans="1:12" x14ac:dyDescent="0.3">
      <c r="A152" t="s">
        <v>36</v>
      </c>
      <c r="B152">
        <v>30</v>
      </c>
      <c r="C152" s="1">
        <v>70000</v>
      </c>
      <c r="D152" t="s">
        <v>12</v>
      </c>
      <c r="E152" t="s">
        <v>20</v>
      </c>
      <c r="F152" t="s">
        <v>14</v>
      </c>
      <c r="G152" s="2">
        <v>43195</v>
      </c>
      <c r="H152" t="s">
        <v>38</v>
      </c>
      <c r="I152" t="s">
        <v>23</v>
      </c>
      <c r="J152" t="s">
        <v>42</v>
      </c>
      <c r="K152" s="2" t="str">
        <f t="shared" ca="1" si="2"/>
        <v>7 Years</v>
      </c>
      <c r="L152" s="3" cm="1">
        <f t="array" ref="L152">_xlfn.SWITCH(Table13_2[[#This Row],[Performance Score]],"A",6,"B",5,"C",4,"D",3,"E",2,"F",1)</f>
        <v>5</v>
      </c>
    </row>
    <row r="153" spans="1:12" x14ac:dyDescent="0.3">
      <c r="A153" t="s">
        <v>11</v>
      </c>
      <c r="B153">
        <v>25</v>
      </c>
      <c r="C153" s="1">
        <v>48417.431192660551</v>
      </c>
      <c r="D153" t="s">
        <v>34</v>
      </c>
      <c r="E153" t="s">
        <v>20</v>
      </c>
      <c r="F153" t="s">
        <v>40</v>
      </c>
      <c r="G153" s="2">
        <v>43549</v>
      </c>
      <c r="H153" t="s">
        <v>22</v>
      </c>
      <c r="I153" t="s">
        <v>32</v>
      </c>
      <c r="J153" t="s">
        <v>42</v>
      </c>
      <c r="K153" s="2" t="str">
        <f t="shared" ca="1" si="2"/>
        <v>6 Years</v>
      </c>
      <c r="L153" s="3" cm="1">
        <f t="array" ref="L153">_xlfn.SWITCH(Table13_2[[#This Row],[Performance Score]],"A",6,"B",5,"C",4,"D",3,"E",2,"F",1)</f>
        <v>1</v>
      </c>
    </row>
    <row r="154" spans="1:12" x14ac:dyDescent="0.3">
      <c r="A154" t="s">
        <v>43</v>
      </c>
      <c r="B154">
        <v>40</v>
      </c>
      <c r="C154" s="1">
        <v>50742.574257425746</v>
      </c>
      <c r="D154" t="s">
        <v>34</v>
      </c>
      <c r="E154" t="s">
        <v>26</v>
      </c>
      <c r="F154" t="s">
        <v>40</v>
      </c>
      <c r="G154" s="2">
        <v>43881</v>
      </c>
      <c r="H154" t="s">
        <v>27</v>
      </c>
      <c r="I154" t="s">
        <v>39</v>
      </c>
      <c r="J154" t="s">
        <v>17</v>
      </c>
      <c r="K154" s="2" t="str">
        <f t="shared" ca="1" si="2"/>
        <v>5 Years</v>
      </c>
      <c r="L154" s="3" cm="1">
        <f t="array" ref="L154">_xlfn.SWITCH(Table13_2[[#This Row],[Performance Score]],"A",6,"B",5,"C",4,"D",3,"E",2,"F",1)</f>
        <v>4</v>
      </c>
    </row>
    <row r="155" spans="1:12" x14ac:dyDescent="0.3">
      <c r="A155" t="s">
        <v>25</v>
      </c>
      <c r="B155">
        <v>35</v>
      </c>
      <c r="C155" s="1">
        <v>70000</v>
      </c>
      <c r="D155" t="s">
        <v>12</v>
      </c>
      <c r="E155" t="s">
        <v>35</v>
      </c>
      <c r="F155" t="s">
        <v>37</v>
      </c>
      <c r="G155" s="2">
        <v>43845</v>
      </c>
      <c r="H155" t="s">
        <v>31</v>
      </c>
      <c r="I155" t="s">
        <v>23</v>
      </c>
      <c r="J155" t="s">
        <v>24</v>
      </c>
      <c r="K155" s="2" t="str">
        <f t="shared" ca="1" si="2"/>
        <v>5 Years</v>
      </c>
      <c r="L155" s="3" cm="1">
        <f t="array" ref="L155">_xlfn.SWITCH(Table13_2[[#This Row],[Performance Score]],"A",6,"B",5,"C",4,"D",3,"E",2,"F",1)</f>
        <v>6</v>
      </c>
    </row>
    <row r="156" spans="1:12" x14ac:dyDescent="0.3">
      <c r="A156" t="s">
        <v>46</v>
      </c>
      <c r="B156">
        <v>40</v>
      </c>
      <c r="C156" s="1">
        <v>50777.202072538857</v>
      </c>
      <c r="D156" t="s">
        <v>34</v>
      </c>
      <c r="E156" t="s">
        <v>30</v>
      </c>
      <c r="F156" t="s">
        <v>41</v>
      </c>
      <c r="G156" s="2">
        <v>43881</v>
      </c>
      <c r="H156" t="s">
        <v>27</v>
      </c>
      <c r="I156" t="s">
        <v>16</v>
      </c>
      <c r="J156" t="s">
        <v>17</v>
      </c>
      <c r="K156" s="2" t="str">
        <f t="shared" ca="1" si="2"/>
        <v>5 Years</v>
      </c>
      <c r="L156" s="3" cm="1">
        <f t="array" ref="L156">_xlfn.SWITCH(Table13_2[[#This Row],[Performance Score]],"A",6,"B",5,"C",4,"D",3,"E",2,"F",1)</f>
        <v>4</v>
      </c>
    </row>
    <row r="157" spans="1:12" x14ac:dyDescent="0.3">
      <c r="A157" t="s">
        <v>29</v>
      </c>
      <c r="B157">
        <v>35</v>
      </c>
      <c r="C157" s="1">
        <v>65000</v>
      </c>
      <c r="D157" t="s">
        <v>34</v>
      </c>
      <c r="E157" t="s">
        <v>26</v>
      </c>
      <c r="F157" t="s">
        <v>40</v>
      </c>
      <c r="G157" s="2">
        <v>43800</v>
      </c>
      <c r="H157" t="s">
        <v>31</v>
      </c>
      <c r="I157" t="s">
        <v>39</v>
      </c>
      <c r="J157" t="s">
        <v>24</v>
      </c>
      <c r="K157" s="2" t="str">
        <f t="shared" ca="1" si="2"/>
        <v>6 Years</v>
      </c>
      <c r="L157" s="3" cm="1">
        <f t="array" ref="L157">_xlfn.SWITCH(Table13_2[[#This Row],[Performance Score]],"A",6,"B",5,"C",4,"D",3,"E",2,"F",1)</f>
        <v>6</v>
      </c>
    </row>
    <row r="158" spans="1:12" x14ac:dyDescent="0.3">
      <c r="A158" t="s">
        <v>45</v>
      </c>
      <c r="B158">
        <v>36</v>
      </c>
      <c r="C158" s="1">
        <v>50000</v>
      </c>
      <c r="D158" t="s">
        <v>19</v>
      </c>
      <c r="E158" t="s">
        <v>30</v>
      </c>
      <c r="F158" t="s">
        <v>37</v>
      </c>
      <c r="G158" s="2">
        <v>43549</v>
      </c>
      <c r="H158" t="s">
        <v>22</v>
      </c>
      <c r="I158" t="s">
        <v>23</v>
      </c>
      <c r="J158" t="s">
        <v>42</v>
      </c>
      <c r="K158" s="2" t="str">
        <f t="shared" ca="1" si="2"/>
        <v>6 Years</v>
      </c>
      <c r="L158" s="3" cm="1">
        <f t="array" ref="L158">_xlfn.SWITCH(Table13_2[[#This Row],[Performance Score]],"A",6,"B",5,"C",4,"D",3,"E",2,"F",1)</f>
        <v>1</v>
      </c>
    </row>
    <row r="159" spans="1:12" x14ac:dyDescent="0.3">
      <c r="A159" t="s">
        <v>36</v>
      </c>
      <c r="B159">
        <v>40</v>
      </c>
      <c r="C159" s="1">
        <v>55000</v>
      </c>
      <c r="D159" t="s">
        <v>19</v>
      </c>
      <c r="E159" t="s">
        <v>35</v>
      </c>
      <c r="F159" t="s">
        <v>37</v>
      </c>
      <c r="G159" s="2">
        <v>43549</v>
      </c>
      <c r="H159" t="s">
        <v>22</v>
      </c>
      <c r="I159" t="s">
        <v>39</v>
      </c>
      <c r="J159" t="s">
        <v>24</v>
      </c>
      <c r="K159" s="2" t="str">
        <f t="shared" ca="1" si="2"/>
        <v>6 Years</v>
      </c>
      <c r="L159" s="3" cm="1">
        <f t="array" ref="L159">_xlfn.SWITCH(Table13_2[[#This Row],[Performance Score]],"A",6,"B",5,"C",4,"D",3,"E",2,"F",1)</f>
        <v>1</v>
      </c>
    </row>
    <row r="160" spans="1:12" x14ac:dyDescent="0.3">
      <c r="A160" t="s">
        <v>33</v>
      </c>
      <c r="B160">
        <v>36</v>
      </c>
      <c r="C160" s="1">
        <v>50000</v>
      </c>
      <c r="D160" t="s">
        <v>12</v>
      </c>
      <c r="E160" t="s">
        <v>20</v>
      </c>
      <c r="F160" t="s">
        <v>40</v>
      </c>
      <c r="G160" s="2">
        <v>43845</v>
      </c>
      <c r="H160" t="s">
        <v>15</v>
      </c>
      <c r="I160" t="s">
        <v>32</v>
      </c>
      <c r="J160" t="s">
        <v>17</v>
      </c>
      <c r="K160" s="2" t="str">
        <f t="shared" ca="1" si="2"/>
        <v>5 Years</v>
      </c>
      <c r="L160" s="3" cm="1">
        <f t="array" ref="L160">_xlfn.SWITCH(Table13_2[[#This Row],[Performance Score]],"A",6,"B",5,"C",4,"D",3,"E",2,"F",1)</f>
        <v>3</v>
      </c>
    </row>
    <row r="161" spans="1:12" x14ac:dyDescent="0.3">
      <c r="A161" t="s">
        <v>25</v>
      </c>
      <c r="B161">
        <v>30</v>
      </c>
      <c r="C161" s="1">
        <v>55000</v>
      </c>
      <c r="D161" t="s">
        <v>12</v>
      </c>
      <c r="E161" t="s">
        <v>30</v>
      </c>
      <c r="F161" t="s">
        <v>14</v>
      </c>
      <c r="G161" s="2">
        <v>43549</v>
      </c>
      <c r="H161" t="s">
        <v>15</v>
      </c>
      <c r="I161" t="s">
        <v>16</v>
      </c>
      <c r="J161" t="s">
        <v>17</v>
      </c>
      <c r="K161" s="2" t="str">
        <f t="shared" ca="1" si="2"/>
        <v>6 Years</v>
      </c>
      <c r="L161" s="3" cm="1">
        <f t="array" ref="L161">_xlfn.SWITCH(Table13_2[[#This Row],[Performance Score]],"A",6,"B",5,"C",4,"D",3,"E",2,"F",1)</f>
        <v>3</v>
      </c>
    </row>
    <row r="162" spans="1:12" x14ac:dyDescent="0.3">
      <c r="A162" t="s">
        <v>43</v>
      </c>
      <c r="B162">
        <v>30</v>
      </c>
      <c r="C162" s="1">
        <v>55000</v>
      </c>
      <c r="D162" t="s">
        <v>12</v>
      </c>
      <c r="E162" t="s">
        <v>13</v>
      </c>
      <c r="F162" t="s">
        <v>41</v>
      </c>
      <c r="G162" s="2">
        <v>43845</v>
      </c>
      <c r="H162" t="s">
        <v>15</v>
      </c>
      <c r="I162" t="s">
        <v>32</v>
      </c>
      <c r="J162" t="s">
        <v>17</v>
      </c>
      <c r="K162" s="2" t="str">
        <f t="shared" ca="1" si="2"/>
        <v>5 Years</v>
      </c>
      <c r="L162" s="3" cm="1">
        <f t="array" ref="L162">_xlfn.SWITCH(Table13_2[[#This Row],[Performance Score]],"A",6,"B",5,"C",4,"D",3,"E",2,"F",1)</f>
        <v>3</v>
      </c>
    </row>
    <row r="163" spans="1:12" x14ac:dyDescent="0.3">
      <c r="A163" t="s">
        <v>25</v>
      </c>
      <c r="B163">
        <v>25</v>
      </c>
      <c r="C163" s="1">
        <v>50000</v>
      </c>
      <c r="D163" t="s">
        <v>19</v>
      </c>
      <c r="E163" t="s">
        <v>13</v>
      </c>
      <c r="F163" t="s">
        <v>41</v>
      </c>
      <c r="G163" s="2">
        <v>43845</v>
      </c>
      <c r="H163" t="s">
        <v>22</v>
      </c>
      <c r="I163" t="s">
        <v>39</v>
      </c>
      <c r="J163" t="s">
        <v>42</v>
      </c>
      <c r="K163" s="2" t="str">
        <f t="shared" ca="1" si="2"/>
        <v>5 Years</v>
      </c>
      <c r="L163" s="3" cm="1">
        <f t="array" ref="L163">_xlfn.SWITCH(Table13_2[[#This Row],[Performance Score]],"A",6,"B",5,"C",4,"D",3,"E",2,"F",1)</f>
        <v>1</v>
      </c>
    </row>
    <row r="164" spans="1:12" x14ac:dyDescent="0.3">
      <c r="A164" t="s">
        <v>46</v>
      </c>
      <c r="B164">
        <v>40</v>
      </c>
      <c r="C164" s="1">
        <v>70000</v>
      </c>
      <c r="D164" t="s">
        <v>12</v>
      </c>
      <c r="E164" t="s">
        <v>26</v>
      </c>
      <c r="F164" t="s">
        <v>14</v>
      </c>
      <c r="G164" s="2">
        <v>43881</v>
      </c>
      <c r="H164" t="s">
        <v>38</v>
      </c>
      <c r="I164" t="s">
        <v>23</v>
      </c>
      <c r="J164" t="s">
        <v>17</v>
      </c>
      <c r="K164" s="2" t="str">
        <f t="shared" ca="1" si="2"/>
        <v>5 Years</v>
      </c>
      <c r="L164" s="3" cm="1">
        <f t="array" ref="L164">_xlfn.SWITCH(Table13_2[[#This Row],[Performance Score]],"A",6,"B",5,"C",4,"D",3,"E",2,"F",1)</f>
        <v>5</v>
      </c>
    </row>
    <row r="165" spans="1:12" x14ac:dyDescent="0.3">
      <c r="A165" t="s">
        <v>18</v>
      </c>
      <c r="B165">
        <v>36</v>
      </c>
      <c r="C165" s="1">
        <v>55000</v>
      </c>
      <c r="D165" t="s">
        <v>12</v>
      </c>
      <c r="E165" t="s">
        <v>35</v>
      </c>
      <c r="F165" t="s">
        <v>40</v>
      </c>
      <c r="G165" s="2">
        <v>43549</v>
      </c>
      <c r="H165" t="s">
        <v>22</v>
      </c>
      <c r="I165" t="s">
        <v>23</v>
      </c>
      <c r="J165" t="s">
        <v>42</v>
      </c>
      <c r="K165" s="2" t="str">
        <f t="shared" ca="1" si="2"/>
        <v>6 Years</v>
      </c>
      <c r="L165" s="3" cm="1">
        <f t="array" ref="L165">_xlfn.SWITCH(Table13_2[[#This Row],[Performance Score]],"A",6,"B",5,"C",4,"D",3,"E",2,"F",1)</f>
        <v>1</v>
      </c>
    </row>
    <row r="166" spans="1:12" x14ac:dyDescent="0.3">
      <c r="A166" t="s">
        <v>45</v>
      </c>
      <c r="B166">
        <v>35</v>
      </c>
      <c r="C166" s="1">
        <v>50000</v>
      </c>
      <c r="D166" t="s">
        <v>12</v>
      </c>
      <c r="E166" t="s">
        <v>26</v>
      </c>
      <c r="F166" t="s">
        <v>41</v>
      </c>
      <c r="G166" s="2">
        <v>43845</v>
      </c>
      <c r="H166" t="s">
        <v>27</v>
      </c>
      <c r="I166" t="s">
        <v>39</v>
      </c>
      <c r="J166" t="s">
        <v>17</v>
      </c>
      <c r="K166" s="2" t="str">
        <f t="shared" ca="1" si="2"/>
        <v>5 Years</v>
      </c>
      <c r="L166" s="3" cm="1">
        <f t="array" ref="L166">_xlfn.SWITCH(Table13_2[[#This Row],[Performance Score]],"A",6,"B",5,"C",4,"D",3,"E",2,"F",1)</f>
        <v>4</v>
      </c>
    </row>
    <row r="167" spans="1:12" x14ac:dyDescent="0.3">
      <c r="A167" t="s">
        <v>45</v>
      </c>
      <c r="B167">
        <v>30</v>
      </c>
      <c r="C167" s="1">
        <v>55000</v>
      </c>
      <c r="D167" t="s">
        <v>19</v>
      </c>
      <c r="E167" t="s">
        <v>26</v>
      </c>
      <c r="F167" t="s">
        <v>40</v>
      </c>
      <c r="G167" s="2">
        <v>43881</v>
      </c>
      <c r="H167" t="s">
        <v>22</v>
      </c>
      <c r="I167" t="s">
        <v>23</v>
      </c>
      <c r="J167" t="s">
        <v>42</v>
      </c>
      <c r="K167" s="2" t="str">
        <f t="shared" ca="1" si="2"/>
        <v>5 Years</v>
      </c>
      <c r="L167" s="3" cm="1">
        <f t="array" ref="L167">_xlfn.SWITCH(Table13_2[[#This Row],[Performance Score]],"A",6,"B",5,"C",4,"D",3,"E",2,"F",1)</f>
        <v>1</v>
      </c>
    </row>
    <row r="168" spans="1:12" x14ac:dyDescent="0.3">
      <c r="A168" t="s">
        <v>33</v>
      </c>
      <c r="B168">
        <v>30</v>
      </c>
      <c r="C168" s="1">
        <v>60000</v>
      </c>
      <c r="D168" t="s">
        <v>34</v>
      </c>
      <c r="E168" t="s">
        <v>26</v>
      </c>
      <c r="F168" t="s">
        <v>40</v>
      </c>
      <c r="G168" s="2">
        <v>43195</v>
      </c>
      <c r="H168" t="s">
        <v>22</v>
      </c>
      <c r="I168" t="s">
        <v>16</v>
      </c>
      <c r="J168" t="s">
        <v>17</v>
      </c>
      <c r="K168" s="2" t="str">
        <f t="shared" ca="1" si="2"/>
        <v>7 Years</v>
      </c>
      <c r="L168" s="3" cm="1">
        <f t="array" ref="L168">_xlfn.SWITCH(Table13_2[[#This Row],[Performance Score]],"A",6,"B",5,"C",4,"D",3,"E",2,"F",1)</f>
        <v>1</v>
      </c>
    </row>
    <row r="169" spans="1:12" x14ac:dyDescent="0.3">
      <c r="A169" t="s">
        <v>18</v>
      </c>
      <c r="B169">
        <v>35</v>
      </c>
      <c r="C169" s="1">
        <v>70000</v>
      </c>
      <c r="D169" t="s">
        <v>12</v>
      </c>
      <c r="E169" t="s">
        <v>13</v>
      </c>
      <c r="F169" t="s">
        <v>37</v>
      </c>
      <c r="G169" s="2">
        <v>43881</v>
      </c>
      <c r="H169" t="s">
        <v>31</v>
      </c>
      <c r="I169" t="s">
        <v>39</v>
      </c>
      <c r="J169" t="s">
        <v>17</v>
      </c>
      <c r="K169" s="2" t="str">
        <f t="shared" ca="1" si="2"/>
        <v>5 Years</v>
      </c>
      <c r="L169" s="3" cm="1">
        <f t="array" ref="L169">_xlfn.SWITCH(Table13_2[[#This Row],[Performance Score]],"A",6,"B",5,"C",4,"D",3,"E",2,"F",1)</f>
        <v>6</v>
      </c>
    </row>
    <row r="170" spans="1:12" x14ac:dyDescent="0.3">
      <c r="A170" t="s">
        <v>11</v>
      </c>
      <c r="B170">
        <v>36</v>
      </c>
      <c r="C170" s="1">
        <v>65000</v>
      </c>
      <c r="D170" t="s">
        <v>34</v>
      </c>
      <c r="E170" t="s">
        <v>13</v>
      </c>
      <c r="F170" t="s">
        <v>14</v>
      </c>
      <c r="G170" s="2">
        <v>43881</v>
      </c>
      <c r="H170" t="s">
        <v>31</v>
      </c>
      <c r="I170" t="s">
        <v>32</v>
      </c>
      <c r="J170" t="s">
        <v>42</v>
      </c>
      <c r="K170" s="2" t="str">
        <f t="shared" ca="1" si="2"/>
        <v>5 Years</v>
      </c>
      <c r="L170" s="3" cm="1">
        <f t="array" ref="L170">_xlfn.SWITCH(Table13_2[[#This Row],[Performance Score]],"A",6,"B",5,"C",4,"D",3,"E",2,"F",1)</f>
        <v>6</v>
      </c>
    </row>
    <row r="171" spans="1:12" x14ac:dyDescent="0.3">
      <c r="A171" t="s">
        <v>44</v>
      </c>
      <c r="B171">
        <v>36</v>
      </c>
      <c r="C171" s="1">
        <v>55000</v>
      </c>
      <c r="D171" t="s">
        <v>12</v>
      </c>
      <c r="E171" t="s">
        <v>26</v>
      </c>
      <c r="F171" t="s">
        <v>40</v>
      </c>
      <c r="G171" s="2">
        <v>43845</v>
      </c>
      <c r="H171" t="s">
        <v>31</v>
      </c>
      <c r="I171" t="s">
        <v>39</v>
      </c>
      <c r="J171" t="s">
        <v>17</v>
      </c>
      <c r="K171" s="2" t="str">
        <f t="shared" ca="1" si="2"/>
        <v>5 Years</v>
      </c>
      <c r="L171" s="3" cm="1">
        <f t="array" ref="L171">_xlfn.SWITCH(Table13_2[[#This Row],[Performance Score]],"A",6,"B",5,"C",4,"D",3,"E",2,"F",1)</f>
        <v>6</v>
      </c>
    </row>
    <row r="172" spans="1:12" x14ac:dyDescent="0.3">
      <c r="A172" t="s">
        <v>36</v>
      </c>
      <c r="B172">
        <v>40</v>
      </c>
      <c r="C172" s="1">
        <v>60000</v>
      </c>
      <c r="D172" t="s">
        <v>34</v>
      </c>
      <c r="E172" t="s">
        <v>13</v>
      </c>
      <c r="F172" t="s">
        <v>21</v>
      </c>
      <c r="G172" s="2">
        <v>43800</v>
      </c>
      <c r="H172" t="s">
        <v>22</v>
      </c>
      <c r="I172" t="s">
        <v>23</v>
      </c>
      <c r="J172" t="s">
        <v>17</v>
      </c>
      <c r="K172" s="2" t="str">
        <f t="shared" ca="1" si="2"/>
        <v>6 Years</v>
      </c>
      <c r="L172" s="3" cm="1">
        <f t="array" ref="L172">_xlfn.SWITCH(Table13_2[[#This Row],[Performance Score]],"A",6,"B",5,"C",4,"D",3,"E",2,"F",1)</f>
        <v>1</v>
      </c>
    </row>
    <row r="173" spans="1:12" x14ac:dyDescent="0.3">
      <c r="A173" t="s">
        <v>45</v>
      </c>
      <c r="B173">
        <v>40</v>
      </c>
      <c r="C173" s="1">
        <v>65000</v>
      </c>
      <c r="D173" t="s">
        <v>19</v>
      </c>
      <c r="E173" t="s">
        <v>35</v>
      </c>
      <c r="F173" t="s">
        <v>14</v>
      </c>
      <c r="G173" s="2">
        <v>43800</v>
      </c>
      <c r="H173" t="s">
        <v>38</v>
      </c>
      <c r="I173" t="s">
        <v>32</v>
      </c>
      <c r="J173" t="s">
        <v>42</v>
      </c>
      <c r="K173" s="2" t="str">
        <f t="shared" ca="1" si="2"/>
        <v>6 Years</v>
      </c>
      <c r="L173" s="3" cm="1">
        <f t="array" ref="L173">_xlfn.SWITCH(Table13_2[[#This Row],[Performance Score]],"A",6,"B",5,"C",4,"D",3,"E",2,"F",1)</f>
        <v>5</v>
      </c>
    </row>
    <row r="174" spans="1:12" x14ac:dyDescent="0.3">
      <c r="A174" t="s">
        <v>29</v>
      </c>
      <c r="B174">
        <v>50</v>
      </c>
      <c r="C174" s="1">
        <v>65000</v>
      </c>
      <c r="D174" t="s">
        <v>19</v>
      </c>
      <c r="E174" t="s">
        <v>26</v>
      </c>
      <c r="F174" t="s">
        <v>41</v>
      </c>
      <c r="G174" s="2">
        <v>43800</v>
      </c>
      <c r="H174" t="s">
        <v>27</v>
      </c>
      <c r="I174" t="s">
        <v>39</v>
      </c>
      <c r="J174" t="s">
        <v>17</v>
      </c>
      <c r="K174" s="2" t="str">
        <f t="shared" ca="1" si="2"/>
        <v>6 Years</v>
      </c>
      <c r="L174" s="3" cm="1">
        <f t="array" ref="L174">_xlfn.SWITCH(Table13_2[[#This Row],[Performance Score]],"A",6,"B",5,"C",4,"D",3,"E",2,"F",1)</f>
        <v>4</v>
      </c>
    </row>
    <row r="175" spans="1:12" x14ac:dyDescent="0.3">
      <c r="A175" t="s">
        <v>45</v>
      </c>
      <c r="B175">
        <v>50</v>
      </c>
      <c r="C175" s="1">
        <v>55000</v>
      </c>
      <c r="D175" t="s">
        <v>12</v>
      </c>
      <c r="E175" t="s">
        <v>13</v>
      </c>
      <c r="F175" t="s">
        <v>37</v>
      </c>
      <c r="G175" s="2">
        <v>43881</v>
      </c>
      <c r="H175" t="s">
        <v>27</v>
      </c>
      <c r="I175" t="s">
        <v>39</v>
      </c>
      <c r="J175" t="s">
        <v>17</v>
      </c>
      <c r="K175" s="2" t="str">
        <f t="shared" ca="1" si="2"/>
        <v>5 Years</v>
      </c>
      <c r="L175" s="3" cm="1">
        <f t="array" ref="L175">_xlfn.SWITCH(Table13_2[[#This Row],[Performance Score]],"A",6,"B",5,"C",4,"D",3,"E",2,"F",1)</f>
        <v>4</v>
      </c>
    </row>
    <row r="176" spans="1:12" x14ac:dyDescent="0.3">
      <c r="A176" t="s">
        <v>25</v>
      </c>
      <c r="B176">
        <v>25</v>
      </c>
      <c r="C176" s="1">
        <v>50000</v>
      </c>
      <c r="D176" t="s">
        <v>34</v>
      </c>
      <c r="E176" t="s">
        <v>30</v>
      </c>
      <c r="F176" t="s">
        <v>41</v>
      </c>
      <c r="G176" s="2">
        <v>43845</v>
      </c>
      <c r="H176" t="s">
        <v>38</v>
      </c>
      <c r="I176" t="s">
        <v>32</v>
      </c>
      <c r="J176" t="s">
        <v>17</v>
      </c>
      <c r="K176" s="2" t="str">
        <f t="shared" ca="1" si="2"/>
        <v>5 Years</v>
      </c>
      <c r="L176" s="3" cm="1">
        <f t="array" ref="L176">_xlfn.SWITCH(Table13_2[[#This Row],[Performance Score]],"A",6,"B",5,"C",4,"D",3,"E",2,"F",1)</f>
        <v>5</v>
      </c>
    </row>
    <row r="177" spans="1:12" x14ac:dyDescent="0.3">
      <c r="A177" t="s">
        <v>45</v>
      </c>
      <c r="B177">
        <v>30</v>
      </c>
      <c r="C177" s="1">
        <v>55000</v>
      </c>
      <c r="D177" t="s">
        <v>19</v>
      </c>
      <c r="E177" t="s">
        <v>26</v>
      </c>
      <c r="F177" t="s">
        <v>41</v>
      </c>
      <c r="G177" s="2">
        <v>43549</v>
      </c>
      <c r="H177" t="s">
        <v>38</v>
      </c>
      <c r="I177" t="s">
        <v>32</v>
      </c>
      <c r="J177" t="s">
        <v>17</v>
      </c>
      <c r="K177" s="2" t="str">
        <f t="shared" ca="1" si="2"/>
        <v>6 Years</v>
      </c>
      <c r="L177" s="3" cm="1">
        <f t="array" ref="L177">_xlfn.SWITCH(Table13_2[[#This Row],[Performance Score]],"A",6,"B",5,"C",4,"D",3,"E",2,"F",1)</f>
        <v>5</v>
      </c>
    </row>
    <row r="178" spans="1:12" x14ac:dyDescent="0.3">
      <c r="A178" t="s">
        <v>45</v>
      </c>
      <c r="B178">
        <v>40</v>
      </c>
      <c r="C178" s="1">
        <v>60000</v>
      </c>
      <c r="D178" t="s">
        <v>12</v>
      </c>
      <c r="E178" t="s">
        <v>26</v>
      </c>
      <c r="F178" t="s">
        <v>14</v>
      </c>
      <c r="G178" s="2">
        <v>43881</v>
      </c>
      <c r="H178" t="s">
        <v>27</v>
      </c>
      <c r="I178" t="s">
        <v>32</v>
      </c>
      <c r="J178" t="s">
        <v>17</v>
      </c>
      <c r="K178" s="2" t="str">
        <f t="shared" ca="1" si="2"/>
        <v>5 Years</v>
      </c>
      <c r="L178" s="3" cm="1">
        <f t="array" ref="L178">_xlfn.SWITCH(Table13_2[[#This Row],[Performance Score]],"A",6,"B",5,"C",4,"D",3,"E",2,"F",1)</f>
        <v>4</v>
      </c>
    </row>
    <row r="179" spans="1:12" x14ac:dyDescent="0.3">
      <c r="A179" t="s">
        <v>44</v>
      </c>
      <c r="B179">
        <v>36</v>
      </c>
      <c r="C179" s="1">
        <v>65000</v>
      </c>
      <c r="D179" t="s">
        <v>12</v>
      </c>
      <c r="E179" t="s">
        <v>35</v>
      </c>
      <c r="F179" t="s">
        <v>41</v>
      </c>
      <c r="G179" s="2">
        <v>43881</v>
      </c>
      <c r="H179" t="s">
        <v>15</v>
      </c>
      <c r="I179" t="s">
        <v>16</v>
      </c>
      <c r="J179" t="s">
        <v>42</v>
      </c>
      <c r="K179" s="2" t="str">
        <f t="shared" ca="1" si="2"/>
        <v>5 Years</v>
      </c>
      <c r="L179" s="3" cm="1">
        <f t="array" ref="L179">_xlfn.SWITCH(Table13_2[[#This Row],[Performance Score]],"A",6,"B",5,"C",4,"D",3,"E",2,"F",1)</f>
        <v>3</v>
      </c>
    </row>
    <row r="180" spans="1:12" x14ac:dyDescent="0.3">
      <c r="A180" t="s">
        <v>44</v>
      </c>
      <c r="B180">
        <v>35</v>
      </c>
      <c r="C180" s="1">
        <v>55000</v>
      </c>
      <c r="D180" t="s">
        <v>19</v>
      </c>
      <c r="E180" t="s">
        <v>20</v>
      </c>
      <c r="F180" t="s">
        <v>40</v>
      </c>
      <c r="G180" s="2">
        <v>43845</v>
      </c>
      <c r="H180" t="s">
        <v>31</v>
      </c>
      <c r="I180" t="s">
        <v>39</v>
      </c>
      <c r="J180" t="s">
        <v>17</v>
      </c>
      <c r="K180" s="2" t="str">
        <f t="shared" ca="1" si="2"/>
        <v>5 Years</v>
      </c>
      <c r="L180" s="3" cm="1">
        <f t="array" ref="L180">_xlfn.SWITCH(Table13_2[[#This Row],[Performance Score]],"A",6,"B",5,"C",4,"D",3,"E",2,"F",1)</f>
        <v>6</v>
      </c>
    </row>
    <row r="181" spans="1:12" x14ac:dyDescent="0.3">
      <c r="A181" t="s">
        <v>43</v>
      </c>
      <c r="B181">
        <v>36</v>
      </c>
      <c r="C181" s="1">
        <v>50000</v>
      </c>
      <c r="D181" t="s">
        <v>19</v>
      </c>
      <c r="E181" t="s">
        <v>20</v>
      </c>
      <c r="F181" t="s">
        <v>41</v>
      </c>
      <c r="G181" s="2">
        <v>43195</v>
      </c>
      <c r="H181" t="s">
        <v>31</v>
      </c>
      <c r="I181" t="s">
        <v>32</v>
      </c>
      <c r="J181" t="s">
        <v>17</v>
      </c>
      <c r="K181" s="2" t="str">
        <f t="shared" ca="1" si="2"/>
        <v>7 Years</v>
      </c>
      <c r="L181" s="3" cm="1">
        <f t="array" ref="L181">_xlfn.SWITCH(Table13_2[[#This Row],[Performance Score]],"A",6,"B",5,"C",4,"D",3,"E",2,"F",1)</f>
        <v>6</v>
      </c>
    </row>
    <row r="182" spans="1:12" x14ac:dyDescent="0.3">
      <c r="A182" t="s">
        <v>11</v>
      </c>
      <c r="B182">
        <v>30</v>
      </c>
      <c r="C182" s="1">
        <v>55000</v>
      </c>
      <c r="D182" t="s">
        <v>12</v>
      </c>
      <c r="E182" t="s">
        <v>35</v>
      </c>
      <c r="F182" t="s">
        <v>37</v>
      </c>
      <c r="G182" s="2">
        <v>43881</v>
      </c>
      <c r="H182" t="s">
        <v>27</v>
      </c>
      <c r="I182" t="s">
        <v>39</v>
      </c>
      <c r="J182" t="s">
        <v>24</v>
      </c>
      <c r="K182" s="2" t="str">
        <f t="shared" ca="1" si="2"/>
        <v>5 Years</v>
      </c>
      <c r="L182" s="3" cm="1">
        <f t="array" ref="L182">_xlfn.SWITCH(Table13_2[[#This Row],[Performance Score]],"A",6,"B",5,"C",4,"D",3,"E",2,"F",1)</f>
        <v>4</v>
      </c>
    </row>
    <row r="183" spans="1:12" x14ac:dyDescent="0.3">
      <c r="A183" t="s">
        <v>29</v>
      </c>
      <c r="B183">
        <v>50</v>
      </c>
      <c r="C183" s="1">
        <v>70000</v>
      </c>
      <c r="D183" t="s">
        <v>34</v>
      </c>
      <c r="E183" t="s">
        <v>35</v>
      </c>
      <c r="F183" t="s">
        <v>37</v>
      </c>
      <c r="G183" s="2">
        <v>43195</v>
      </c>
      <c r="H183" t="s">
        <v>38</v>
      </c>
      <c r="I183" t="s">
        <v>32</v>
      </c>
      <c r="J183" t="s">
        <v>17</v>
      </c>
      <c r="K183" s="2" t="str">
        <f t="shared" ca="1" si="2"/>
        <v>7 Years</v>
      </c>
      <c r="L183" s="3" cm="1">
        <f t="array" ref="L183">_xlfn.SWITCH(Table13_2[[#This Row],[Performance Score]],"A",6,"B",5,"C",4,"D",3,"E",2,"F",1)</f>
        <v>5</v>
      </c>
    </row>
    <row r="184" spans="1:12" x14ac:dyDescent="0.3">
      <c r="A184" t="s">
        <v>45</v>
      </c>
      <c r="B184">
        <v>36</v>
      </c>
      <c r="C184" s="1">
        <v>50000</v>
      </c>
      <c r="D184" t="s">
        <v>34</v>
      </c>
      <c r="E184" t="s">
        <v>35</v>
      </c>
      <c r="F184" t="s">
        <v>21</v>
      </c>
      <c r="G184" s="2">
        <v>43195</v>
      </c>
      <c r="H184" t="s">
        <v>15</v>
      </c>
      <c r="I184" t="s">
        <v>39</v>
      </c>
      <c r="J184" t="s">
        <v>17</v>
      </c>
      <c r="K184" s="2" t="str">
        <f t="shared" ca="1" si="2"/>
        <v>7 Years</v>
      </c>
      <c r="L184" s="3" cm="1">
        <f t="array" ref="L184">_xlfn.SWITCH(Table13_2[[#This Row],[Performance Score]],"A",6,"B",5,"C",4,"D",3,"E",2,"F",1)</f>
        <v>3</v>
      </c>
    </row>
    <row r="185" spans="1:12" x14ac:dyDescent="0.3">
      <c r="A185" t="s">
        <v>45</v>
      </c>
      <c r="B185">
        <v>25</v>
      </c>
      <c r="C185" s="1">
        <v>60000</v>
      </c>
      <c r="D185" t="s">
        <v>34</v>
      </c>
      <c r="E185" t="s">
        <v>20</v>
      </c>
      <c r="F185" t="s">
        <v>37</v>
      </c>
      <c r="G185" s="2">
        <v>43800</v>
      </c>
      <c r="H185" t="s">
        <v>27</v>
      </c>
      <c r="I185" t="s">
        <v>39</v>
      </c>
      <c r="J185" t="s">
        <v>24</v>
      </c>
      <c r="K185" s="2" t="str">
        <f t="shared" ca="1" si="2"/>
        <v>6 Years</v>
      </c>
      <c r="L185" s="3" cm="1">
        <f t="array" ref="L185">_xlfn.SWITCH(Table13_2[[#This Row],[Performance Score]],"A",6,"B",5,"C",4,"D",3,"E",2,"F",1)</f>
        <v>4</v>
      </c>
    </row>
    <row r="186" spans="1:12" x14ac:dyDescent="0.3">
      <c r="A186" t="s">
        <v>36</v>
      </c>
      <c r="B186">
        <v>30</v>
      </c>
      <c r="C186" s="1">
        <v>65000</v>
      </c>
      <c r="D186" t="s">
        <v>12</v>
      </c>
      <c r="E186" t="s">
        <v>35</v>
      </c>
      <c r="F186" t="s">
        <v>41</v>
      </c>
      <c r="G186" s="2">
        <v>43845</v>
      </c>
      <c r="H186" t="s">
        <v>31</v>
      </c>
      <c r="I186" t="s">
        <v>39</v>
      </c>
      <c r="J186" t="s">
        <v>17</v>
      </c>
      <c r="K186" s="2" t="str">
        <f t="shared" ca="1" si="2"/>
        <v>5 Years</v>
      </c>
      <c r="L186" s="3" cm="1">
        <f t="array" ref="L186">_xlfn.SWITCH(Table13_2[[#This Row],[Performance Score]],"A",6,"B",5,"C",4,"D",3,"E",2,"F",1)</f>
        <v>6</v>
      </c>
    </row>
    <row r="187" spans="1:12" x14ac:dyDescent="0.3">
      <c r="A187" t="s">
        <v>44</v>
      </c>
      <c r="B187">
        <v>50</v>
      </c>
      <c r="C187" s="1">
        <v>55000</v>
      </c>
      <c r="D187" t="s">
        <v>19</v>
      </c>
      <c r="E187" t="s">
        <v>13</v>
      </c>
      <c r="F187" t="s">
        <v>37</v>
      </c>
      <c r="G187" s="2">
        <v>43195</v>
      </c>
      <c r="H187" t="s">
        <v>22</v>
      </c>
      <c r="I187" t="s">
        <v>23</v>
      </c>
      <c r="J187" t="s">
        <v>28</v>
      </c>
      <c r="K187" s="2" t="str">
        <f t="shared" ca="1" si="2"/>
        <v>7 Years</v>
      </c>
      <c r="L187" s="3" cm="1">
        <f t="array" ref="L187">_xlfn.SWITCH(Table13_2[[#This Row],[Performance Score]],"A",6,"B",5,"C",4,"D",3,"E",2,"F",1)</f>
        <v>1</v>
      </c>
    </row>
    <row r="188" spans="1:12" x14ac:dyDescent="0.3">
      <c r="A188" t="s">
        <v>29</v>
      </c>
      <c r="B188">
        <v>35</v>
      </c>
      <c r="C188" s="1">
        <v>50000</v>
      </c>
      <c r="D188" t="s">
        <v>12</v>
      </c>
      <c r="E188" t="s">
        <v>26</v>
      </c>
      <c r="F188" t="s">
        <v>14</v>
      </c>
      <c r="G188" s="2">
        <v>43845</v>
      </c>
      <c r="H188" t="s">
        <v>38</v>
      </c>
      <c r="I188" t="s">
        <v>32</v>
      </c>
      <c r="J188" t="s">
        <v>28</v>
      </c>
      <c r="K188" s="2" t="str">
        <f t="shared" ca="1" si="2"/>
        <v>5 Years</v>
      </c>
      <c r="L188" s="3" cm="1">
        <f t="array" ref="L188">_xlfn.SWITCH(Table13_2[[#This Row],[Performance Score]],"A",6,"B",5,"C",4,"D",3,"E",2,"F",1)</f>
        <v>5</v>
      </c>
    </row>
    <row r="189" spans="1:12" x14ac:dyDescent="0.3">
      <c r="A189" t="s">
        <v>33</v>
      </c>
      <c r="B189">
        <v>50</v>
      </c>
      <c r="C189" s="1">
        <v>70000</v>
      </c>
      <c r="D189" t="s">
        <v>19</v>
      </c>
      <c r="E189" t="s">
        <v>26</v>
      </c>
      <c r="F189" t="s">
        <v>37</v>
      </c>
      <c r="G189" s="2">
        <v>43800</v>
      </c>
      <c r="H189" t="s">
        <v>22</v>
      </c>
      <c r="I189" t="s">
        <v>23</v>
      </c>
      <c r="J189" t="s">
        <v>17</v>
      </c>
      <c r="K189" s="2" t="str">
        <f t="shared" ca="1" si="2"/>
        <v>6 Years</v>
      </c>
      <c r="L189" s="3" cm="1">
        <f t="array" ref="L189">_xlfn.SWITCH(Table13_2[[#This Row],[Performance Score]],"A",6,"B",5,"C",4,"D",3,"E",2,"F",1)</f>
        <v>1</v>
      </c>
    </row>
    <row r="190" spans="1:12" x14ac:dyDescent="0.3">
      <c r="A190" t="s">
        <v>43</v>
      </c>
      <c r="B190">
        <v>25</v>
      </c>
      <c r="C190" s="1">
        <v>50000</v>
      </c>
      <c r="D190" t="s">
        <v>34</v>
      </c>
      <c r="E190" t="s">
        <v>30</v>
      </c>
      <c r="F190" t="s">
        <v>40</v>
      </c>
      <c r="G190" s="2">
        <v>43845</v>
      </c>
      <c r="H190" t="s">
        <v>27</v>
      </c>
      <c r="I190" t="s">
        <v>39</v>
      </c>
      <c r="J190" t="s">
        <v>17</v>
      </c>
      <c r="K190" s="2" t="str">
        <f t="shared" ca="1" si="2"/>
        <v>5 Years</v>
      </c>
      <c r="L190" s="3" cm="1">
        <f t="array" ref="L190">_xlfn.SWITCH(Table13_2[[#This Row],[Performance Score]],"A",6,"B",5,"C",4,"D",3,"E",2,"F",1)</f>
        <v>4</v>
      </c>
    </row>
    <row r="191" spans="1:12" x14ac:dyDescent="0.3">
      <c r="A191" t="s">
        <v>11</v>
      </c>
      <c r="B191">
        <v>30</v>
      </c>
      <c r="C191" s="1">
        <v>50777.202072538857</v>
      </c>
      <c r="D191" t="s">
        <v>34</v>
      </c>
      <c r="E191" t="s">
        <v>30</v>
      </c>
      <c r="F191" t="s">
        <v>14</v>
      </c>
      <c r="G191" s="2">
        <v>43881</v>
      </c>
      <c r="H191" t="s">
        <v>31</v>
      </c>
      <c r="I191" t="s">
        <v>23</v>
      </c>
      <c r="J191" t="s">
        <v>28</v>
      </c>
      <c r="K191" s="2" t="str">
        <f t="shared" ca="1" si="2"/>
        <v>5 Years</v>
      </c>
      <c r="L191" s="3" cm="1">
        <f t="array" ref="L191">_xlfn.SWITCH(Table13_2[[#This Row],[Performance Score]],"A",6,"B",5,"C",4,"D",3,"E",2,"F",1)</f>
        <v>6</v>
      </c>
    </row>
    <row r="192" spans="1:12" x14ac:dyDescent="0.3">
      <c r="A192" t="s">
        <v>18</v>
      </c>
      <c r="B192">
        <v>35</v>
      </c>
      <c r="C192" s="1">
        <v>70000</v>
      </c>
      <c r="D192" t="s">
        <v>19</v>
      </c>
      <c r="E192" t="s">
        <v>26</v>
      </c>
      <c r="F192" t="s">
        <v>21</v>
      </c>
      <c r="G192" s="2">
        <v>43195</v>
      </c>
      <c r="H192" t="s">
        <v>15</v>
      </c>
      <c r="I192" t="s">
        <v>39</v>
      </c>
      <c r="J192" t="s">
        <v>42</v>
      </c>
      <c r="K192" s="2" t="str">
        <f t="shared" ca="1" si="2"/>
        <v>7 Years</v>
      </c>
      <c r="L192" s="3" cm="1">
        <f t="array" ref="L192">_xlfn.SWITCH(Table13_2[[#This Row],[Performance Score]],"A",6,"B",5,"C",4,"D",3,"E",2,"F",1)</f>
        <v>3</v>
      </c>
    </row>
    <row r="193" spans="1:12" x14ac:dyDescent="0.3">
      <c r="A193" t="s">
        <v>11</v>
      </c>
      <c r="B193">
        <v>25</v>
      </c>
      <c r="C193" s="1">
        <v>60000</v>
      </c>
      <c r="D193" t="s">
        <v>19</v>
      </c>
      <c r="E193" t="s">
        <v>13</v>
      </c>
      <c r="F193" t="s">
        <v>40</v>
      </c>
      <c r="G193" s="2">
        <v>43845</v>
      </c>
      <c r="H193" t="s">
        <v>22</v>
      </c>
      <c r="I193" t="s">
        <v>39</v>
      </c>
      <c r="J193" t="s">
        <v>42</v>
      </c>
      <c r="K193" s="2" t="str">
        <f t="shared" ca="1" si="2"/>
        <v>5 Years</v>
      </c>
      <c r="L193" s="3" cm="1">
        <f t="array" ref="L193">_xlfn.SWITCH(Table13_2[[#This Row],[Performance Score]],"A",6,"B",5,"C",4,"D",3,"E",2,"F",1)</f>
        <v>1</v>
      </c>
    </row>
    <row r="194" spans="1:12" x14ac:dyDescent="0.3">
      <c r="A194" t="s">
        <v>25</v>
      </c>
      <c r="B194">
        <v>50</v>
      </c>
      <c r="C194" s="1">
        <v>65000</v>
      </c>
      <c r="D194" t="s">
        <v>12</v>
      </c>
      <c r="E194" t="s">
        <v>20</v>
      </c>
      <c r="F194" t="s">
        <v>41</v>
      </c>
      <c r="G194" s="2">
        <v>43549</v>
      </c>
      <c r="H194" t="s">
        <v>15</v>
      </c>
      <c r="I194" t="s">
        <v>39</v>
      </c>
      <c r="J194" t="s">
        <v>24</v>
      </c>
      <c r="K194" s="2" t="str">
        <f t="shared" ca="1" si="2"/>
        <v>6 Years</v>
      </c>
      <c r="L194" s="3" cm="1">
        <f t="array" ref="L194">_xlfn.SWITCH(Table13_2[[#This Row],[Performance Score]],"A",6,"B",5,"C",4,"D",3,"E",2,"F",1)</f>
        <v>3</v>
      </c>
    </row>
    <row r="195" spans="1:12" x14ac:dyDescent="0.3">
      <c r="A195" t="s">
        <v>45</v>
      </c>
      <c r="B195">
        <v>25</v>
      </c>
      <c r="C195" s="1">
        <v>60000</v>
      </c>
      <c r="D195" t="s">
        <v>34</v>
      </c>
      <c r="E195" t="s">
        <v>20</v>
      </c>
      <c r="F195" t="s">
        <v>41</v>
      </c>
      <c r="G195" s="2">
        <v>43845</v>
      </c>
      <c r="H195" t="s">
        <v>31</v>
      </c>
      <c r="I195" t="s">
        <v>23</v>
      </c>
      <c r="J195" t="s">
        <v>17</v>
      </c>
      <c r="K195" s="2" t="str">
        <f t="shared" ref="K195:K258" ca="1" si="3">DATEDIF(G195,TODAY(),"Y") &amp; " Years"</f>
        <v>5 Years</v>
      </c>
      <c r="L195" s="3" cm="1">
        <f t="array" ref="L195">_xlfn.SWITCH(Table13_2[[#This Row],[Performance Score]],"A",6,"B",5,"C",4,"D",3,"E",2,"F",1)</f>
        <v>6</v>
      </c>
    </row>
    <row r="196" spans="1:12" x14ac:dyDescent="0.3">
      <c r="A196" t="s">
        <v>43</v>
      </c>
      <c r="B196">
        <v>30</v>
      </c>
      <c r="C196" s="1">
        <v>55000</v>
      </c>
      <c r="D196" t="s">
        <v>12</v>
      </c>
      <c r="E196" t="s">
        <v>13</v>
      </c>
      <c r="F196" t="s">
        <v>41</v>
      </c>
      <c r="G196" s="2">
        <v>43195</v>
      </c>
      <c r="H196" t="s">
        <v>22</v>
      </c>
      <c r="I196" t="s">
        <v>32</v>
      </c>
      <c r="J196" t="s">
        <v>17</v>
      </c>
      <c r="K196" s="2" t="str">
        <f t="shared" ca="1" si="3"/>
        <v>7 Years</v>
      </c>
      <c r="L196" s="3" cm="1">
        <f t="array" ref="L196">_xlfn.SWITCH(Table13_2[[#This Row],[Performance Score]],"A",6,"B",5,"C",4,"D",3,"E",2,"F",1)</f>
        <v>1</v>
      </c>
    </row>
    <row r="197" spans="1:12" x14ac:dyDescent="0.3">
      <c r="A197" t="s">
        <v>25</v>
      </c>
      <c r="B197">
        <v>40</v>
      </c>
      <c r="C197" s="1">
        <v>50000</v>
      </c>
      <c r="D197" t="s">
        <v>12</v>
      </c>
      <c r="E197" t="s">
        <v>20</v>
      </c>
      <c r="F197" t="s">
        <v>40</v>
      </c>
      <c r="G197" s="2">
        <v>43800</v>
      </c>
      <c r="H197" t="s">
        <v>15</v>
      </c>
      <c r="I197" t="s">
        <v>23</v>
      </c>
      <c r="J197" t="s">
        <v>28</v>
      </c>
      <c r="K197" s="2" t="str">
        <f t="shared" ca="1" si="3"/>
        <v>6 Years</v>
      </c>
      <c r="L197" s="3" cm="1">
        <f t="array" ref="L197">_xlfn.SWITCH(Table13_2[[#This Row],[Performance Score]],"A",6,"B",5,"C",4,"D",3,"E",2,"F",1)</f>
        <v>3</v>
      </c>
    </row>
    <row r="198" spans="1:12" x14ac:dyDescent="0.3">
      <c r="A198" t="s">
        <v>29</v>
      </c>
      <c r="B198">
        <v>25</v>
      </c>
      <c r="C198" s="1">
        <v>49144.385026737968</v>
      </c>
      <c r="D198" t="s">
        <v>12</v>
      </c>
      <c r="E198" t="s">
        <v>35</v>
      </c>
      <c r="F198" t="s">
        <v>40</v>
      </c>
      <c r="G198" s="2">
        <v>43800</v>
      </c>
      <c r="H198" t="s">
        <v>15</v>
      </c>
      <c r="I198" t="s">
        <v>32</v>
      </c>
      <c r="J198" t="s">
        <v>17</v>
      </c>
      <c r="K198" s="2" t="str">
        <f t="shared" ca="1" si="3"/>
        <v>6 Years</v>
      </c>
      <c r="L198" s="3" cm="1">
        <f t="array" ref="L198">_xlfn.SWITCH(Table13_2[[#This Row],[Performance Score]],"A",6,"B",5,"C",4,"D",3,"E",2,"F",1)</f>
        <v>3</v>
      </c>
    </row>
    <row r="199" spans="1:12" x14ac:dyDescent="0.3">
      <c r="A199" t="s">
        <v>18</v>
      </c>
      <c r="B199">
        <v>25</v>
      </c>
      <c r="C199" s="1">
        <v>70000</v>
      </c>
      <c r="D199" t="s">
        <v>34</v>
      </c>
      <c r="E199" t="s">
        <v>26</v>
      </c>
      <c r="F199" t="s">
        <v>40</v>
      </c>
      <c r="G199" s="2">
        <v>43195</v>
      </c>
      <c r="H199" t="s">
        <v>22</v>
      </c>
      <c r="I199" t="s">
        <v>32</v>
      </c>
      <c r="J199" t="s">
        <v>17</v>
      </c>
      <c r="K199" s="2" t="str">
        <f t="shared" ca="1" si="3"/>
        <v>7 Years</v>
      </c>
      <c r="L199" s="3" cm="1">
        <f t="array" ref="L199">_xlfn.SWITCH(Table13_2[[#This Row],[Performance Score]],"A",6,"B",5,"C",4,"D",3,"E",2,"F",1)</f>
        <v>1</v>
      </c>
    </row>
    <row r="200" spans="1:12" x14ac:dyDescent="0.3">
      <c r="A200" t="s">
        <v>44</v>
      </c>
      <c r="B200">
        <v>50</v>
      </c>
      <c r="C200" s="1">
        <v>70000</v>
      </c>
      <c r="D200" t="s">
        <v>12</v>
      </c>
      <c r="E200" t="s">
        <v>26</v>
      </c>
      <c r="F200" t="s">
        <v>14</v>
      </c>
      <c r="G200" s="2">
        <v>43881</v>
      </c>
      <c r="H200" t="s">
        <v>31</v>
      </c>
      <c r="I200" t="s">
        <v>39</v>
      </c>
      <c r="J200" t="s">
        <v>28</v>
      </c>
      <c r="K200" s="2" t="str">
        <f t="shared" ca="1" si="3"/>
        <v>5 Years</v>
      </c>
      <c r="L200" s="3" cm="1">
        <f t="array" ref="L200">_xlfn.SWITCH(Table13_2[[#This Row],[Performance Score]],"A",6,"B",5,"C",4,"D",3,"E",2,"F",1)</f>
        <v>6</v>
      </c>
    </row>
    <row r="201" spans="1:12" x14ac:dyDescent="0.3">
      <c r="A201" t="s">
        <v>43</v>
      </c>
      <c r="B201">
        <v>50</v>
      </c>
      <c r="C201" s="1">
        <v>50000</v>
      </c>
      <c r="D201" t="s">
        <v>12</v>
      </c>
      <c r="E201" t="s">
        <v>13</v>
      </c>
      <c r="F201" t="s">
        <v>14</v>
      </c>
      <c r="G201" s="2">
        <v>43881</v>
      </c>
      <c r="H201" t="s">
        <v>15</v>
      </c>
      <c r="I201" t="s">
        <v>23</v>
      </c>
      <c r="J201" t="s">
        <v>28</v>
      </c>
      <c r="K201" s="2" t="str">
        <f t="shared" ca="1" si="3"/>
        <v>5 Years</v>
      </c>
      <c r="L201" s="3" cm="1">
        <f t="array" ref="L201">_xlfn.SWITCH(Table13_2[[#This Row],[Performance Score]],"A",6,"B",5,"C",4,"D",3,"E",2,"F",1)</f>
        <v>3</v>
      </c>
    </row>
    <row r="202" spans="1:12" x14ac:dyDescent="0.3">
      <c r="A202" t="s">
        <v>43</v>
      </c>
      <c r="B202">
        <v>35</v>
      </c>
      <c r="C202" s="1">
        <v>48417.431192660551</v>
      </c>
      <c r="D202" t="s">
        <v>12</v>
      </c>
      <c r="E202" t="s">
        <v>20</v>
      </c>
      <c r="F202" t="s">
        <v>41</v>
      </c>
      <c r="G202" s="2">
        <v>43800</v>
      </c>
      <c r="H202" t="s">
        <v>27</v>
      </c>
      <c r="I202" t="s">
        <v>32</v>
      </c>
      <c r="J202" t="s">
        <v>17</v>
      </c>
      <c r="K202" s="2" t="str">
        <f t="shared" ca="1" si="3"/>
        <v>6 Years</v>
      </c>
      <c r="L202" s="3" cm="1">
        <f t="array" ref="L202">_xlfn.SWITCH(Table13_2[[#This Row],[Performance Score]],"A",6,"B",5,"C",4,"D",3,"E",2,"F",1)</f>
        <v>4</v>
      </c>
    </row>
    <row r="203" spans="1:12" x14ac:dyDescent="0.3">
      <c r="A203" t="s">
        <v>45</v>
      </c>
      <c r="B203">
        <v>50</v>
      </c>
      <c r="C203" s="1">
        <v>50000</v>
      </c>
      <c r="D203" t="s">
        <v>12</v>
      </c>
      <c r="E203" t="s">
        <v>30</v>
      </c>
      <c r="F203" t="s">
        <v>37</v>
      </c>
      <c r="G203" s="2">
        <v>43800</v>
      </c>
      <c r="H203" t="s">
        <v>22</v>
      </c>
      <c r="I203" t="s">
        <v>39</v>
      </c>
      <c r="J203" t="s">
        <v>28</v>
      </c>
      <c r="K203" s="2" t="str">
        <f t="shared" ca="1" si="3"/>
        <v>6 Years</v>
      </c>
      <c r="L203" s="3" cm="1">
        <f t="array" ref="L203">_xlfn.SWITCH(Table13_2[[#This Row],[Performance Score]],"A",6,"B",5,"C",4,"D",3,"E",2,"F",1)</f>
        <v>1</v>
      </c>
    </row>
    <row r="204" spans="1:12" x14ac:dyDescent="0.3">
      <c r="A204" t="s">
        <v>46</v>
      </c>
      <c r="B204">
        <v>36</v>
      </c>
      <c r="C204" s="1">
        <v>55000</v>
      </c>
      <c r="D204" t="s">
        <v>12</v>
      </c>
      <c r="E204" t="s">
        <v>30</v>
      </c>
      <c r="F204" t="s">
        <v>41</v>
      </c>
      <c r="G204" s="2">
        <v>43195</v>
      </c>
      <c r="H204" t="s">
        <v>38</v>
      </c>
      <c r="I204" t="s">
        <v>32</v>
      </c>
      <c r="J204" t="s">
        <v>24</v>
      </c>
      <c r="K204" s="2" t="str">
        <f t="shared" ca="1" si="3"/>
        <v>7 Years</v>
      </c>
      <c r="L204" s="3" cm="1">
        <f t="array" ref="L204">_xlfn.SWITCH(Table13_2[[#This Row],[Performance Score]],"A",6,"B",5,"C",4,"D",3,"E",2,"F",1)</f>
        <v>5</v>
      </c>
    </row>
    <row r="205" spans="1:12" x14ac:dyDescent="0.3">
      <c r="A205" t="s">
        <v>43</v>
      </c>
      <c r="B205">
        <v>30</v>
      </c>
      <c r="C205" s="1">
        <v>60000</v>
      </c>
      <c r="D205" t="s">
        <v>12</v>
      </c>
      <c r="E205" t="s">
        <v>20</v>
      </c>
      <c r="F205" t="s">
        <v>21</v>
      </c>
      <c r="G205" s="2">
        <v>43881</v>
      </c>
      <c r="H205" t="s">
        <v>38</v>
      </c>
      <c r="I205" t="s">
        <v>39</v>
      </c>
      <c r="J205" t="s">
        <v>24</v>
      </c>
      <c r="K205" s="2" t="str">
        <f t="shared" ca="1" si="3"/>
        <v>5 Years</v>
      </c>
      <c r="L205" s="3" cm="1">
        <f t="array" ref="L205">_xlfn.SWITCH(Table13_2[[#This Row],[Performance Score]],"A",6,"B",5,"C",4,"D",3,"E",2,"F",1)</f>
        <v>5</v>
      </c>
    </row>
    <row r="206" spans="1:12" x14ac:dyDescent="0.3">
      <c r="A206" t="s">
        <v>36</v>
      </c>
      <c r="B206">
        <v>30</v>
      </c>
      <c r="C206" s="1">
        <v>70000</v>
      </c>
      <c r="D206" t="s">
        <v>34</v>
      </c>
      <c r="E206" t="s">
        <v>30</v>
      </c>
      <c r="F206" t="s">
        <v>14</v>
      </c>
      <c r="G206" s="2">
        <v>43800</v>
      </c>
      <c r="H206" t="s">
        <v>31</v>
      </c>
      <c r="I206" t="s">
        <v>23</v>
      </c>
      <c r="J206" t="s">
        <v>17</v>
      </c>
      <c r="K206" s="2" t="str">
        <f t="shared" ca="1" si="3"/>
        <v>6 Years</v>
      </c>
      <c r="L206" s="3" cm="1">
        <f t="array" ref="L206">_xlfn.SWITCH(Table13_2[[#This Row],[Performance Score]],"A",6,"B",5,"C",4,"D",3,"E",2,"F",1)</f>
        <v>6</v>
      </c>
    </row>
    <row r="207" spans="1:12" x14ac:dyDescent="0.3">
      <c r="A207" t="s">
        <v>18</v>
      </c>
      <c r="B207">
        <v>40</v>
      </c>
      <c r="C207" s="1">
        <v>55000</v>
      </c>
      <c r="D207" t="s">
        <v>12</v>
      </c>
      <c r="E207" t="s">
        <v>13</v>
      </c>
      <c r="F207" t="s">
        <v>40</v>
      </c>
      <c r="G207" s="2">
        <v>43881</v>
      </c>
      <c r="H207" t="s">
        <v>27</v>
      </c>
      <c r="I207" t="s">
        <v>23</v>
      </c>
      <c r="J207" t="s">
        <v>17</v>
      </c>
      <c r="K207" s="2" t="str">
        <f t="shared" ca="1" si="3"/>
        <v>5 Years</v>
      </c>
      <c r="L207" s="3" cm="1">
        <f t="array" ref="L207">_xlfn.SWITCH(Table13_2[[#This Row],[Performance Score]],"A",6,"B",5,"C",4,"D",3,"E",2,"F",1)</f>
        <v>4</v>
      </c>
    </row>
    <row r="208" spans="1:12" x14ac:dyDescent="0.3">
      <c r="A208" t="s">
        <v>18</v>
      </c>
      <c r="B208">
        <v>40</v>
      </c>
      <c r="C208" s="1">
        <v>60000</v>
      </c>
      <c r="D208" t="s">
        <v>19</v>
      </c>
      <c r="E208" t="s">
        <v>13</v>
      </c>
      <c r="F208" t="s">
        <v>14</v>
      </c>
      <c r="G208" s="2">
        <v>43800</v>
      </c>
      <c r="H208" t="s">
        <v>15</v>
      </c>
      <c r="I208" t="s">
        <v>23</v>
      </c>
      <c r="J208" t="s">
        <v>24</v>
      </c>
      <c r="K208" s="2" t="str">
        <f t="shared" ca="1" si="3"/>
        <v>6 Years</v>
      </c>
      <c r="L208" s="3" cm="1">
        <f t="array" ref="L208">_xlfn.SWITCH(Table13_2[[#This Row],[Performance Score]],"A",6,"B",5,"C",4,"D",3,"E",2,"F",1)</f>
        <v>3</v>
      </c>
    </row>
    <row r="209" spans="1:12" x14ac:dyDescent="0.3">
      <c r="A209" t="s">
        <v>36</v>
      </c>
      <c r="B209">
        <v>30</v>
      </c>
      <c r="C209" s="1">
        <v>55000</v>
      </c>
      <c r="D209" t="s">
        <v>12</v>
      </c>
      <c r="E209" t="s">
        <v>20</v>
      </c>
      <c r="F209" t="s">
        <v>40</v>
      </c>
      <c r="G209" s="2">
        <v>43845</v>
      </c>
      <c r="H209" t="s">
        <v>38</v>
      </c>
      <c r="I209" t="s">
        <v>32</v>
      </c>
      <c r="J209" t="s">
        <v>24</v>
      </c>
      <c r="K209" s="2" t="str">
        <f t="shared" ca="1" si="3"/>
        <v>5 Years</v>
      </c>
      <c r="L209" s="3" cm="1">
        <f t="array" ref="L209">_xlfn.SWITCH(Table13_2[[#This Row],[Performance Score]],"A",6,"B",5,"C",4,"D",3,"E",2,"F",1)</f>
        <v>5</v>
      </c>
    </row>
    <row r="210" spans="1:12" x14ac:dyDescent="0.3">
      <c r="A210" t="s">
        <v>33</v>
      </c>
      <c r="B210">
        <v>40</v>
      </c>
      <c r="C210" s="1">
        <v>50777.202072538857</v>
      </c>
      <c r="D210" t="s">
        <v>12</v>
      </c>
      <c r="E210" t="s">
        <v>30</v>
      </c>
      <c r="F210" t="s">
        <v>21</v>
      </c>
      <c r="G210" s="2">
        <v>43549</v>
      </c>
      <c r="H210" t="s">
        <v>31</v>
      </c>
      <c r="I210" t="s">
        <v>16</v>
      </c>
      <c r="J210" t="s">
        <v>17</v>
      </c>
      <c r="K210" s="2" t="str">
        <f t="shared" ca="1" si="3"/>
        <v>6 Years</v>
      </c>
      <c r="L210" s="3" cm="1">
        <f t="array" ref="L210">_xlfn.SWITCH(Table13_2[[#This Row],[Performance Score]],"A",6,"B",5,"C",4,"D",3,"E",2,"F",1)</f>
        <v>6</v>
      </c>
    </row>
    <row r="211" spans="1:12" x14ac:dyDescent="0.3">
      <c r="A211" t="s">
        <v>36</v>
      </c>
      <c r="B211">
        <v>35</v>
      </c>
      <c r="C211" s="1">
        <v>70000</v>
      </c>
      <c r="D211" t="s">
        <v>34</v>
      </c>
      <c r="E211" t="s">
        <v>13</v>
      </c>
      <c r="F211" t="s">
        <v>21</v>
      </c>
      <c r="G211" s="2">
        <v>43845</v>
      </c>
      <c r="H211" t="s">
        <v>27</v>
      </c>
      <c r="I211" t="s">
        <v>32</v>
      </c>
      <c r="J211" t="s">
        <v>42</v>
      </c>
      <c r="K211" s="2" t="str">
        <f t="shared" ca="1" si="3"/>
        <v>5 Years</v>
      </c>
      <c r="L211" s="3" cm="1">
        <f t="array" ref="L211">_xlfn.SWITCH(Table13_2[[#This Row],[Performance Score]],"A",6,"B",5,"C",4,"D",3,"E",2,"F",1)</f>
        <v>4</v>
      </c>
    </row>
    <row r="212" spans="1:12" x14ac:dyDescent="0.3">
      <c r="A212" t="s">
        <v>36</v>
      </c>
      <c r="B212">
        <v>50</v>
      </c>
      <c r="C212" s="1">
        <v>50000</v>
      </c>
      <c r="D212" t="s">
        <v>34</v>
      </c>
      <c r="E212" t="s">
        <v>13</v>
      </c>
      <c r="F212" t="s">
        <v>14</v>
      </c>
      <c r="G212" s="2">
        <v>43800</v>
      </c>
      <c r="H212" t="s">
        <v>27</v>
      </c>
      <c r="I212" t="s">
        <v>32</v>
      </c>
      <c r="J212" t="s">
        <v>28</v>
      </c>
      <c r="K212" s="2" t="str">
        <f t="shared" ca="1" si="3"/>
        <v>6 Years</v>
      </c>
      <c r="L212" s="3" cm="1">
        <f t="array" ref="L212">_xlfn.SWITCH(Table13_2[[#This Row],[Performance Score]],"A",6,"B",5,"C",4,"D",3,"E",2,"F",1)</f>
        <v>4</v>
      </c>
    </row>
    <row r="213" spans="1:12" x14ac:dyDescent="0.3">
      <c r="A213" t="s">
        <v>18</v>
      </c>
      <c r="B213">
        <v>30</v>
      </c>
      <c r="C213" s="1">
        <v>50000</v>
      </c>
      <c r="D213" t="s">
        <v>19</v>
      </c>
      <c r="E213" t="s">
        <v>35</v>
      </c>
      <c r="F213" t="s">
        <v>40</v>
      </c>
      <c r="G213" s="2">
        <v>43549</v>
      </c>
      <c r="H213" t="s">
        <v>31</v>
      </c>
      <c r="I213" t="s">
        <v>39</v>
      </c>
      <c r="J213" t="s">
        <v>24</v>
      </c>
      <c r="K213" s="2" t="str">
        <f t="shared" ca="1" si="3"/>
        <v>6 Years</v>
      </c>
      <c r="L213" s="3" cm="1">
        <f t="array" ref="L213">_xlfn.SWITCH(Table13_2[[#This Row],[Performance Score]],"A",6,"B",5,"C",4,"D",3,"E",2,"F",1)</f>
        <v>6</v>
      </c>
    </row>
    <row r="214" spans="1:12" x14ac:dyDescent="0.3">
      <c r="A214" t="s">
        <v>11</v>
      </c>
      <c r="B214">
        <v>40</v>
      </c>
      <c r="C214" s="1">
        <v>60000</v>
      </c>
      <c r="D214" t="s">
        <v>19</v>
      </c>
      <c r="E214" t="s">
        <v>35</v>
      </c>
      <c r="F214" t="s">
        <v>21</v>
      </c>
      <c r="G214" s="2">
        <v>43549</v>
      </c>
      <c r="H214" t="s">
        <v>31</v>
      </c>
      <c r="I214" t="s">
        <v>39</v>
      </c>
      <c r="J214" t="s">
        <v>42</v>
      </c>
      <c r="K214" s="2" t="str">
        <f t="shared" ca="1" si="3"/>
        <v>6 Years</v>
      </c>
      <c r="L214" s="3" cm="1">
        <f t="array" ref="L214">_xlfn.SWITCH(Table13_2[[#This Row],[Performance Score]],"A",6,"B",5,"C",4,"D",3,"E",2,"F",1)</f>
        <v>6</v>
      </c>
    </row>
    <row r="215" spans="1:12" x14ac:dyDescent="0.3">
      <c r="A215" t="s">
        <v>18</v>
      </c>
      <c r="B215">
        <v>30</v>
      </c>
      <c r="C215" s="1">
        <v>65000</v>
      </c>
      <c r="D215" t="s">
        <v>34</v>
      </c>
      <c r="E215" t="s">
        <v>13</v>
      </c>
      <c r="F215" t="s">
        <v>41</v>
      </c>
      <c r="G215" s="2">
        <v>43800</v>
      </c>
      <c r="H215" t="s">
        <v>15</v>
      </c>
      <c r="I215" t="s">
        <v>32</v>
      </c>
      <c r="J215" t="s">
        <v>17</v>
      </c>
      <c r="K215" s="2" t="str">
        <f t="shared" ca="1" si="3"/>
        <v>6 Years</v>
      </c>
      <c r="L215" s="3" cm="1">
        <f t="array" ref="L215">_xlfn.SWITCH(Table13_2[[#This Row],[Performance Score]],"A",6,"B",5,"C",4,"D",3,"E",2,"F",1)</f>
        <v>3</v>
      </c>
    </row>
    <row r="216" spans="1:12" x14ac:dyDescent="0.3">
      <c r="A216" t="s">
        <v>46</v>
      </c>
      <c r="B216">
        <v>36</v>
      </c>
      <c r="C216" s="1">
        <v>48417.431192660551</v>
      </c>
      <c r="D216" t="s">
        <v>34</v>
      </c>
      <c r="E216" t="s">
        <v>20</v>
      </c>
      <c r="F216" t="s">
        <v>41</v>
      </c>
      <c r="G216" s="2">
        <v>43800</v>
      </c>
      <c r="H216" t="s">
        <v>31</v>
      </c>
      <c r="I216" t="s">
        <v>39</v>
      </c>
      <c r="J216" t="s">
        <v>42</v>
      </c>
      <c r="K216" s="2" t="str">
        <f t="shared" ca="1" si="3"/>
        <v>6 Years</v>
      </c>
      <c r="L216" s="3" cm="1">
        <f t="array" ref="L216">_xlfn.SWITCH(Table13_2[[#This Row],[Performance Score]],"A",6,"B",5,"C",4,"D",3,"E",2,"F",1)</f>
        <v>6</v>
      </c>
    </row>
    <row r="217" spans="1:12" x14ac:dyDescent="0.3">
      <c r="A217" t="s">
        <v>45</v>
      </c>
      <c r="B217">
        <v>25</v>
      </c>
      <c r="C217" s="1">
        <v>60000</v>
      </c>
      <c r="D217" t="s">
        <v>12</v>
      </c>
      <c r="E217" t="s">
        <v>26</v>
      </c>
      <c r="F217" t="s">
        <v>40</v>
      </c>
      <c r="G217" s="2">
        <v>43881</v>
      </c>
      <c r="H217" t="s">
        <v>15</v>
      </c>
      <c r="I217" t="s">
        <v>39</v>
      </c>
      <c r="J217" t="s">
        <v>17</v>
      </c>
      <c r="K217" s="2" t="str">
        <f t="shared" ca="1" si="3"/>
        <v>5 Years</v>
      </c>
      <c r="L217" s="3" cm="1">
        <f t="array" ref="L217">_xlfn.SWITCH(Table13_2[[#This Row],[Performance Score]],"A",6,"B",5,"C",4,"D",3,"E",2,"F",1)</f>
        <v>3</v>
      </c>
    </row>
    <row r="218" spans="1:12" x14ac:dyDescent="0.3">
      <c r="A218" t="s">
        <v>25</v>
      </c>
      <c r="B218">
        <v>50</v>
      </c>
      <c r="C218" s="1">
        <v>65000</v>
      </c>
      <c r="D218" t="s">
        <v>34</v>
      </c>
      <c r="E218" t="s">
        <v>26</v>
      </c>
      <c r="F218" t="s">
        <v>14</v>
      </c>
      <c r="G218" s="2">
        <v>43800</v>
      </c>
      <c r="H218" t="s">
        <v>15</v>
      </c>
      <c r="I218" t="s">
        <v>32</v>
      </c>
      <c r="J218" t="s">
        <v>17</v>
      </c>
      <c r="K218" s="2" t="str">
        <f t="shared" ca="1" si="3"/>
        <v>6 Years</v>
      </c>
      <c r="L218" s="3" cm="1">
        <f t="array" ref="L218">_xlfn.SWITCH(Table13_2[[#This Row],[Performance Score]],"A",6,"B",5,"C",4,"D",3,"E",2,"F",1)</f>
        <v>3</v>
      </c>
    </row>
    <row r="219" spans="1:12" x14ac:dyDescent="0.3">
      <c r="A219" t="s">
        <v>11</v>
      </c>
      <c r="B219">
        <v>30</v>
      </c>
      <c r="C219" s="1">
        <v>55000</v>
      </c>
      <c r="D219" t="s">
        <v>19</v>
      </c>
      <c r="E219" t="s">
        <v>13</v>
      </c>
      <c r="F219" t="s">
        <v>21</v>
      </c>
      <c r="G219" s="2">
        <v>43195</v>
      </c>
      <c r="H219" t="s">
        <v>22</v>
      </c>
      <c r="I219" t="s">
        <v>16</v>
      </c>
      <c r="J219" t="s">
        <v>17</v>
      </c>
      <c r="K219" s="2" t="str">
        <f t="shared" ca="1" si="3"/>
        <v>7 Years</v>
      </c>
      <c r="L219" s="3" cm="1">
        <f t="array" ref="L219">_xlfn.SWITCH(Table13_2[[#This Row],[Performance Score]],"A",6,"B",5,"C",4,"D",3,"E",2,"F",1)</f>
        <v>1</v>
      </c>
    </row>
    <row r="220" spans="1:12" x14ac:dyDescent="0.3">
      <c r="A220" t="s">
        <v>44</v>
      </c>
      <c r="B220">
        <v>25</v>
      </c>
      <c r="C220" s="1">
        <v>51825</v>
      </c>
      <c r="D220" t="s">
        <v>12</v>
      </c>
      <c r="E220" t="s">
        <v>13</v>
      </c>
      <c r="F220" t="s">
        <v>14</v>
      </c>
      <c r="G220" s="2">
        <v>43800</v>
      </c>
      <c r="H220" t="s">
        <v>27</v>
      </c>
      <c r="I220" t="s">
        <v>39</v>
      </c>
      <c r="J220" t="s">
        <v>42</v>
      </c>
      <c r="K220" s="2" t="str">
        <f t="shared" ca="1" si="3"/>
        <v>6 Years</v>
      </c>
      <c r="L220" s="3" cm="1">
        <f t="array" ref="L220">_xlfn.SWITCH(Table13_2[[#This Row],[Performance Score]],"A",6,"B",5,"C",4,"D",3,"E",2,"F",1)</f>
        <v>4</v>
      </c>
    </row>
    <row r="221" spans="1:12" x14ac:dyDescent="0.3">
      <c r="A221" t="s">
        <v>25</v>
      </c>
      <c r="B221">
        <v>40</v>
      </c>
      <c r="C221" s="1">
        <v>55000</v>
      </c>
      <c r="D221" t="s">
        <v>19</v>
      </c>
      <c r="E221" t="s">
        <v>13</v>
      </c>
      <c r="F221" t="s">
        <v>41</v>
      </c>
      <c r="G221" s="2">
        <v>43195</v>
      </c>
      <c r="H221" t="s">
        <v>27</v>
      </c>
      <c r="I221" t="s">
        <v>23</v>
      </c>
      <c r="J221" t="s">
        <v>17</v>
      </c>
      <c r="K221" s="2" t="str">
        <f t="shared" ca="1" si="3"/>
        <v>7 Years</v>
      </c>
      <c r="L221" s="3" cm="1">
        <f t="array" ref="L221">_xlfn.SWITCH(Table13_2[[#This Row],[Performance Score]],"A",6,"B",5,"C",4,"D",3,"E",2,"F",1)</f>
        <v>4</v>
      </c>
    </row>
    <row r="222" spans="1:12" x14ac:dyDescent="0.3">
      <c r="A222" t="s">
        <v>45</v>
      </c>
      <c r="B222">
        <v>25</v>
      </c>
      <c r="C222" s="1">
        <v>70000</v>
      </c>
      <c r="D222" t="s">
        <v>12</v>
      </c>
      <c r="E222" t="s">
        <v>20</v>
      </c>
      <c r="F222" t="s">
        <v>21</v>
      </c>
      <c r="G222" s="2">
        <v>43800</v>
      </c>
      <c r="H222" t="s">
        <v>27</v>
      </c>
      <c r="I222" t="s">
        <v>32</v>
      </c>
      <c r="J222" t="s">
        <v>24</v>
      </c>
      <c r="K222" s="2" t="str">
        <f t="shared" ca="1" si="3"/>
        <v>6 Years</v>
      </c>
      <c r="L222" s="3" cm="1">
        <f t="array" ref="L222">_xlfn.SWITCH(Table13_2[[#This Row],[Performance Score]],"A",6,"B",5,"C",4,"D",3,"E",2,"F",1)</f>
        <v>4</v>
      </c>
    </row>
    <row r="223" spans="1:12" x14ac:dyDescent="0.3">
      <c r="A223" t="s">
        <v>46</v>
      </c>
      <c r="B223">
        <v>50</v>
      </c>
      <c r="C223" s="1">
        <v>49144.385026737968</v>
      </c>
      <c r="D223" t="s">
        <v>34</v>
      </c>
      <c r="E223" t="s">
        <v>35</v>
      </c>
      <c r="F223" t="s">
        <v>14</v>
      </c>
      <c r="G223" s="2">
        <v>43881</v>
      </c>
      <c r="H223" t="s">
        <v>22</v>
      </c>
      <c r="I223" t="s">
        <v>32</v>
      </c>
      <c r="J223" t="s">
        <v>42</v>
      </c>
      <c r="K223" s="2" t="str">
        <f t="shared" ca="1" si="3"/>
        <v>5 Years</v>
      </c>
      <c r="L223" s="3" cm="1">
        <f t="array" ref="L223">_xlfn.SWITCH(Table13_2[[#This Row],[Performance Score]],"A",6,"B",5,"C",4,"D",3,"E",2,"F",1)</f>
        <v>1</v>
      </c>
    </row>
    <row r="224" spans="1:12" x14ac:dyDescent="0.3">
      <c r="A224" t="s">
        <v>46</v>
      </c>
      <c r="B224">
        <v>30</v>
      </c>
      <c r="C224" s="1">
        <v>65000</v>
      </c>
      <c r="D224" t="s">
        <v>19</v>
      </c>
      <c r="E224" t="s">
        <v>13</v>
      </c>
      <c r="F224" t="s">
        <v>37</v>
      </c>
      <c r="G224" s="2">
        <v>43195</v>
      </c>
      <c r="H224" t="s">
        <v>15</v>
      </c>
      <c r="I224" t="s">
        <v>39</v>
      </c>
      <c r="J224" t="s">
        <v>24</v>
      </c>
      <c r="K224" s="2" t="str">
        <f t="shared" ca="1" si="3"/>
        <v>7 Years</v>
      </c>
      <c r="L224" s="3" cm="1">
        <f t="array" ref="L224">_xlfn.SWITCH(Table13_2[[#This Row],[Performance Score]],"A",6,"B",5,"C",4,"D",3,"E",2,"F",1)</f>
        <v>3</v>
      </c>
    </row>
    <row r="225" spans="1:12" x14ac:dyDescent="0.3">
      <c r="A225" t="s">
        <v>44</v>
      </c>
      <c r="B225">
        <v>36</v>
      </c>
      <c r="C225" s="1">
        <v>70000</v>
      </c>
      <c r="D225" t="s">
        <v>12</v>
      </c>
      <c r="E225" t="s">
        <v>13</v>
      </c>
      <c r="F225" t="s">
        <v>40</v>
      </c>
      <c r="G225" s="2">
        <v>43845</v>
      </c>
      <c r="H225" t="s">
        <v>15</v>
      </c>
      <c r="I225" t="s">
        <v>39</v>
      </c>
      <c r="J225" t="s">
        <v>42</v>
      </c>
      <c r="K225" s="2" t="str">
        <f t="shared" ca="1" si="3"/>
        <v>5 Years</v>
      </c>
      <c r="L225" s="3" cm="1">
        <f t="array" ref="L225">_xlfn.SWITCH(Table13_2[[#This Row],[Performance Score]],"A",6,"B",5,"C",4,"D",3,"E",2,"F",1)</f>
        <v>3</v>
      </c>
    </row>
    <row r="226" spans="1:12" x14ac:dyDescent="0.3">
      <c r="A226" t="s">
        <v>11</v>
      </c>
      <c r="B226">
        <v>40</v>
      </c>
      <c r="C226" s="1">
        <v>50000</v>
      </c>
      <c r="D226" t="s">
        <v>12</v>
      </c>
      <c r="E226" t="s">
        <v>30</v>
      </c>
      <c r="F226" t="s">
        <v>40</v>
      </c>
      <c r="G226" s="2">
        <v>43195</v>
      </c>
      <c r="H226" t="s">
        <v>31</v>
      </c>
      <c r="I226" t="s">
        <v>39</v>
      </c>
      <c r="J226" t="s">
        <v>24</v>
      </c>
      <c r="K226" s="2" t="str">
        <f t="shared" ca="1" si="3"/>
        <v>7 Years</v>
      </c>
      <c r="L226" s="3" cm="1">
        <f t="array" ref="L226">_xlfn.SWITCH(Table13_2[[#This Row],[Performance Score]],"A",6,"B",5,"C",4,"D",3,"E",2,"F",1)</f>
        <v>6</v>
      </c>
    </row>
    <row r="227" spans="1:12" x14ac:dyDescent="0.3">
      <c r="A227" t="s">
        <v>33</v>
      </c>
      <c r="B227">
        <v>30</v>
      </c>
      <c r="C227" s="1">
        <v>65000</v>
      </c>
      <c r="D227" t="s">
        <v>34</v>
      </c>
      <c r="E227" t="s">
        <v>20</v>
      </c>
      <c r="F227" t="s">
        <v>37</v>
      </c>
      <c r="G227" s="2">
        <v>43881</v>
      </c>
      <c r="H227" t="s">
        <v>22</v>
      </c>
      <c r="I227" t="s">
        <v>39</v>
      </c>
      <c r="J227" t="s">
        <v>42</v>
      </c>
      <c r="K227" s="2" t="str">
        <f t="shared" ca="1" si="3"/>
        <v>5 Years</v>
      </c>
      <c r="L227" s="3" cm="1">
        <f t="array" ref="L227">_xlfn.SWITCH(Table13_2[[#This Row],[Performance Score]],"A",6,"B",5,"C",4,"D",3,"E",2,"F",1)</f>
        <v>1</v>
      </c>
    </row>
    <row r="228" spans="1:12" x14ac:dyDescent="0.3">
      <c r="A228" t="s">
        <v>36</v>
      </c>
      <c r="B228">
        <v>50</v>
      </c>
      <c r="C228" s="1">
        <v>60000</v>
      </c>
      <c r="D228" t="s">
        <v>34</v>
      </c>
      <c r="E228" t="s">
        <v>13</v>
      </c>
      <c r="F228" t="s">
        <v>41</v>
      </c>
      <c r="G228" s="2">
        <v>43195</v>
      </c>
      <c r="H228" t="s">
        <v>31</v>
      </c>
      <c r="I228" t="s">
        <v>23</v>
      </c>
      <c r="J228" t="s">
        <v>17</v>
      </c>
      <c r="K228" s="2" t="str">
        <f t="shared" ca="1" si="3"/>
        <v>7 Years</v>
      </c>
      <c r="L228" s="3" cm="1">
        <f t="array" ref="L228">_xlfn.SWITCH(Table13_2[[#This Row],[Performance Score]],"A",6,"B",5,"C",4,"D",3,"E",2,"F",1)</f>
        <v>6</v>
      </c>
    </row>
    <row r="229" spans="1:12" x14ac:dyDescent="0.3">
      <c r="A229" t="s">
        <v>11</v>
      </c>
      <c r="B229">
        <v>40</v>
      </c>
      <c r="C229" s="1">
        <v>50000</v>
      </c>
      <c r="D229" t="s">
        <v>34</v>
      </c>
      <c r="E229" t="s">
        <v>30</v>
      </c>
      <c r="F229" t="s">
        <v>21</v>
      </c>
      <c r="G229" s="2">
        <v>43800</v>
      </c>
      <c r="H229" t="s">
        <v>22</v>
      </c>
      <c r="I229" t="s">
        <v>39</v>
      </c>
      <c r="J229" t="s">
        <v>28</v>
      </c>
      <c r="K229" s="2" t="str">
        <f t="shared" ca="1" si="3"/>
        <v>6 Years</v>
      </c>
      <c r="L229" s="3" cm="1">
        <f t="array" ref="L229">_xlfn.SWITCH(Table13_2[[#This Row],[Performance Score]],"A",6,"B",5,"C",4,"D",3,"E",2,"F",1)</f>
        <v>1</v>
      </c>
    </row>
    <row r="230" spans="1:12" x14ac:dyDescent="0.3">
      <c r="A230" t="s">
        <v>33</v>
      </c>
      <c r="B230">
        <v>35</v>
      </c>
      <c r="C230" s="1">
        <v>50000</v>
      </c>
      <c r="D230" t="s">
        <v>19</v>
      </c>
      <c r="E230" t="s">
        <v>26</v>
      </c>
      <c r="F230" t="s">
        <v>40</v>
      </c>
      <c r="G230" s="2">
        <v>43800</v>
      </c>
      <c r="H230" t="s">
        <v>31</v>
      </c>
      <c r="I230" t="s">
        <v>39</v>
      </c>
      <c r="J230" t="s">
        <v>17</v>
      </c>
      <c r="K230" s="2" t="str">
        <f t="shared" ca="1" si="3"/>
        <v>6 Years</v>
      </c>
      <c r="L230" s="3" cm="1">
        <f t="array" ref="L230">_xlfn.SWITCH(Table13_2[[#This Row],[Performance Score]],"A",6,"B",5,"C",4,"D",3,"E",2,"F",1)</f>
        <v>6</v>
      </c>
    </row>
    <row r="231" spans="1:12" x14ac:dyDescent="0.3">
      <c r="A231" t="s">
        <v>46</v>
      </c>
      <c r="B231">
        <v>25</v>
      </c>
      <c r="C231" s="1">
        <v>60000</v>
      </c>
      <c r="D231" t="s">
        <v>12</v>
      </c>
      <c r="E231" t="s">
        <v>13</v>
      </c>
      <c r="F231" t="s">
        <v>37</v>
      </c>
      <c r="G231" s="2">
        <v>43881</v>
      </c>
      <c r="H231" t="s">
        <v>38</v>
      </c>
      <c r="I231" t="s">
        <v>39</v>
      </c>
      <c r="J231" t="s">
        <v>24</v>
      </c>
      <c r="K231" s="2" t="str">
        <f t="shared" ca="1" si="3"/>
        <v>5 Years</v>
      </c>
      <c r="L231" s="3" cm="1">
        <f t="array" ref="L231">_xlfn.SWITCH(Table13_2[[#This Row],[Performance Score]],"A",6,"B",5,"C",4,"D",3,"E",2,"F",1)</f>
        <v>5</v>
      </c>
    </row>
    <row r="232" spans="1:12" x14ac:dyDescent="0.3">
      <c r="A232" t="s">
        <v>18</v>
      </c>
      <c r="B232">
        <v>50</v>
      </c>
      <c r="C232" s="1">
        <v>51825</v>
      </c>
      <c r="D232" t="s">
        <v>34</v>
      </c>
      <c r="E232" t="s">
        <v>13</v>
      </c>
      <c r="F232" t="s">
        <v>37</v>
      </c>
      <c r="G232" s="2">
        <v>43549</v>
      </c>
      <c r="H232" t="s">
        <v>27</v>
      </c>
      <c r="I232" t="s">
        <v>39</v>
      </c>
      <c r="J232" t="s">
        <v>17</v>
      </c>
      <c r="K232" s="2" t="str">
        <f t="shared" ca="1" si="3"/>
        <v>6 Years</v>
      </c>
      <c r="L232" s="3" cm="1">
        <f t="array" ref="L232">_xlfn.SWITCH(Table13_2[[#This Row],[Performance Score]],"A",6,"B",5,"C",4,"D",3,"E",2,"F",1)</f>
        <v>4</v>
      </c>
    </row>
    <row r="233" spans="1:12" x14ac:dyDescent="0.3">
      <c r="A233" t="s">
        <v>45</v>
      </c>
      <c r="B233">
        <v>35</v>
      </c>
      <c r="C233" s="1">
        <v>50000</v>
      </c>
      <c r="D233" t="s">
        <v>19</v>
      </c>
      <c r="E233" t="s">
        <v>30</v>
      </c>
      <c r="F233" t="s">
        <v>41</v>
      </c>
      <c r="G233" s="2">
        <v>43800</v>
      </c>
      <c r="H233" t="s">
        <v>27</v>
      </c>
      <c r="I233" t="s">
        <v>16</v>
      </c>
      <c r="J233" t="s">
        <v>17</v>
      </c>
      <c r="K233" s="2" t="str">
        <f t="shared" ca="1" si="3"/>
        <v>6 Years</v>
      </c>
      <c r="L233" s="3" cm="1">
        <f t="array" ref="L233">_xlfn.SWITCH(Table13_2[[#This Row],[Performance Score]],"A",6,"B",5,"C",4,"D",3,"E",2,"F",1)</f>
        <v>4</v>
      </c>
    </row>
    <row r="234" spans="1:12" x14ac:dyDescent="0.3">
      <c r="A234" t="s">
        <v>44</v>
      </c>
      <c r="B234">
        <v>30</v>
      </c>
      <c r="C234" s="1">
        <v>65000</v>
      </c>
      <c r="D234" t="s">
        <v>19</v>
      </c>
      <c r="E234" t="s">
        <v>20</v>
      </c>
      <c r="F234" t="s">
        <v>41</v>
      </c>
      <c r="G234" s="2">
        <v>43845</v>
      </c>
      <c r="H234" t="s">
        <v>15</v>
      </c>
      <c r="I234" t="s">
        <v>16</v>
      </c>
      <c r="J234" t="s">
        <v>28</v>
      </c>
      <c r="K234" s="2" t="str">
        <f t="shared" ca="1" si="3"/>
        <v>5 Years</v>
      </c>
      <c r="L234" s="3" cm="1">
        <f t="array" ref="L234">_xlfn.SWITCH(Table13_2[[#This Row],[Performance Score]],"A",6,"B",5,"C",4,"D",3,"E",2,"F",1)</f>
        <v>3</v>
      </c>
    </row>
    <row r="235" spans="1:12" x14ac:dyDescent="0.3">
      <c r="A235" t="s">
        <v>45</v>
      </c>
      <c r="B235">
        <v>36</v>
      </c>
      <c r="C235" s="1">
        <v>70000</v>
      </c>
      <c r="D235" t="s">
        <v>19</v>
      </c>
      <c r="E235" t="s">
        <v>13</v>
      </c>
      <c r="F235" t="s">
        <v>14</v>
      </c>
      <c r="G235" s="2">
        <v>43881</v>
      </c>
      <c r="H235" t="s">
        <v>38</v>
      </c>
      <c r="I235" t="s">
        <v>32</v>
      </c>
      <c r="J235" t="s">
        <v>24</v>
      </c>
      <c r="K235" s="2" t="str">
        <f t="shared" ca="1" si="3"/>
        <v>5 Years</v>
      </c>
      <c r="L235" s="3" cm="1">
        <f t="array" ref="L235">_xlfn.SWITCH(Table13_2[[#This Row],[Performance Score]],"A",6,"B",5,"C",4,"D",3,"E",2,"F",1)</f>
        <v>5</v>
      </c>
    </row>
    <row r="236" spans="1:12" x14ac:dyDescent="0.3">
      <c r="A236" t="s">
        <v>29</v>
      </c>
      <c r="B236">
        <v>40</v>
      </c>
      <c r="C236" s="1">
        <v>50000</v>
      </c>
      <c r="D236" t="s">
        <v>34</v>
      </c>
      <c r="E236" t="s">
        <v>26</v>
      </c>
      <c r="F236" t="s">
        <v>40</v>
      </c>
      <c r="G236" s="2">
        <v>43195</v>
      </c>
      <c r="H236" t="s">
        <v>27</v>
      </c>
      <c r="I236" t="s">
        <v>32</v>
      </c>
      <c r="J236" t="s">
        <v>17</v>
      </c>
      <c r="K236" s="2" t="str">
        <f t="shared" ca="1" si="3"/>
        <v>7 Years</v>
      </c>
      <c r="L236" s="3" cm="1">
        <f t="array" ref="L236">_xlfn.SWITCH(Table13_2[[#This Row],[Performance Score]],"A",6,"B",5,"C",4,"D",3,"E",2,"F",1)</f>
        <v>4</v>
      </c>
    </row>
    <row r="237" spans="1:12" x14ac:dyDescent="0.3">
      <c r="A237" t="s">
        <v>29</v>
      </c>
      <c r="B237">
        <v>25</v>
      </c>
      <c r="C237" s="1">
        <v>65000</v>
      </c>
      <c r="D237" t="s">
        <v>34</v>
      </c>
      <c r="E237" t="s">
        <v>13</v>
      </c>
      <c r="F237" t="s">
        <v>14</v>
      </c>
      <c r="G237" s="2">
        <v>43195</v>
      </c>
      <c r="H237" t="s">
        <v>15</v>
      </c>
      <c r="I237" t="s">
        <v>39</v>
      </c>
      <c r="J237" t="s">
        <v>42</v>
      </c>
      <c r="K237" s="2" t="str">
        <f t="shared" ca="1" si="3"/>
        <v>7 Years</v>
      </c>
      <c r="L237" s="3" cm="1">
        <f t="array" ref="L237">_xlfn.SWITCH(Table13_2[[#This Row],[Performance Score]],"A",6,"B",5,"C",4,"D",3,"E",2,"F",1)</f>
        <v>3</v>
      </c>
    </row>
    <row r="238" spans="1:12" x14ac:dyDescent="0.3">
      <c r="A238" t="s">
        <v>11</v>
      </c>
      <c r="B238">
        <v>40</v>
      </c>
      <c r="C238" s="1">
        <v>55000</v>
      </c>
      <c r="D238" t="s">
        <v>12</v>
      </c>
      <c r="E238" t="s">
        <v>26</v>
      </c>
      <c r="F238" t="s">
        <v>37</v>
      </c>
      <c r="G238" s="2">
        <v>43845</v>
      </c>
      <c r="H238" t="s">
        <v>38</v>
      </c>
      <c r="I238" t="s">
        <v>39</v>
      </c>
      <c r="J238" t="s">
        <v>17</v>
      </c>
      <c r="K238" s="2" t="str">
        <f t="shared" ca="1" si="3"/>
        <v>5 Years</v>
      </c>
      <c r="L238" s="3" cm="1">
        <f t="array" ref="L238">_xlfn.SWITCH(Table13_2[[#This Row],[Performance Score]],"A",6,"B",5,"C",4,"D",3,"E",2,"F",1)</f>
        <v>5</v>
      </c>
    </row>
    <row r="239" spans="1:12" x14ac:dyDescent="0.3">
      <c r="A239" t="s">
        <v>46</v>
      </c>
      <c r="B239">
        <v>30</v>
      </c>
      <c r="C239" s="1">
        <v>65000</v>
      </c>
      <c r="D239" t="s">
        <v>12</v>
      </c>
      <c r="E239" t="s">
        <v>35</v>
      </c>
      <c r="F239" t="s">
        <v>21</v>
      </c>
      <c r="G239" s="2">
        <v>43800</v>
      </c>
      <c r="H239" t="s">
        <v>27</v>
      </c>
      <c r="I239" t="s">
        <v>23</v>
      </c>
      <c r="J239" t="s">
        <v>24</v>
      </c>
      <c r="K239" s="2" t="str">
        <f t="shared" ca="1" si="3"/>
        <v>6 Years</v>
      </c>
      <c r="L239" s="3" cm="1">
        <f t="array" ref="L239">_xlfn.SWITCH(Table13_2[[#This Row],[Performance Score]],"A",6,"B",5,"C",4,"D",3,"E",2,"F",1)</f>
        <v>4</v>
      </c>
    </row>
    <row r="240" spans="1:12" x14ac:dyDescent="0.3">
      <c r="A240" t="s">
        <v>46</v>
      </c>
      <c r="B240">
        <v>40</v>
      </c>
      <c r="C240" s="1">
        <v>70000</v>
      </c>
      <c r="D240" t="s">
        <v>34</v>
      </c>
      <c r="E240" t="s">
        <v>35</v>
      </c>
      <c r="F240" t="s">
        <v>21</v>
      </c>
      <c r="G240" s="2">
        <v>43881</v>
      </c>
      <c r="H240" t="s">
        <v>31</v>
      </c>
      <c r="I240" t="s">
        <v>23</v>
      </c>
      <c r="J240" t="s">
        <v>17</v>
      </c>
      <c r="K240" s="2" t="str">
        <f t="shared" ca="1" si="3"/>
        <v>5 Years</v>
      </c>
      <c r="L240" s="3" cm="1">
        <f t="array" ref="L240">_xlfn.SWITCH(Table13_2[[#This Row],[Performance Score]],"A",6,"B",5,"C",4,"D",3,"E",2,"F",1)</f>
        <v>6</v>
      </c>
    </row>
    <row r="241" spans="1:12" x14ac:dyDescent="0.3">
      <c r="A241" t="s">
        <v>36</v>
      </c>
      <c r="B241">
        <v>25</v>
      </c>
      <c r="C241" s="1">
        <v>65000</v>
      </c>
      <c r="D241" t="s">
        <v>19</v>
      </c>
      <c r="E241" t="s">
        <v>26</v>
      </c>
      <c r="F241" t="s">
        <v>41</v>
      </c>
      <c r="G241" s="2">
        <v>43845</v>
      </c>
      <c r="H241" t="s">
        <v>22</v>
      </c>
      <c r="I241" t="s">
        <v>16</v>
      </c>
      <c r="J241" t="s">
        <v>24</v>
      </c>
      <c r="K241" s="2" t="str">
        <f t="shared" ca="1" si="3"/>
        <v>5 Years</v>
      </c>
      <c r="L241" s="3" cm="1">
        <f t="array" ref="L241">_xlfn.SWITCH(Table13_2[[#This Row],[Performance Score]],"A",6,"B",5,"C",4,"D",3,"E",2,"F",1)</f>
        <v>1</v>
      </c>
    </row>
    <row r="242" spans="1:12" x14ac:dyDescent="0.3">
      <c r="A242" t="s">
        <v>36</v>
      </c>
      <c r="B242">
        <v>30</v>
      </c>
      <c r="C242" s="1">
        <v>60000</v>
      </c>
      <c r="D242" t="s">
        <v>19</v>
      </c>
      <c r="E242" t="s">
        <v>20</v>
      </c>
      <c r="F242" t="s">
        <v>21</v>
      </c>
      <c r="G242" s="2">
        <v>43800</v>
      </c>
      <c r="H242" t="s">
        <v>38</v>
      </c>
      <c r="I242" t="s">
        <v>32</v>
      </c>
      <c r="J242" t="s">
        <v>42</v>
      </c>
      <c r="K242" s="2" t="str">
        <f t="shared" ca="1" si="3"/>
        <v>6 Years</v>
      </c>
      <c r="L242" s="3" cm="1">
        <f t="array" ref="L242">_xlfn.SWITCH(Table13_2[[#This Row],[Performance Score]],"A",6,"B",5,"C",4,"D",3,"E",2,"F",1)</f>
        <v>5</v>
      </c>
    </row>
    <row r="243" spans="1:12" x14ac:dyDescent="0.3">
      <c r="A243" t="s">
        <v>36</v>
      </c>
      <c r="B243">
        <v>40</v>
      </c>
      <c r="C243" s="1">
        <v>70000</v>
      </c>
      <c r="D243" t="s">
        <v>19</v>
      </c>
      <c r="E243" t="s">
        <v>13</v>
      </c>
      <c r="F243" t="s">
        <v>21</v>
      </c>
      <c r="G243" s="2">
        <v>43881</v>
      </c>
      <c r="H243" t="s">
        <v>15</v>
      </c>
      <c r="I243" t="s">
        <v>16</v>
      </c>
      <c r="J243" t="s">
        <v>28</v>
      </c>
      <c r="K243" s="2" t="str">
        <f t="shared" ca="1" si="3"/>
        <v>5 Years</v>
      </c>
      <c r="L243" s="3" cm="1">
        <f t="array" ref="L243">_xlfn.SWITCH(Table13_2[[#This Row],[Performance Score]],"A",6,"B",5,"C",4,"D",3,"E",2,"F",1)</f>
        <v>3</v>
      </c>
    </row>
    <row r="244" spans="1:12" x14ac:dyDescent="0.3">
      <c r="A244" t="s">
        <v>18</v>
      </c>
      <c r="B244">
        <v>36</v>
      </c>
      <c r="C244" s="1">
        <v>51825</v>
      </c>
      <c r="D244" t="s">
        <v>12</v>
      </c>
      <c r="E244" t="s">
        <v>13</v>
      </c>
      <c r="F244" t="s">
        <v>21</v>
      </c>
      <c r="G244" s="2">
        <v>43195</v>
      </c>
      <c r="H244" t="s">
        <v>38</v>
      </c>
      <c r="I244" t="s">
        <v>16</v>
      </c>
      <c r="J244" t="s">
        <v>17</v>
      </c>
      <c r="K244" s="2" t="str">
        <f t="shared" ca="1" si="3"/>
        <v>7 Years</v>
      </c>
      <c r="L244" s="3" cm="1">
        <f t="array" ref="L244">_xlfn.SWITCH(Table13_2[[#This Row],[Performance Score]],"A",6,"B",5,"C",4,"D",3,"E",2,"F",1)</f>
        <v>5</v>
      </c>
    </row>
    <row r="245" spans="1:12" x14ac:dyDescent="0.3">
      <c r="A245" t="s">
        <v>25</v>
      </c>
      <c r="B245">
        <v>50</v>
      </c>
      <c r="C245" s="1">
        <v>55000</v>
      </c>
      <c r="D245" t="s">
        <v>19</v>
      </c>
      <c r="E245" t="s">
        <v>35</v>
      </c>
      <c r="F245" t="s">
        <v>37</v>
      </c>
      <c r="G245" s="2">
        <v>43881</v>
      </c>
      <c r="H245" t="s">
        <v>15</v>
      </c>
      <c r="I245" t="s">
        <v>32</v>
      </c>
      <c r="J245" t="s">
        <v>24</v>
      </c>
      <c r="K245" s="2" t="str">
        <f t="shared" ca="1" si="3"/>
        <v>5 Years</v>
      </c>
      <c r="L245" s="3" cm="1">
        <f t="array" ref="L245">_xlfn.SWITCH(Table13_2[[#This Row],[Performance Score]],"A",6,"B",5,"C",4,"D",3,"E",2,"F",1)</f>
        <v>3</v>
      </c>
    </row>
    <row r="246" spans="1:12" x14ac:dyDescent="0.3">
      <c r="A246" t="s">
        <v>43</v>
      </c>
      <c r="B246">
        <v>30</v>
      </c>
      <c r="C246" s="1">
        <v>60000</v>
      </c>
      <c r="D246" t="s">
        <v>12</v>
      </c>
      <c r="E246" t="s">
        <v>26</v>
      </c>
      <c r="F246" t="s">
        <v>21</v>
      </c>
      <c r="G246" s="2">
        <v>43549</v>
      </c>
      <c r="H246" t="s">
        <v>38</v>
      </c>
      <c r="I246" t="s">
        <v>23</v>
      </c>
      <c r="J246" t="s">
        <v>24</v>
      </c>
      <c r="K246" s="2" t="str">
        <f t="shared" ca="1" si="3"/>
        <v>6 Years</v>
      </c>
      <c r="L246" s="3" cm="1">
        <f t="array" ref="L246">_xlfn.SWITCH(Table13_2[[#This Row],[Performance Score]],"A",6,"B",5,"C",4,"D",3,"E",2,"F",1)</f>
        <v>5</v>
      </c>
    </row>
    <row r="247" spans="1:12" x14ac:dyDescent="0.3">
      <c r="A247" t="s">
        <v>25</v>
      </c>
      <c r="B247">
        <v>50</v>
      </c>
      <c r="C247" s="1">
        <v>51825</v>
      </c>
      <c r="D247" t="s">
        <v>12</v>
      </c>
      <c r="E247" t="s">
        <v>13</v>
      </c>
      <c r="F247" t="s">
        <v>21</v>
      </c>
      <c r="G247" s="2">
        <v>43881</v>
      </c>
      <c r="H247" t="s">
        <v>15</v>
      </c>
      <c r="I247" t="s">
        <v>32</v>
      </c>
      <c r="J247" t="s">
        <v>24</v>
      </c>
      <c r="K247" s="2" t="str">
        <f t="shared" ca="1" si="3"/>
        <v>5 Years</v>
      </c>
      <c r="L247" s="3" cm="1">
        <f t="array" ref="L247">_xlfn.SWITCH(Table13_2[[#This Row],[Performance Score]],"A",6,"B",5,"C",4,"D",3,"E",2,"F",1)</f>
        <v>3</v>
      </c>
    </row>
    <row r="248" spans="1:12" x14ac:dyDescent="0.3">
      <c r="A248" t="s">
        <v>45</v>
      </c>
      <c r="B248">
        <v>30</v>
      </c>
      <c r="C248" s="1">
        <v>65000</v>
      </c>
      <c r="D248" t="s">
        <v>19</v>
      </c>
      <c r="E248" t="s">
        <v>13</v>
      </c>
      <c r="F248" t="s">
        <v>21</v>
      </c>
      <c r="G248" s="2">
        <v>43549</v>
      </c>
      <c r="H248" t="s">
        <v>27</v>
      </c>
      <c r="I248" t="s">
        <v>39</v>
      </c>
      <c r="J248" t="s">
        <v>28</v>
      </c>
      <c r="K248" s="2" t="str">
        <f t="shared" ca="1" si="3"/>
        <v>6 Years</v>
      </c>
      <c r="L248" s="3" cm="1">
        <f t="array" ref="L248">_xlfn.SWITCH(Table13_2[[#This Row],[Performance Score]],"A",6,"B",5,"C",4,"D",3,"E",2,"F",1)</f>
        <v>4</v>
      </c>
    </row>
    <row r="249" spans="1:12" x14ac:dyDescent="0.3">
      <c r="A249" t="s">
        <v>25</v>
      </c>
      <c r="B249">
        <v>36</v>
      </c>
      <c r="C249" s="1">
        <v>70000</v>
      </c>
      <c r="D249" t="s">
        <v>19</v>
      </c>
      <c r="E249" t="s">
        <v>20</v>
      </c>
      <c r="F249" t="s">
        <v>14</v>
      </c>
      <c r="G249" s="2">
        <v>43881</v>
      </c>
      <c r="H249" t="s">
        <v>31</v>
      </c>
      <c r="I249" t="s">
        <v>39</v>
      </c>
      <c r="J249" t="s">
        <v>24</v>
      </c>
      <c r="K249" s="2" t="str">
        <f t="shared" ca="1" si="3"/>
        <v>5 Years</v>
      </c>
      <c r="L249" s="3" cm="1">
        <f t="array" ref="L249">_xlfn.SWITCH(Table13_2[[#This Row],[Performance Score]],"A",6,"B",5,"C",4,"D",3,"E",2,"F",1)</f>
        <v>6</v>
      </c>
    </row>
    <row r="250" spans="1:12" x14ac:dyDescent="0.3">
      <c r="A250" t="s">
        <v>18</v>
      </c>
      <c r="B250">
        <v>50</v>
      </c>
      <c r="C250" s="1">
        <v>55000</v>
      </c>
      <c r="D250" t="s">
        <v>34</v>
      </c>
      <c r="E250" t="s">
        <v>30</v>
      </c>
      <c r="F250" t="s">
        <v>37</v>
      </c>
      <c r="G250" s="2">
        <v>43549</v>
      </c>
      <c r="H250" t="s">
        <v>27</v>
      </c>
      <c r="I250" t="s">
        <v>39</v>
      </c>
      <c r="J250" t="s">
        <v>17</v>
      </c>
      <c r="K250" s="2" t="str">
        <f t="shared" ca="1" si="3"/>
        <v>6 Years</v>
      </c>
      <c r="L250" s="3" cm="1">
        <f t="array" ref="L250">_xlfn.SWITCH(Table13_2[[#This Row],[Performance Score]],"A",6,"B",5,"C",4,"D",3,"E",2,"F",1)</f>
        <v>4</v>
      </c>
    </row>
    <row r="251" spans="1:12" x14ac:dyDescent="0.3">
      <c r="A251" t="s">
        <v>45</v>
      </c>
      <c r="B251">
        <v>35</v>
      </c>
      <c r="C251" s="1">
        <v>60000</v>
      </c>
      <c r="D251" t="s">
        <v>34</v>
      </c>
      <c r="E251" t="s">
        <v>35</v>
      </c>
      <c r="F251" t="s">
        <v>41</v>
      </c>
      <c r="G251" s="2">
        <v>43195</v>
      </c>
      <c r="H251" t="s">
        <v>31</v>
      </c>
      <c r="I251" t="s">
        <v>39</v>
      </c>
      <c r="J251" t="s">
        <v>17</v>
      </c>
      <c r="K251" s="2" t="str">
        <f t="shared" ca="1" si="3"/>
        <v>7 Years</v>
      </c>
      <c r="L251" s="3" cm="1">
        <f t="array" ref="L251">_xlfn.SWITCH(Table13_2[[#This Row],[Performance Score]],"A",6,"B",5,"C",4,"D",3,"E",2,"F",1)</f>
        <v>6</v>
      </c>
    </row>
    <row r="252" spans="1:12" x14ac:dyDescent="0.3">
      <c r="A252" t="s">
        <v>25</v>
      </c>
      <c r="B252">
        <v>25</v>
      </c>
      <c r="C252" s="1">
        <v>49144.385026737968</v>
      </c>
      <c r="D252" t="s">
        <v>19</v>
      </c>
      <c r="E252" t="s">
        <v>35</v>
      </c>
      <c r="F252" t="s">
        <v>14</v>
      </c>
      <c r="G252" s="2">
        <v>43800</v>
      </c>
      <c r="H252" t="s">
        <v>27</v>
      </c>
      <c r="I252" t="s">
        <v>23</v>
      </c>
      <c r="J252" t="s">
        <v>24</v>
      </c>
      <c r="K252" s="2" t="str">
        <f t="shared" ca="1" si="3"/>
        <v>6 Years</v>
      </c>
      <c r="L252" s="3" cm="1">
        <f t="array" ref="L252">_xlfn.SWITCH(Table13_2[[#This Row],[Performance Score]],"A",6,"B",5,"C",4,"D",3,"E",2,"F",1)</f>
        <v>4</v>
      </c>
    </row>
    <row r="253" spans="1:12" x14ac:dyDescent="0.3">
      <c r="A253" t="s">
        <v>18</v>
      </c>
      <c r="B253">
        <v>35</v>
      </c>
      <c r="C253" s="1">
        <v>50777.202072538857</v>
      </c>
      <c r="D253" t="s">
        <v>12</v>
      </c>
      <c r="E253" t="s">
        <v>30</v>
      </c>
      <c r="F253" t="s">
        <v>40</v>
      </c>
      <c r="G253" s="2">
        <v>43549</v>
      </c>
      <c r="H253" t="s">
        <v>27</v>
      </c>
      <c r="I253" t="s">
        <v>23</v>
      </c>
      <c r="J253" t="s">
        <v>17</v>
      </c>
      <c r="K253" s="2" t="str">
        <f t="shared" ca="1" si="3"/>
        <v>6 Years</v>
      </c>
      <c r="L253" s="3" cm="1">
        <f t="array" ref="L253">_xlfn.SWITCH(Table13_2[[#This Row],[Performance Score]],"A",6,"B",5,"C",4,"D",3,"E",2,"F",1)</f>
        <v>4</v>
      </c>
    </row>
    <row r="254" spans="1:12" x14ac:dyDescent="0.3">
      <c r="A254" t="s">
        <v>43</v>
      </c>
      <c r="B254">
        <v>40</v>
      </c>
      <c r="C254" s="1">
        <v>55000</v>
      </c>
      <c r="D254" t="s">
        <v>12</v>
      </c>
      <c r="E254" t="s">
        <v>13</v>
      </c>
      <c r="F254" t="s">
        <v>37</v>
      </c>
      <c r="G254" s="2">
        <v>43549</v>
      </c>
      <c r="H254" t="s">
        <v>38</v>
      </c>
      <c r="I254" t="s">
        <v>39</v>
      </c>
      <c r="J254" t="s">
        <v>17</v>
      </c>
      <c r="K254" s="2" t="str">
        <f t="shared" ca="1" si="3"/>
        <v>6 Years</v>
      </c>
      <c r="L254" s="3" cm="1">
        <f t="array" ref="L254">_xlfn.SWITCH(Table13_2[[#This Row],[Performance Score]],"A",6,"B",5,"C",4,"D",3,"E",2,"F",1)</f>
        <v>5</v>
      </c>
    </row>
    <row r="255" spans="1:12" x14ac:dyDescent="0.3">
      <c r="A255" t="s">
        <v>25</v>
      </c>
      <c r="B255">
        <v>36</v>
      </c>
      <c r="C255" s="1">
        <v>65000</v>
      </c>
      <c r="D255" t="s">
        <v>12</v>
      </c>
      <c r="E255" t="s">
        <v>20</v>
      </c>
      <c r="F255" t="s">
        <v>37</v>
      </c>
      <c r="G255" s="2">
        <v>43195</v>
      </c>
      <c r="H255" t="s">
        <v>22</v>
      </c>
      <c r="I255" t="s">
        <v>16</v>
      </c>
      <c r="J255" t="s">
        <v>17</v>
      </c>
      <c r="K255" s="2" t="str">
        <f t="shared" ca="1" si="3"/>
        <v>7 Years</v>
      </c>
      <c r="L255" s="3" cm="1">
        <f t="array" ref="L255">_xlfn.SWITCH(Table13_2[[#This Row],[Performance Score]],"A",6,"B",5,"C",4,"D",3,"E",2,"F",1)</f>
        <v>1</v>
      </c>
    </row>
    <row r="256" spans="1:12" x14ac:dyDescent="0.3">
      <c r="A256" t="s">
        <v>18</v>
      </c>
      <c r="B256">
        <v>35</v>
      </c>
      <c r="C256" s="1">
        <v>55000</v>
      </c>
      <c r="D256" t="s">
        <v>12</v>
      </c>
      <c r="E256" t="s">
        <v>20</v>
      </c>
      <c r="F256" t="s">
        <v>40</v>
      </c>
      <c r="G256" s="2">
        <v>43549</v>
      </c>
      <c r="H256" t="s">
        <v>15</v>
      </c>
      <c r="I256" t="s">
        <v>39</v>
      </c>
      <c r="J256" t="s">
        <v>24</v>
      </c>
      <c r="K256" s="2" t="str">
        <f t="shared" ca="1" si="3"/>
        <v>6 Years</v>
      </c>
      <c r="L256" s="3" cm="1">
        <f t="array" ref="L256">_xlfn.SWITCH(Table13_2[[#This Row],[Performance Score]],"A",6,"B",5,"C",4,"D",3,"E",2,"F",1)</f>
        <v>3</v>
      </c>
    </row>
    <row r="257" spans="1:12" x14ac:dyDescent="0.3">
      <c r="A257" t="s">
        <v>36</v>
      </c>
      <c r="B257">
        <v>30</v>
      </c>
      <c r="C257" s="1">
        <v>49144.385026737968</v>
      </c>
      <c r="D257" t="s">
        <v>12</v>
      </c>
      <c r="E257" t="s">
        <v>35</v>
      </c>
      <c r="F257" t="s">
        <v>40</v>
      </c>
      <c r="G257" s="2">
        <v>43845</v>
      </c>
      <c r="H257" t="s">
        <v>15</v>
      </c>
      <c r="I257" t="s">
        <v>39</v>
      </c>
      <c r="J257" t="s">
        <v>42</v>
      </c>
      <c r="K257" s="2" t="str">
        <f t="shared" ca="1" si="3"/>
        <v>5 Years</v>
      </c>
      <c r="L257" s="3" cm="1">
        <f t="array" ref="L257">_xlfn.SWITCH(Table13_2[[#This Row],[Performance Score]],"A",6,"B",5,"C",4,"D",3,"E",2,"F",1)</f>
        <v>3</v>
      </c>
    </row>
    <row r="258" spans="1:12" x14ac:dyDescent="0.3">
      <c r="A258" t="s">
        <v>46</v>
      </c>
      <c r="B258">
        <v>40</v>
      </c>
      <c r="C258" s="1">
        <v>50000</v>
      </c>
      <c r="D258" t="s">
        <v>34</v>
      </c>
      <c r="E258" t="s">
        <v>20</v>
      </c>
      <c r="F258" t="s">
        <v>40</v>
      </c>
      <c r="G258" s="2">
        <v>43195</v>
      </c>
      <c r="H258" t="s">
        <v>15</v>
      </c>
      <c r="I258" t="s">
        <v>16</v>
      </c>
      <c r="J258" t="s">
        <v>17</v>
      </c>
      <c r="K258" s="2" t="str">
        <f t="shared" ca="1" si="3"/>
        <v>7 Years</v>
      </c>
      <c r="L258" s="3" cm="1">
        <f t="array" ref="L258">_xlfn.SWITCH(Table13_2[[#This Row],[Performance Score]],"A",6,"B",5,"C",4,"D",3,"E",2,"F",1)</f>
        <v>3</v>
      </c>
    </row>
    <row r="259" spans="1:12" x14ac:dyDescent="0.3">
      <c r="A259" t="s">
        <v>36</v>
      </c>
      <c r="B259">
        <v>40</v>
      </c>
      <c r="C259" s="1">
        <v>60000</v>
      </c>
      <c r="D259" t="s">
        <v>19</v>
      </c>
      <c r="E259" t="s">
        <v>30</v>
      </c>
      <c r="F259" t="s">
        <v>41</v>
      </c>
      <c r="G259" s="2">
        <v>43845</v>
      </c>
      <c r="H259" t="s">
        <v>31</v>
      </c>
      <c r="I259" t="s">
        <v>32</v>
      </c>
      <c r="J259" t="s">
        <v>28</v>
      </c>
      <c r="K259" s="2" t="str">
        <f t="shared" ref="K259:K322" ca="1" si="4">DATEDIF(G259,TODAY(),"Y") &amp; " Years"</f>
        <v>5 Years</v>
      </c>
      <c r="L259" s="3" cm="1">
        <f t="array" ref="L259">_xlfn.SWITCH(Table13_2[[#This Row],[Performance Score]],"A",6,"B",5,"C",4,"D",3,"E",2,"F",1)</f>
        <v>6</v>
      </c>
    </row>
    <row r="260" spans="1:12" x14ac:dyDescent="0.3">
      <c r="A260" t="s">
        <v>46</v>
      </c>
      <c r="B260">
        <v>35</v>
      </c>
      <c r="C260" s="1">
        <v>55000</v>
      </c>
      <c r="D260" t="s">
        <v>34</v>
      </c>
      <c r="E260" t="s">
        <v>13</v>
      </c>
      <c r="F260" t="s">
        <v>21</v>
      </c>
      <c r="G260" s="2">
        <v>43195</v>
      </c>
      <c r="H260" t="s">
        <v>15</v>
      </c>
      <c r="I260" t="s">
        <v>32</v>
      </c>
      <c r="J260" t="s">
        <v>24</v>
      </c>
      <c r="K260" s="2" t="str">
        <f t="shared" ca="1" si="4"/>
        <v>7 Years</v>
      </c>
      <c r="L260" s="3" cm="1">
        <f t="array" ref="L260">_xlfn.SWITCH(Table13_2[[#This Row],[Performance Score]],"A",6,"B",5,"C",4,"D",3,"E",2,"F",1)</f>
        <v>3</v>
      </c>
    </row>
    <row r="261" spans="1:12" x14ac:dyDescent="0.3">
      <c r="A261" t="s">
        <v>44</v>
      </c>
      <c r="B261">
        <v>35</v>
      </c>
      <c r="C261" s="1">
        <v>50777.202072538857</v>
      </c>
      <c r="D261" t="s">
        <v>12</v>
      </c>
      <c r="E261" t="s">
        <v>30</v>
      </c>
      <c r="F261" t="s">
        <v>37</v>
      </c>
      <c r="G261" s="2">
        <v>43549</v>
      </c>
      <c r="H261" t="s">
        <v>15</v>
      </c>
      <c r="I261" t="s">
        <v>23</v>
      </c>
      <c r="J261" t="s">
        <v>28</v>
      </c>
      <c r="K261" s="2" t="str">
        <f t="shared" ca="1" si="4"/>
        <v>6 Years</v>
      </c>
      <c r="L261" s="3" cm="1">
        <f t="array" ref="L261">_xlfn.SWITCH(Table13_2[[#This Row],[Performance Score]],"A",6,"B",5,"C",4,"D",3,"E",2,"F",1)</f>
        <v>3</v>
      </c>
    </row>
    <row r="262" spans="1:12" x14ac:dyDescent="0.3">
      <c r="A262" t="s">
        <v>44</v>
      </c>
      <c r="B262">
        <v>36</v>
      </c>
      <c r="C262" s="1">
        <v>65000</v>
      </c>
      <c r="D262" t="s">
        <v>12</v>
      </c>
      <c r="E262" t="s">
        <v>26</v>
      </c>
      <c r="F262" t="s">
        <v>21</v>
      </c>
      <c r="G262" s="2">
        <v>43845</v>
      </c>
      <c r="H262" t="s">
        <v>38</v>
      </c>
      <c r="I262" t="s">
        <v>39</v>
      </c>
      <c r="J262" t="s">
        <v>42</v>
      </c>
      <c r="K262" s="2" t="str">
        <f t="shared" ca="1" si="4"/>
        <v>5 Years</v>
      </c>
      <c r="L262" s="3" cm="1">
        <f t="array" ref="L262">_xlfn.SWITCH(Table13_2[[#This Row],[Performance Score]],"A",6,"B",5,"C",4,"D",3,"E",2,"F",1)</f>
        <v>5</v>
      </c>
    </row>
    <row r="263" spans="1:12" x14ac:dyDescent="0.3">
      <c r="A263" t="s">
        <v>44</v>
      </c>
      <c r="B263">
        <v>25</v>
      </c>
      <c r="C263" s="1">
        <v>49144.385026737968</v>
      </c>
      <c r="D263" t="s">
        <v>12</v>
      </c>
      <c r="E263" t="s">
        <v>35</v>
      </c>
      <c r="F263" t="s">
        <v>21</v>
      </c>
      <c r="G263" s="2">
        <v>43549</v>
      </c>
      <c r="H263" t="s">
        <v>27</v>
      </c>
      <c r="I263" t="s">
        <v>23</v>
      </c>
      <c r="J263" t="s">
        <v>28</v>
      </c>
      <c r="K263" s="2" t="str">
        <f t="shared" ca="1" si="4"/>
        <v>6 Years</v>
      </c>
      <c r="L263" s="3" cm="1">
        <f t="array" ref="L263">_xlfn.SWITCH(Table13_2[[#This Row],[Performance Score]],"A",6,"B",5,"C",4,"D",3,"E",2,"F",1)</f>
        <v>4</v>
      </c>
    </row>
    <row r="264" spans="1:12" x14ac:dyDescent="0.3">
      <c r="A264" t="s">
        <v>43</v>
      </c>
      <c r="B264">
        <v>35</v>
      </c>
      <c r="C264" s="1">
        <v>65000</v>
      </c>
      <c r="D264" t="s">
        <v>12</v>
      </c>
      <c r="E264" t="s">
        <v>20</v>
      </c>
      <c r="F264" t="s">
        <v>40</v>
      </c>
      <c r="G264" s="2">
        <v>43195</v>
      </c>
      <c r="H264" t="s">
        <v>15</v>
      </c>
      <c r="I264" t="s">
        <v>32</v>
      </c>
      <c r="J264" t="s">
        <v>24</v>
      </c>
      <c r="K264" s="2" t="str">
        <f t="shared" ca="1" si="4"/>
        <v>7 Years</v>
      </c>
      <c r="L264" s="3" cm="1">
        <f t="array" ref="L264">_xlfn.SWITCH(Table13_2[[#This Row],[Performance Score]],"A",6,"B",5,"C",4,"D",3,"E",2,"F",1)</f>
        <v>3</v>
      </c>
    </row>
    <row r="265" spans="1:12" x14ac:dyDescent="0.3">
      <c r="A265" t="s">
        <v>36</v>
      </c>
      <c r="B265">
        <v>35</v>
      </c>
      <c r="C265" s="1">
        <v>55000</v>
      </c>
      <c r="D265" t="s">
        <v>19</v>
      </c>
      <c r="E265" t="s">
        <v>26</v>
      </c>
      <c r="F265" t="s">
        <v>41</v>
      </c>
      <c r="G265" s="2">
        <v>43549</v>
      </c>
      <c r="H265" t="s">
        <v>22</v>
      </c>
      <c r="I265" t="s">
        <v>16</v>
      </c>
      <c r="J265" t="s">
        <v>24</v>
      </c>
      <c r="K265" s="2" t="str">
        <f t="shared" ca="1" si="4"/>
        <v>6 Years</v>
      </c>
      <c r="L265" s="3" cm="1">
        <f t="array" ref="L265">_xlfn.SWITCH(Table13_2[[#This Row],[Performance Score]],"A",6,"B",5,"C",4,"D",3,"E",2,"F",1)</f>
        <v>1</v>
      </c>
    </row>
    <row r="266" spans="1:12" x14ac:dyDescent="0.3">
      <c r="A266" t="s">
        <v>46</v>
      </c>
      <c r="B266">
        <v>50</v>
      </c>
      <c r="C266" s="1">
        <v>65000</v>
      </c>
      <c r="D266" t="s">
        <v>12</v>
      </c>
      <c r="E266" t="s">
        <v>20</v>
      </c>
      <c r="F266" t="s">
        <v>14</v>
      </c>
      <c r="G266" s="2">
        <v>43845</v>
      </c>
      <c r="H266" t="s">
        <v>15</v>
      </c>
      <c r="I266" t="s">
        <v>23</v>
      </c>
      <c r="J266" t="s">
        <v>42</v>
      </c>
      <c r="K266" s="2" t="str">
        <f t="shared" ca="1" si="4"/>
        <v>5 Years</v>
      </c>
      <c r="L266" s="3" cm="1">
        <f t="array" ref="L266">_xlfn.SWITCH(Table13_2[[#This Row],[Performance Score]],"A",6,"B",5,"C",4,"D",3,"E",2,"F",1)</f>
        <v>3</v>
      </c>
    </row>
    <row r="267" spans="1:12" x14ac:dyDescent="0.3">
      <c r="A267" t="s">
        <v>18</v>
      </c>
      <c r="B267">
        <v>30</v>
      </c>
      <c r="C267" s="1">
        <v>70000</v>
      </c>
      <c r="D267" t="s">
        <v>19</v>
      </c>
      <c r="E267" t="s">
        <v>13</v>
      </c>
      <c r="F267" t="s">
        <v>41</v>
      </c>
      <c r="G267" s="2">
        <v>43845</v>
      </c>
      <c r="H267" t="s">
        <v>31</v>
      </c>
      <c r="I267" t="s">
        <v>39</v>
      </c>
      <c r="J267" t="s">
        <v>24</v>
      </c>
      <c r="K267" s="2" t="str">
        <f t="shared" ca="1" si="4"/>
        <v>5 Years</v>
      </c>
      <c r="L267" s="3" cm="1">
        <f t="array" ref="L267">_xlfn.SWITCH(Table13_2[[#This Row],[Performance Score]],"A",6,"B",5,"C",4,"D",3,"E",2,"F",1)</f>
        <v>6</v>
      </c>
    </row>
    <row r="268" spans="1:12" x14ac:dyDescent="0.3">
      <c r="A268" t="s">
        <v>45</v>
      </c>
      <c r="B268">
        <v>50</v>
      </c>
      <c r="C268" s="1">
        <v>70000</v>
      </c>
      <c r="D268" t="s">
        <v>12</v>
      </c>
      <c r="E268" t="s">
        <v>13</v>
      </c>
      <c r="F268" t="s">
        <v>21</v>
      </c>
      <c r="G268" s="2">
        <v>43549</v>
      </c>
      <c r="H268" t="s">
        <v>31</v>
      </c>
      <c r="I268" t="s">
        <v>39</v>
      </c>
      <c r="J268" t="s">
        <v>42</v>
      </c>
      <c r="K268" s="2" t="str">
        <f t="shared" ca="1" si="4"/>
        <v>6 Years</v>
      </c>
      <c r="L268" s="3" cm="1">
        <f t="array" ref="L268">_xlfn.SWITCH(Table13_2[[#This Row],[Performance Score]],"A",6,"B",5,"C",4,"D",3,"E",2,"F",1)</f>
        <v>6</v>
      </c>
    </row>
    <row r="269" spans="1:12" x14ac:dyDescent="0.3">
      <c r="A269" t="s">
        <v>18</v>
      </c>
      <c r="B269">
        <v>50</v>
      </c>
      <c r="C269" s="1">
        <v>70000</v>
      </c>
      <c r="D269" t="s">
        <v>19</v>
      </c>
      <c r="E269" t="s">
        <v>13</v>
      </c>
      <c r="F269" t="s">
        <v>41</v>
      </c>
      <c r="G269" s="2">
        <v>43881</v>
      </c>
      <c r="H269" t="s">
        <v>31</v>
      </c>
      <c r="I269" t="s">
        <v>16</v>
      </c>
      <c r="J269" t="s">
        <v>42</v>
      </c>
      <c r="K269" s="2" t="str">
        <f t="shared" ca="1" si="4"/>
        <v>5 Years</v>
      </c>
      <c r="L269" s="3" cm="1">
        <f t="array" ref="L269">_xlfn.SWITCH(Table13_2[[#This Row],[Performance Score]],"A",6,"B",5,"C",4,"D",3,"E",2,"F",1)</f>
        <v>6</v>
      </c>
    </row>
    <row r="270" spans="1:12" x14ac:dyDescent="0.3">
      <c r="A270" t="s">
        <v>45</v>
      </c>
      <c r="B270">
        <v>40</v>
      </c>
      <c r="C270" s="1">
        <v>50000</v>
      </c>
      <c r="D270" t="s">
        <v>34</v>
      </c>
      <c r="E270" t="s">
        <v>20</v>
      </c>
      <c r="F270" t="s">
        <v>40</v>
      </c>
      <c r="G270" s="2">
        <v>43195</v>
      </c>
      <c r="H270" t="s">
        <v>15</v>
      </c>
      <c r="I270" t="s">
        <v>32</v>
      </c>
      <c r="J270" t="s">
        <v>24</v>
      </c>
      <c r="K270" s="2" t="str">
        <f t="shared" ca="1" si="4"/>
        <v>7 Years</v>
      </c>
      <c r="L270" s="3" cm="1">
        <f t="array" ref="L270">_xlfn.SWITCH(Table13_2[[#This Row],[Performance Score]],"A",6,"B",5,"C",4,"D",3,"E",2,"F",1)</f>
        <v>3</v>
      </c>
    </row>
    <row r="271" spans="1:12" x14ac:dyDescent="0.3">
      <c r="A271" t="s">
        <v>29</v>
      </c>
      <c r="B271">
        <v>25</v>
      </c>
      <c r="C271" s="1">
        <v>55000</v>
      </c>
      <c r="D271" t="s">
        <v>12</v>
      </c>
      <c r="E271" t="s">
        <v>26</v>
      </c>
      <c r="F271" t="s">
        <v>14</v>
      </c>
      <c r="G271" s="2">
        <v>43195</v>
      </c>
      <c r="H271" t="s">
        <v>38</v>
      </c>
      <c r="I271" t="s">
        <v>39</v>
      </c>
      <c r="J271" t="s">
        <v>17</v>
      </c>
      <c r="K271" s="2" t="str">
        <f t="shared" ca="1" si="4"/>
        <v>7 Years</v>
      </c>
      <c r="L271" s="3" cm="1">
        <f t="array" ref="L271">_xlfn.SWITCH(Table13_2[[#This Row],[Performance Score]],"A",6,"B",5,"C",4,"D",3,"E",2,"F",1)</f>
        <v>5</v>
      </c>
    </row>
    <row r="272" spans="1:12" x14ac:dyDescent="0.3">
      <c r="A272" t="s">
        <v>18</v>
      </c>
      <c r="B272">
        <v>30</v>
      </c>
      <c r="C272" s="1">
        <v>51825</v>
      </c>
      <c r="D272" t="s">
        <v>19</v>
      </c>
      <c r="E272" t="s">
        <v>13</v>
      </c>
      <c r="F272" t="s">
        <v>40</v>
      </c>
      <c r="G272" s="2">
        <v>43549</v>
      </c>
      <c r="H272" t="s">
        <v>22</v>
      </c>
      <c r="I272" t="s">
        <v>39</v>
      </c>
      <c r="J272" t="s">
        <v>42</v>
      </c>
      <c r="K272" s="2" t="str">
        <f t="shared" ca="1" si="4"/>
        <v>6 Years</v>
      </c>
      <c r="L272" s="3" cm="1">
        <f t="array" ref="L272">_xlfn.SWITCH(Table13_2[[#This Row],[Performance Score]],"A",6,"B",5,"C",4,"D",3,"E",2,"F",1)</f>
        <v>1</v>
      </c>
    </row>
    <row r="273" spans="1:12" x14ac:dyDescent="0.3">
      <c r="A273" t="s">
        <v>25</v>
      </c>
      <c r="B273">
        <v>36</v>
      </c>
      <c r="C273" s="1">
        <v>50742.574257425746</v>
      </c>
      <c r="D273" t="s">
        <v>34</v>
      </c>
      <c r="E273" t="s">
        <v>26</v>
      </c>
      <c r="F273" t="s">
        <v>14</v>
      </c>
      <c r="G273" s="2">
        <v>43881</v>
      </c>
      <c r="H273" t="s">
        <v>15</v>
      </c>
      <c r="I273" t="s">
        <v>39</v>
      </c>
      <c r="J273" t="s">
        <v>24</v>
      </c>
      <c r="K273" s="2" t="str">
        <f t="shared" ca="1" si="4"/>
        <v>5 Years</v>
      </c>
      <c r="L273" s="3" cm="1">
        <f t="array" ref="L273">_xlfn.SWITCH(Table13_2[[#This Row],[Performance Score]],"A",6,"B",5,"C",4,"D",3,"E",2,"F",1)</f>
        <v>3</v>
      </c>
    </row>
    <row r="274" spans="1:12" x14ac:dyDescent="0.3">
      <c r="A274" t="s">
        <v>25</v>
      </c>
      <c r="B274">
        <v>36</v>
      </c>
      <c r="C274" s="1">
        <v>50000</v>
      </c>
      <c r="D274" t="s">
        <v>12</v>
      </c>
      <c r="E274" t="s">
        <v>20</v>
      </c>
      <c r="F274" t="s">
        <v>21</v>
      </c>
      <c r="G274" s="2">
        <v>43845</v>
      </c>
      <c r="H274" t="s">
        <v>38</v>
      </c>
      <c r="I274" t="s">
        <v>23</v>
      </c>
      <c r="J274" t="s">
        <v>17</v>
      </c>
      <c r="K274" s="2" t="str">
        <f t="shared" ca="1" si="4"/>
        <v>5 Years</v>
      </c>
      <c r="L274" s="3" cm="1">
        <f t="array" ref="L274">_xlfn.SWITCH(Table13_2[[#This Row],[Performance Score]],"A",6,"B",5,"C",4,"D",3,"E",2,"F",1)</f>
        <v>5</v>
      </c>
    </row>
    <row r="275" spans="1:12" x14ac:dyDescent="0.3">
      <c r="A275" t="s">
        <v>11</v>
      </c>
      <c r="B275">
        <v>35</v>
      </c>
      <c r="C275" s="1">
        <v>65000</v>
      </c>
      <c r="D275" t="s">
        <v>12</v>
      </c>
      <c r="E275" t="s">
        <v>26</v>
      </c>
      <c r="F275" t="s">
        <v>14</v>
      </c>
      <c r="G275" s="2">
        <v>43800</v>
      </c>
      <c r="H275" t="s">
        <v>38</v>
      </c>
      <c r="I275" t="s">
        <v>32</v>
      </c>
      <c r="J275" t="s">
        <v>42</v>
      </c>
      <c r="K275" s="2" t="str">
        <f t="shared" ca="1" si="4"/>
        <v>6 Years</v>
      </c>
      <c r="L275" s="3" cm="1">
        <f t="array" ref="L275">_xlfn.SWITCH(Table13_2[[#This Row],[Performance Score]],"A",6,"B",5,"C",4,"D",3,"E",2,"F",1)</f>
        <v>5</v>
      </c>
    </row>
    <row r="276" spans="1:12" x14ac:dyDescent="0.3">
      <c r="A276" t="s">
        <v>36</v>
      </c>
      <c r="B276">
        <v>35</v>
      </c>
      <c r="C276" s="1">
        <v>50000</v>
      </c>
      <c r="D276" t="s">
        <v>12</v>
      </c>
      <c r="E276" t="s">
        <v>20</v>
      </c>
      <c r="F276" t="s">
        <v>14</v>
      </c>
      <c r="G276" s="2">
        <v>43800</v>
      </c>
      <c r="H276" t="s">
        <v>15</v>
      </c>
      <c r="I276" t="s">
        <v>23</v>
      </c>
      <c r="J276" t="s">
        <v>17</v>
      </c>
      <c r="K276" s="2" t="str">
        <f t="shared" ca="1" si="4"/>
        <v>6 Years</v>
      </c>
      <c r="L276" s="3" cm="1">
        <f t="array" ref="L276">_xlfn.SWITCH(Table13_2[[#This Row],[Performance Score]],"A",6,"B",5,"C",4,"D",3,"E",2,"F",1)</f>
        <v>3</v>
      </c>
    </row>
    <row r="277" spans="1:12" x14ac:dyDescent="0.3">
      <c r="A277" t="s">
        <v>45</v>
      </c>
      <c r="B277">
        <v>36</v>
      </c>
      <c r="C277" s="1">
        <v>65000</v>
      </c>
      <c r="D277" t="s">
        <v>19</v>
      </c>
      <c r="E277" t="s">
        <v>20</v>
      </c>
      <c r="F277" t="s">
        <v>14</v>
      </c>
      <c r="G277" s="2">
        <v>43549</v>
      </c>
      <c r="H277" t="s">
        <v>15</v>
      </c>
      <c r="I277" t="s">
        <v>32</v>
      </c>
      <c r="J277" t="s">
        <v>17</v>
      </c>
      <c r="K277" s="2" t="str">
        <f t="shared" ca="1" si="4"/>
        <v>6 Years</v>
      </c>
      <c r="L277" s="3" cm="1">
        <f t="array" ref="L277">_xlfn.SWITCH(Table13_2[[#This Row],[Performance Score]],"A",6,"B",5,"C",4,"D",3,"E",2,"F",1)</f>
        <v>3</v>
      </c>
    </row>
    <row r="278" spans="1:12" x14ac:dyDescent="0.3">
      <c r="A278" t="s">
        <v>45</v>
      </c>
      <c r="B278">
        <v>35</v>
      </c>
      <c r="C278" s="1">
        <v>65000</v>
      </c>
      <c r="D278" t="s">
        <v>19</v>
      </c>
      <c r="E278" t="s">
        <v>35</v>
      </c>
      <c r="F278" t="s">
        <v>41</v>
      </c>
      <c r="G278" s="2">
        <v>43881</v>
      </c>
      <c r="H278" t="s">
        <v>38</v>
      </c>
      <c r="I278" t="s">
        <v>39</v>
      </c>
      <c r="J278" t="s">
        <v>17</v>
      </c>
      <c r="K278" s="2" t="str">
        <f t="shared" ca="1" si="4"/>
        <v>5 Years</v>
      </c>
      <c r="L278" s="3" cm="1">
        <f t="array" ref="L278">_xlfn.SWITCH(Table13_2[[#This Row],[Performance Score]],"A",6,"B",5,"C",4,"D",3,"E",2,"F",1)</f>
        <v>5</v>
      </c>
    </row>
    <row r="279" spans="1:12" x14ac:dyDescent="0.3">
      <c r="A279" t="s">
        <v>36</v>
      </c>
      <c r="B279">
        <v>25</v>
      </c>
      <c r="C279" s="1">
        <v>60000</v>
      </c>
      <c r="D279" t="s">
        <v>34</v>
      </c>
      <c r="E279" t="s">
        <v>20</v>
      </c>
      <c r="F279" t="s">
        <v>41</v>
      </c>
      <c r="G279" s="2">
        <v>43881</v>
      </c>
      <c r="H279" t="s">
        <v>38</v>
      </c>
      <c r="I279" t="s">
        <v>39</v>
      </c>
      <c r="J279" t="s">
        <v>17</v>
      </c>
      <c r="K279" s="2" t="str">
        <f t="shared" ca="1" si="4"/>
        <v>5 Years</v>
      </c>
      <c r="L279" s="3" cm="1">
        <f t="array" ref="L279">_xlfn.SWITCH(Table13_2[[#This Row],[Performance Score]],"A",6,"B",5,"C",4,"D",3,"E",2,"F",1)</f>
        <v>5</v>
      </c>
    </row>
    <row r="280" spans="1:12" x14ac:dyDescent="0.3">
      <c r="A280" t="s">
        <v>43</v>
      </c>
      <c r="B280">
        <v>50</v>
      </c>
      <c r="C280" s="1">
        <v>48417.431192660551</v>
      </c>
      <c r="D280" t="s">
        <v>19</v>
      </c>
      <c r="E280" t="s">
        <v>20</v>
      </c>
      <c r="F280" t="s">
        <v>21</v>
      </c>
      <c r="G280" s="2">
        <v>43195</v>
      </c>
      <c r="H280" t="s">
        <v>38</v>
      </c>
      <c r="I280" t="s">
        <v>23</v>
      </c>
      <c r="J280" t="s">
        <v>42</v>
      </c>
      <c r="K280" s="2" t="str">
        <f t="shared" ca="1" si="4"/>
        <v>7 Years</v>
      </c>
      <c r="L280" s="3" cm="1">
        <f t="array" ref="L280">_xlfn.SWITCH(Table13_2[[#This Row],[Performance Score]],"A",6,"B",5,"C",4,"D",3,"E",2,"F",1)</f>
        <v>5</v>
      </c>
    </row>
    <row r="281" spans="1:12" x14ac:dyDescent="0.3">
      <c r="A281" t="s">
        <v>11</v>
      </c>
      <c r="B281">
        <v>35</v>
      </c>
      <c r="C281" s="1">
        <v>70000</v>
      </c>
      <c r="D281" t="s">
        <v>19</v>
      </c>
      <c r="E281" t="s">
        <v>30</v>
      </c>
      <c r="F281" t="s">
        <v>14</v>
      </c>
      <c r="G281" s="2">
        <v>43845</v>
      </c>
      <c r="H281" t="s">
        <v>15</v>
      </c>
      <c r="I281" t="s">
        <v>39</v>
      </c>
      <c r="J281" t="s">
        <v>24</v>
      </c>
      <c r="K281" s="2" t="str">
        <f t="shared" ca="1" si="4"/>
        <v>5 Years</v>
      </c>
      <c r="L281" s="3" cm="1">
        <f t="array" ref="L281">_xlfn.SWITCH(Table13_2[[#This Row],[Performance Score]],"A",6,"B",5,"C",4,"D",3,"E",2,"F",1)</f>
        <v>3</v>
      </c>
    </row>
    <row r="282" spans="1:12" x14ac:dyDescent="0.3">
      <c r="A282" t="s">
        <v>43</v>
      </c>
      <c r="B282">
        <v>40</v>
      </c>
      <c r="C282" s="1">
        <v>65000</v>
      </c>
      <c r="D282" t="s">
        <v>12</v>
      </c>
      <c r="E282" t="s">
        <v>13</v>
      </c>
      <c r="F282" t="s">
        <v>37</v>
      </c>
      <c r="G282" s="2">
        <v>43881</v>
      </c>
      <c r="H282" t="s">
        <v>38</v>
      </c>
      <c r="I282" t="s">
        <v>32</v>
      </c>
      <c r="J282" t="s">
        <v>28</v>
      </c>
      <c r="K282" s="2" t="str">
        <f t="shared" ca="1" si="4"/>
        <v>5 Years</v>
      </c>
      <c r="L282" s="3" cm="1">
        <f t="array" ref="L282">_xlfn.SWITCH(Table13_2[[#This Row],[Performance Score]],"A",6,"B",5,"C",4,"D",3,"E",2,"F",1)</f>
        <v>5</v>
      </c>
    </row>
    <row r="283" spans="1:12" x14ac:dyDescent="0.3">
      <c r="A283" t="s">
        <v>43</v>
      </c>
      <c r="B283">
        <v>35</v>
      </c>
      <c r="C283" s="1">
        <v>60000</v>
      </c>
      <c r="D283" t="s">
        <v>12</v>
      </c>
      <c r="E283" t="s">
        <v>35</v>
      </c>
      <c r="F283" t="s">
        <v>21</v>
      </c>
      <c r="G283" s="2">
        <v>43800</v>
      </c>
      <c r="H283" t="s">
        <v>31</v>
      </c>
      <c r="I283" t="s">
        <v>23</v>
      </c>
      <c r="J283" t="s">
        <v>24</v>
      </c>
      <c r="K283" s="2" t="str">
        <f t="shared" ca="1" si="4"/>
        <v>6 Years</v>
      </c>
      <c r="L283" s="3" cm="1">
        <f t="array" ref="L283">_xlfn.SWITCH(Table13_2[[#This Row],[Performance Score]],"A",6,"B",5,"C",4,"D",3,"E",2,"F",1)</f>
        <v>6</v>
      </c>
    </row>
    <row r="284" spans="1:12" x14ac:dyDescent="0.3">
      <c r="A284" t="s">
        <v>43</v>
      </c>
      <c r="B284">
        <v>30</v>
      </c>
      <c r="C284" s="1">
        <v>49144.385026737968</v>
      </c>
      <c r="D284" t="s">
        <v>12</v>
      </c>
      <c r="E284" t="s">
        <v>35</v>
      </c>
      <c r="F284" t="s">
        <v>14</v>
      </c>
      <c r="G284" s="2">
        <v>43845</v>
      </c>
      <c r="H284" t="s">
        <v>15</v>
      </c>
      <c r="I284" t="s">
        <v>23</v>
      </c>
      <c r="J284" t="s">
        <v>28</v>
      </c>
      <c r="K284" s="2" t="str">
        <f t="shared" ca="1" si="4"/>
        <v>5 Years</v>
      </c>
      <c r="L284" s="3" cm="1">
        <f t="array" ref="L284">_xlfn.SWITCH(Table13_2[[#This Row],[Performance Score]],"A",6,"B",5,"C",4,"D",3,"E",2,"F",1)</f>
        <v>3</v>
      </c>
    </row>
    <row r="285" spans="1:12" x14ac:dyDescent="0.3">
      <c r="A285" t="s">
        <v>36</v>
      </c>
      <c r="B285">
        <v>25</v>
      </c>
      <c r="C285" s="1">
        <v>70000</v>
      </c>
      <c r="D285" t="s">
        <v>12</v>
      </c>
      <c r="E285" t="s">
        <v>35</v>
      </c>
      <c r="F285" t="s">
        <v>14</v>
      </c>
      <c r="G285" s="2">
        <v>43845</v>
      </c>
      <c r="H285" t="s">
        <v>31</v>
      </c>
      <c r="I285" t="s">
        <v>39</v>
      </c>
      <c r="J285" t="s">
        <v>28</v>
      </c>
      <c r="K285" s="2" t="str">
        <f t="shared" ca="1" si="4"/>
        <v>5 Years</v>
      </c>
      <c r="L285" s="3" cm="1">
        <f t="array" ref="L285">_xlfn.SWITCH(Table13_2[[#This Row],[Performance Score]],"A",6,"B",5,"C",4,"D",3,"E",2,"F",1)</f>
        <v>6</v>
      </c>
    </row>
    <row r="286" spans="1:12" x14ac:dyDescent="0.3">
      <c r="A286" t="s">
        <v>43</v>
      </c>
      <c r="B286">
        <v>30</v>
      </c>
      <c r="C286" s="1">
        <v>65000</v>
      </c>
      <c r="D286" t="s">
        <v>12</v>
      </c>
      <c r="E286" t="s">
        <v>30</v>
      </c>
      <c r="F286" t="s">
        <v>41</v>
      </c>
      <c r="G286" s="2">
        <v>43549</v>
      </c>
      <c r="H286" t="s">
        <v>27</v>
      </c>
      <c r="I286" t="s">
        <v>23</v>
      </c>
      <c r="J286" t="s">
        <v>42</v>
      </c>
      <c r="K286" s="2" t="str">
        <f t="shared" ca="1" si="4"/>
        <v>6 Years</v>
      </c>
      <c r="L286" s="3" cm="1">
        <f t="array" ref="L286">_xlfn.SWITCH(Table13_2[[#This Row],[Performance Score]],"A",6,"B",5,"C",4,"D",3,"E",2,"F",1)</f>
        <v>4</v>
      </c>
    </row>
    <row r="287" spans="1:12" x14ac:dyDescent="0.3">
      <c r="A287" t="s">
        <v>25</v>
      </c>
      <c r="B287">
        <v>30</v>
      </c>
      <c r="C287" s="1">
        <v>65000</v>
      </c>
      <c r="D287" t="s">
        <v>12</v>
      </c>
      <c r="E287" t="s">
        <v>20</v>
      </c>
      <c r="F287" t="s">
        <v>21</v>
      </c>
      <c r="G287" s="2">
        <v>43881</v>
      </c>
      <c r="H287" t="s">
        <v>15</v>
      </c>
      <c r="I287" t="s">
        <v>39</v>
      </c>
      <c r="J287" t="s">
        <v>17</v>
      </c>
      <c r="K287" s="2" t="str">
        <f t="shared" ca="1" si="4"/>
        <v>5 Years</v>
      </c>
      <c r="L287" s="3" cm="1">
        <f t="array" ref="L287">_xlfn.SWITCH(Table13_2[[#This Row],[Performance Score]],"A",6,"B",5,"C",4,"D",3,"E",2,"F",1)</f>
        <v>3</v>
      </c>
    </row>
    <row r="288" spans="1:12" x14ac:dyDescent="0.3">
      <c r="A288" t="s">
        <v>44</v>
      </c>
      <c r="B288">
        <v>40</v>
      </c>
      <c r="C288" s="1">
        <v>50000</v>
      </c>
      <c r="D288" t="s">
        <v>12</v>
      </c>
      <c r="E288" t="s">
        <v>13</v>
      </c>
      <c r="F288" t="s">
        <v>14</v>
      </c>
      <c r="G288" s="2">
        <v>43549</v>
      </c>
      <c r="H288" t="s">
        <v>27</v>
      </c>
      <c r="I288" t="s">
        <v>39</v>
      </c>
      <c r="J288" t="s">
        <v>24</v>
      </c>
      <c r="K288" s="2" t="str">
        <f t="shared" ca="1" si="4"/>
        <v>6 Years</v>
      </c>
      <c r="L288" s="3" cm="1">
        <f t="array" ref="L288">_xlfn.SWITCH(Table13_2[[#This Row],[Performance Score]],"A",6,"B",5,"C",4,"D",3,"E",2,"F",1)</f>
        <v>4</v>
      </c>
    </row>
    <row r="289" spans="1:12" x14ac:dyDescent="0.3">
      <c r="A289" t="s">
        <v>29</v>
      </c>
      <c r="B289">
        <v>25</v>
      </c>
      <c r="C289" s="1">
        <v>50000</v>
      </c>
      <c r="D289" t="s">
        <v>34</v>
      </c>
      <c r="E289" t="s">
        <v>26</v>
      </c>
      <c r="F289" t="s">
        <v>14</v>
      </c>
      <c r="G289" s="2">
        <v>43881</v>
      </c>
      <c r="H289" t="s">
        <v>38</v>
      </c>
      <c r="I289" t="s">
        <v>39</v>
      </c>
      <c r="J289" t="s">
        <v>17</v>
      </c>
      <c r="K289" s="2" t="str">
        <f t="shared" ca="1" si="4"/>
        <v>5 Years</v>
      </c>
      <c r="L289" s="3" cm="1">
        <f t="array" ref="L289">_xlfn.SWITCH(Table13_2[[#This Row],[Performance Score]],"A",6,"B",5,"C",4,"D",3,"E",2,"F",1)</f>
        <v>5</v>
      </c>
    </row>
    <row r="290" spans="1:12" x14ac:dyDescent="0.3">
      <c r="A290" t="s">
        <v>45</v>
      </c>
      <c r="B290">
        <v>25</v>
      </c>
      <c r="C290" s="1">
        <v>48417.431192660551</v>
      </c>
      <c r="D290" t="s">
        <v>34</v>
      </c>
      <c r="E290" t="s">
        <v>20</v>
      </c>
      <c r="F290" t="s">
        <v>21</v>
      </c>
      <c r="G290" s="2">
        <v>43195</v>
      </c>
      <c r="H290" t="s">
        <v>38</v>
      </c>
      <c r="I290" t="s">
        <v>32</v>
      </c>
      <c r="J290" t="s">
        <v>17</v>
      </c>
      <c r="K290" s="2" t="str">
        <f t="shared" ca="1" si="4"/>
        <v>7 Years</v>
      </c>
      <c r="L290" s="3" cm="1">
        <f t="array" ref="L290">_xlfn.SWITCH(Table13_2[[#This Row],[Performance Score]],"A",6,"B",5,"C",4,"D",3,"E",2,"F",1)</f>
        <v>5</v>
      </c>
    </row>
    <row r="291" spans="1:12" x14ac:dyDescent="0.3">
      <c r="A291" t="s">
        <v>45</v>
      </c>
      <c r="B291">
        <v>25</v>
      </c>
      <c r="C291" s="1">
        <v>70000</v>
      </c>
      <c r="D291" t="s">
        <v>34</v>
      </c>
      <c r="E291" t="s">
        <v>30</v>
      </c>
      <c r="F291" t="s">
        <v>37</v>
      </c>
      <c r="G291" s="2">
        <v>43549</v>
      </c>
      <c r="H291" t="s">
        <v>22</v>
      </c>
      <c r="I291" t="s">
        <v>39</v>
      </c>
      <c r="J291" t="s">
        <v>42</v>
      </c>
      <c r="K291" s="2" t="str">
        <f t="shared" ca="1" si="4"/>
        <v>6 Years</v>
      </c>
      <c r="L291" s="3" cm="1">
        <f t="array" ref="L291">_xlfn.SWITCH(Table13_2[[#This Row],[Performance Score]],"A",6,"B",5,"C",4,"D",3,"E",2,"F",1)</f>
        <v>1</v>
      </c>
    </row>
    <row r="292" spans="1:12" x14ac:dyDescent="0.3">
      <c r="A292" t="s">
        <v>29</v>
      </c>
      <c r="B292">
        <v>25</v>
      </c>
      <c r="C292" s="1">
        <v>65000</v>
      </c>
      <c r="D292" t="s">
        <v>34</v>
      </c>
      <c r="E292" t="s">
        <v>20</v>
      </c>
      <c r="F292" t="s">
        <v>21</v>
      </c>
      <c r="G292" s="2">
        <v>43549</v>
      </c>
      <c r="H292" t="s">
        <v>38</v>
      </c>
      <c r="I292" t="s">
        <v>39</v>
      </c>
      <c r="J292" t="s">
        <v>42</v>
      </c>
      <c r="K292" s="2" t="str">
        <f t="shared" ca="1" si="4"/>
        <v>6 Years</v>
      </c>
      <c r="L292" s="3" cm="1">
        <f t="array" ref="L292">_xlfn.SWITCH(Table13_2[[#This Row],[Performance Score]],"A",6,"B",5,"C",4,"D",3,"E",2,"F",1)</f>
        <v>5</v>
      </c>
    </row>
    <row r="293" spans="1:12" x14ac:dyDescent="0.3">
      <c r="A293" t="s">
        <v>36</v>
      </c>
      <c r="B293">
        <v>25</v>
      </c>
      <c r="C293" s="1">
        <v>48417.431192660551</v>
      </c>
      <c r="D293" t="s">
        <v>12</v>
      </c>
      <c r="E293" t="s">
        <v>20</v>
      </c>
      <c r="F293" t="s">
        <v>21</v>
      </c>
      <c r="G293" s="2">
        <v>43800</v>
      </c>
      <c r="H293" t="s">
        <v>27</v>
      </c>
      <c r="I293" t="s">
        <v>16</v>
      </c>
      <c r="J293" t="s">
        <v>17</v>
      </c>
      <c r="K293" s="2" t="str">
        <f t="shared" ca="1" si="4"/>
        <v>6 Years</v>
      </c>
      <c r="L293" s="3" cm="1">
        <f t="array" ref="L293">_xlfn.SWITCH(Table13_2[[#This Row],[Performance Score]],"A",6,"B",5,"C",4,"D",3,"E",2,"F",1)</f>
        <v>4</v>
      </c>
    </row>
    <row r="294" spans="1:12" x14ac:dyDescent="0.3">
      <c r="A294" t="s">
        <v>18</v>
      </c>
      <c r="B294">
        <v>40</v>
      </c>
      <c r="C294" s="1">
        <v>50777.202072538857</v>
      </c>
      <c r="D294" t="s">
        <v>34</v>
      </c>
      <c r="E294" t="s">
        <v>30</v>
      </c>
      <c r="F294" t="s">
        <v>37</v>
      </c>
      <c r="G294" s="2">
        <v>43549</v>
      </c>
      <c r="H294" t="s">
        <v>38</v>
      </c>
      <c r="I294" t="s">
        <v>16</v>
      </c>
      <c r="J294" t="s">
        <v>24</v>
      </c>
      <c r="K294" s="2" t="str">
        <f t="shared" ca="1" si="4"/>
        <v>6 Years</v>
      </c>
      <c r="L294" s="3" cm="1">
        <f t="array" ref="L294">_xlfn.SWITCH(Table13_2[[#This Row],[Performance Score]],"A",6,"B",5,"C",4,"D",3,"E",2,"F",1)</f>
        <v>5</v>
      </c>
    </row>
    <row r="295" spans="1:12" x14ac:dyDescent="0.3">
      <c r="A295" t="s">
        <v>36</v>
      </c>
      <c r="B295">
        <v>35</v>
      </c>
      <c r="C295" s="1">
        <v>55000</v>
      </c>
      <c r="D295" t="s">
        <v>12</v>
      </c>
      <c r="E295" t="s">
        <v>35</v>
      </c>
      <c r="F295" t="s">
        <v>21</v>
      </c>
      <c r="G295" s="2">
        <v>43881</v>
      </c>
      <c r="H295" t="s">
        <v>15</v>
      </c>
      <c r="I295" t="s">
        <v>23</v>
      </c>
      <c r="J295" t="s">
        <v>17</v>
      </c>
      <c r="K295" s="2" t="str">
        <f t="shared" ca="1" si="4"/>
        <v>5 Years</v>
      </c>
      <c r="L295" s="3" cm="1">
        <f t="array" ref="L295">_xlfn.SWITCH(Table13_2[[#This Row],[Performance Score]],"A",6,"B",5,"C",4,"D",3,"E",2,"F",1)</f>
        <v>3</v>
      </c>
    </row>
    <row r="296" spans="1:12" x14ac:dyDescent="0.3">
      <c r="A296" t="s">
        <v>45</v>
      </c>
      <c r="B296">
        <v>30</v>
      </c>
      <c r="C296" s="1">
        <v>50000</v>
      </c>
      <c r="D296" t="s">
        <v>34</v>
      </c>
      <c r="E296" t="s">
        <v>35</v>
      </c>
      <c r="F296" t="s">
        <v>14</v>
      </c>
      <c r="G296" s="2">
        <v>43800</v>
      </c>
      <c r="H296" t="s">
        <v>38</v>
      </c>
      <c r="I296" t="s">
        <v>23</v>
      </c>
      <c r="J296" t="s">
        <v>24</v>
      </c>
      <c r="K296" s="2" t="str">
        <f t="shared" ca="1" si="4"/>
        <v>6 Years</v>
      </c>
      <c r="L296" s="3" cm="1">
        <f t="array" ref="L296">_xlfn.SWITCH(Table13_2[[#This Row],[Performance Score]],"A",6,"B",5,"C",4,"D",3,"E",2,"F",1)</f>
        <v>5</v>
      </c>
    </row>
    <row r="297" spans="1:12" x14ac:dyDescent="0.3">
      <c r="A297" t="s">
        <v>45</v>
      </c>
      <c r="B297">
        <v>25</v>
      </c>
      <c r="C297" s="1">
        <v>70000</v>
      </c>
      <c r="D297" t="s">
        <v>19</v>
      </c>
      <c r="E297" t="s">
        <v>13</v>
      </c>
      <c r="F297" t="s">
        <v>21</v>
      </c>
      <c r="G297" s="2">
        <v>43549</v>
      </c>
      <c r="H297" t="s">
        <v>22</v>
      </c>
      <c r="I297" t="s">
        <v>16</v>
      </c>
      <c r="J297" t="s">
        <v>28</v>
      </c>
      <c r="K297" s="2" t="str">
        <f t="shared" ca="1" si="4"/>
        <v>6 Years</v>
      </c>
      <c r="L297" s="3" cm="1">
        <f t="array" ref="L297">_xlfn.SWITCH(Table13_2[[#This Row],[Performance Score]],"A",6,"B",5,"C",4,"D",3,"E",2,"F",1)</f>
        <v>1</v>
      </c>
    </row>
    <row r="298" spans="1:12" x14ac:dyDescent="0.3">
      <c r="A298" t="s">
        <v>29</v>
      </c>
      <c r="B298">
        <v>35</v>
      </c>
      <c r="C298" s="1">
        <v>65000</v>
      </c>
      <c r="D298" t="s">
        <v>34</v>
      </c>
      <c r="E298" t="s">
        <v>13</v>
      </c>
      <c r="F298" t="s">
        <v>37</v>
      </c>
      <c r="G298" s="2">
        <v>43549</v>
      </c>
      <c r="H298" t="s">
        <v>38</v>
      </c>
      <c r="I298" t="s">
        <v>39</v>
      </c>
      <c r="J298" t="s">
        <v>42</v>
      </c>
      <c r="K298" s="2" t="str">
        <f t="shared" ca="1" si="4"/>
        <v>6 Years</v>
      </c>
      <c r="L298" s="3" cm="1">
        <f t="array" ref="L298">_xlfn.SWITCH(Table13_2[[#This Row],[Performance Score]],"A",6,"B",5,"C",4,"D",3,"E",2,"F",1)</f>
        <v>5</v>
      </c>
    </row>
    <row r="299" spans="1:12" x14ac:dyDescent="0.3">
      <c r="A299" t="s">
        <v>43</v>
      </c>
      <c r="B299">
        <v>35</v>
      </c>
      <c r="C299" s="1">
        <v>49144.385026737968</v>
      </c>
      <c r="D299" t="s">
        <v>34</v>
      </c>
      <c r="E299" t="s">
        <v>35</v>
      </c>
      <c r="F299" t="s">
        <v>40</v>
      </c>
      <c r="G299" s="2">
        <v>43195</v>
      </c>
      <c r="H299" t="s">
        <v>27</v>
      </c>
      <c r="I299" t="s">
        <v>23</v>
      </c>
      <c r="J299" t="s">
        <v>24</v>
      </c>
      <c r="K299" s="2" t="str">
        <f t="shared" ca="1" si="4"/>
        <v>7 Years</v>
      </c>
      <c r="L299" s="3" cm="1">
        <f t="array" ref="L299">_xlfn.SWITCH(Table13_2[[#This Row],[Performance Score]],"A",6,"B",5,"C",4,"D",3,"E",2,"F",1)</f>
        <v>4</v>
      </c>
    </row>
    <row r="300" spans="1:12" x14ac:dyDescent="0.3">
      <c r="A300" t="s">
        <v>36</v>
      </c>
      <c r="B300">
        <v>30</v>
      </c>
      <c r="C300" s="1">
        <v>65000</v>
      </c>
      <c r="D300" t="s">
        <v>12</v>
      </c>
      <c r="E300" t="s">
        <v>26</v>
      </c>
      <c r="F300" t="s">
        <v>21</v>
      </c>
      <c r="G300" s="2">
        <v>43549</v>
      </c>
      <c r="H300" t="s">
        <v>27</v>
      </c>
      <c r="I300" t="s">
        <v>39</v>
      </c>
      <c r="J300" t="s">
        <v>17</v>
      </c>
      <c r="K300" s="2" t="str">
        <f t="shared" ca="1" si="4"/>
        <v>6 Years</v>
      </c>
      <c r="L300" s="3" cm="1">
        <f t="array" ref="L300">_xlfn.SWITCH(Table13_2[[#This Row],[Performance Score]],"A",6,"B",5,"C",4,"D",3,"E",2,"F",1)</f>
        <v>4</v>
      </c>
    </row>
    <row r="301" spans="1:12" x14ac:dyDescent="0.3">
      <c r="A301" t="s">
        <v>46</v>
      </c>
      <c r="B301">
        <v>40</v>
      </c>
      <c r="C301" s="1">
        <v>55000</v>
      </c>
      <c r="D301" t="s">
        <v>34</v>
      </c>
      <c r="E301" t="s">
        <v>20</v>
      </c>
      <c r="F301" t="s">
        <v>41</v>
      </c>
      <c r="G301" s="2">
        <v>43845</v>
      </c>
      <c r="H301" t="s">
        <v>38</v>
      </c>
      <c r="I301" t="s">
        <v>39</v>
      </c>
      <c r="J301" t="s">
        <v>17</v>
      </c>
      <c r="K301" s="2" t="str">
        <f t="shared" ca="1" si="4"/>
        <v>5 Years</v>
      </c>
      <c r="L301" s="3" cm="1">
        <f t="array" ref="L301">_xlfn.SWITCH(Table13_2[[#This Row],[Performance Score]],"A",6,"B",5,"C",4,"D",3,"E",2,"F",1)</f>
        <v>5</v>
      </c>
    </row>
    <row r="302" spans="1:12" x14ac:dyDescent="0.3">
      <c r="A302" t="s">
        <v>29</v>
      </c>
      <c r="B302">
        <v>36</v>
      </c>
      <c r="C302" s="1">
        <v>70000</v>
      </c>
      <c r="D302" t="s">
        <v>19</v>
      </c>
      <c r="E302" t="s">
        <v>26</v>
      </c>
      <c r="F302" t="s">
        <v>14</v>
      </c>
      <c r="G302" s="2">
        <v>43800</v>
      </c>
      <c r="H302" t="s">
        <v>27</v>
      </c>
      <c r="I302" t="s">
        <v>39</v>
      </c>
      <c r="J302" t="s">
        <v>42</v>
      </c>
      <c r="K302" s="2" t="str">
        <f t="shared" ca="1" si="4"/>
        <v>6 Years</v>
      </c>
      <c r="L302" s="3" cm="1">
        <f t="array" ref="L302">_xlfn.SWITCH(Table13_2[[#This Row],[Performance Score]],"A",6,"B",5,"C",4,"D",3,"E",2,"F",1)</f>
        <v>4</v>
      </c>
    </row>
    <row r="303" spans="1:12" x14ac:dyDescent="0.3">
      <c r="A303" t="s">
        <v>25</v>
      </c>
      <c r="B303">
        <v>36</v>
      </c>
      <c r="C303" s="1">
        <v>48417.431192660551</v>
      </c>
      <c r="D303" t="s">
        <v>12</v>
      </c>
      <c r="E303" t="s">
        <v>20</v>
      </c>
      <c r="F303" t="s">
        <v>14</v>
      </c>
      <c r="G303" s="2">
        <v>43845</v>
      </c>
      <c r="H303" t="s">
        <v>27</v>
      </c>
      <c r="I303" t="s">
        <v>23</v>
      </c>
      <c r="J303" t="s">
        <v>17</v>
      </c>
      <c r="K303" s="2" t="str">
        <f t="shared" ca="1" si="4"/>
        <v>5 Years</v>
      </c>
      <c r="L303" s="3" cm="1">
        <f t="array" ref="L303">_xlfn.SWITCH(Table13_2[[#This Row],[Performance Score]],"A",6,"B",5,"C",4,"D",3,"E",2,"F",1)</f>
        <v>4</v>
      </c>
    </row>
    <row r="304" spans="1:12" x14ac:dyDescent="0.3">
      <c r="A304" t="s">
        <v>45</v>
      </c>
      <c r="B304">
        <v>35</v>
      </c>
      <c r="C304" s="1">
        <v>65000</v>
      </c>
      <c r="D304" t="s">
        <v>12</v>
      </c>
      <c r="E304" t="s">
        <v>35</v>
      </c>
      <c r="F304" t="s">
        <v>41</v>
      </c>
      <c r="G304" s="2">
        <v>43800</v>
      </c>
      <c r="H304" t="s">
        <v>22</v>
      </c>
      <c r="I304" t="s">
        <v>39</v>
      </c>
      <c r="J304" t="s">
        <v>17</v>
      </c>
      <c r="K304" s="2" t="str">
        <f t="shared" ca="1" si="4"/>
        <v>6 Years</v>
      </c>
      <c r="L304" s="3" cm="1">
        <f t="array" ref="L304">_xlfn.SWITCH(Table13_2[[#This Row],[Performance Score]],"A",6,"B",5,"C",4,"D",3,"E",2,"F",1)</f>
        <v>1</v>
      </c>
    </row>
    <row r="305" spans="1:12" x14ac:dyDescent="0.3">
      <c r="A305" t="s">
        <v>29</v>
      </c>
      <c r="B305">
        <v>50</v>
      </c>
      <c r="C305" s="1">
        <v>50000</v>
      </c>
      <c r="D305" t="s">
        <v>34</v>
      </c>
      <c r="E305" t="s">
        <v>13</v>
      </c>
      <c r="F305" t="s">
        <v>41</v>
      </c>
      <c r="G305" s="2">
        <v>43195</v>
      </c>
      <c r="H305" t="s">
        <v>15</v>
      </c>
      <c r="I305" t="s">
        <v>23</v>
      </c>
      <c r="J305" t="s">
        <v>24</v>
      </c>
      <c r="K305" s="2" t="str">
        <f t="shared" ca="1" si="4"/>
        <v>7 Years</v>
      </c>
      <c r="L305" s="3" cm="1">
        <f t="array" ref="L305">_xlfn.SWITCH(Table13_2[[#This Row],[Performance Score]],"A",6,"B",5,"C",4,"D",3,"E",2,"F",1)</f>
        <v>3</v>
      </c>
    </row>
    <row r="306" spans="1:12" x14ac:dyDescent="0.3">
      <c r="A306" t="s">
        <v>36</v>
      </c>
      <c r="B306">
        <v>50</v>
      </c>
      <c r="C306" s="1">
        <v>55000</v>
      </c>
      <c r="D306" t="s">
        <v>12</v>
      </c>
      <c r="E306" t="s">
        <v>13</v>
      </c>
      <c r="F306" t="s">
        <v>21</v>
      </c>
      <c r="G306" s="2">
        <v>43549</v>
      </c>
      <c r="H306" t="s">
        <v>22</v>
      </c>
      <c r="I306" t="s">
        <v>23</v>
      </c>
      <c r="J306" t="s">
        <v>17</v>
      </c>
      <c r="K306" s="2" t="str">
        <f t="shared" ca="1" si="4"/>
        <v>6 Years</v>
      </c>
      <c r="L306" s="3" cm="1">
        <f t="array" ref="L306">_xlfn.SWITCH(Table13_2[[#This Row],[Performance Score]],"A",6,"B",5,"C",4,"D",3,"E",2,"F",1)</f>
        <v>1</v>
      </c>
    </row>
    <row r="307" spans="1:12" x14ac:dyDescent="0.3">
      <c r="A307" t="s">
        <v>45</v>
      </c>
      <c r="B307">
        <v>30</v>
      </c>
      <c r="C307" s="1">
        <v>70000</v>
      </c>
      <c r="D307" t="s">
        <v>12</v>
      </c>
      <c r="E307" t="s">
        <v>26</v>
      </c>
      <c r="F307" t="s">
        <v>41</v>
      </c>
      <c r="G307" s="2">
        <v>43549</v>
      </c>
      <c r="H307" t="s">
        <v>31</v>
      </c>
      <c r="I307" t="s">
        <v>39</v>
      </c>
      <c r="J307" t="s">
        <v>42</v>
      </c>
      <c r="K307" s="2" t="str">
        <f t="shared" ca="1" si="4"/>
        <v>6 Years</v>
      </c>
      <c r="L307" s="3" cm="1">
        <f t="array" ref="L307">_xlfn.SWITCH(Table13_2[[#This Row],[Performance Score]],"A",6,"B",5,"C",4,"D",3,"E",2,"F",1)</f>
        <v>6</v>
      </c>
    </row>
    <row r="308" spans="1:12" x14ac:dyDescent="0.3">
      <c r="A308" t="s">
        <v>18</v>
      </c>
      <c r="B308">
        <v>36</v>
      </c>
      <c r="C308" s="1">
        <v>55000</v>
      </c>
      <c r="D308" t="s">
        <v>12</v>
      </c>
      <c r="E308" t="s">
        <v>13</v>
      </c>
      <c r="F308" t="s">
        <v>40</v>
      </c>
      <c r="G308" s="2">
        <v>43549</v>
      </c>
      <c r="H308" t="s">
        <v>22</v>
      </c>
      <c r="I308" t="s">
        <v>16</v>
      </c>
      <c r="J308" t="s">
        <v>24</v>
      </c>
      <c r="K308" s="2" t="str">
        <f t="shared" ca="1" si="4"/>
        <v>6 Years</v>
      </c>
      <c r="L308" s="3" cm="1">
        <f t="array" ref="L308">_xlfn.SWITCH(Table13_2[[#This Row],[Performance Score]],"A",6,"B",5,"C",4,"D",3,"E",2,"F",1)</f>
        <v>1</v>
      </c>
    </row>
    <row r="309" spans="1:12" x14ac:dyDescent="0.3">
      <c r="A309" t="s">
        <v>29</v>
      </c>
      <c r="B309">
        <v>35</v>
      </c>
      <c r="C309" s="1">
        <v>50000</v>
      </c>
      <c r="D309" t="s">
        <v>12</v>
      </c>
      <c r="E309" t="s">
        <v>35</v>
      </c>
      <c r="F309" t="s">
        <v>37</v>
      </c>
      <c r="G309" s="2">
        <v>43800</v>
      </c>
      <c r="H309" t="s">
        <v>38</v>
      </c>
      <c r="I309" t="s">
        <v>39</v>
      </c>
      <c r="J309" t="s">
        <v>28</v>
      </c>
      <c r="K309" s="2" t="str">
        <f t="shared" ca="1" si="4"/>
        <v>6 Years</v>
      </c>
      <c r="L309" s="3" cm="1">
        <f t="array" ref="L309">_xlfn.SWITCH(Table13_2[[#This Row],[Performance Score]],"A",6,"B",5,"C",4,"D",3,"E",2,"F",1)</f>
        <v>5</v>
      </c>
    </row>
    <row r="310" spans="1:12" x14ac:dyDescent="0.3">
      <c r="A310" t="s">
        <v>11</v>
      </c>
      <c r="B310">
        <v>40</v>
      </c>
      <c r="C310" s="1">
        <v>70000</v>
      </c>
      <c r="D310" t="s">
        <v>12</v>
      </c>
      <c r="E310" t="s">
        <v>26</v>
      </c>
      <c r="F310" t="s">
        <v>41</v>
      </c>
      <c r="G310" s="2">
        <v>43549</v>
      </c>
      <c r="H310" t="s">
        <v>15</v>
      </c>
      <c r="I310" t="s">
        <v>39</v>
      </c>
      <c r="J310" t="s">
        <v>17</v>
      </c>
      <c r="K310" s="2" t="str">
        <f t="shared" ca="1" si="4"/>
        <v>6 Years</v>
      </c>
      <c r="L310" s="3" cm="1">
        <f t="array" ref="L310">_xlfn.SWITCH(Table13_2[[#This Row],[Performance Score]],"A",6,"B",5,"C",4,"D",3,"E",2,"F",1)</f>
        <v>3</v>
      </c>
    </row>
    <row r="311" spans="1:12" x14ac:dyDescent="0.3">
      <c r="A311" t="s">
        <v>45</v>
      </c>
      <c r="B311">
        <v>36</v>
      </c>
      <c r="C311" s="1">
        <v>55000</v>
      </c>
      <c r="D311" t="s">
        <v>12</v>
      </c>
      <c r="E311" t="s">
        <v>20</v>
      </c>
      <c r="F311" t="s">
        <v>41</v>
      </c>
      <c r="G311" s="2">
        <v>43845</v>
      </c>
      <c r="H311" t="s">
        <v>38</v>
      </c>
      <c r="I311" t="s">
        <v>32</v>
      </c>
      <c r="J311" t="s">
        <v>17</v>
      </c>
      <c r="K311" s="2" t="str">
        <f t="shared" ca="1" si="4"/>
        <v>5 Years</v>
      </c>
      <c r="L311" s="3" cm="1">
        <f t="array" ref="L311">_xlfn.SWITCH(Table13_2[[#This Row],[Performance Score]],"A",6,"B",5,"C",4,"D",3,"E",2,"F",1)</f>
        <v>5</v>
      </c>
    </row>
    <row r="312" spans="1:12" x14ac:dyDescent="0.3">
      <c r="A312" t="s">
        <v>36</v>
      </c>
      <c r="B312">
        <v>35</v>
      </c>
      <c r="C312" s="1">
        <v>60000</v>
      </c>
      <c r="D312" t="s">
        <v>19</v>
      </c>
      <c r="E312" t="s">
        <v>13</v>
      </c>
      <c r="F312" t="s">
        <v>40</v>
      </c>
      <c r="G312" s="2">
        <v>43549</v>
      </c>
      <c r="H312" t="s">
        <v>31</v>
      </c>
      <c r="I312" t="s">
        <v>39</v>
      </c>
      <c r="J312" t="s">
        <v>24</v>
      </c>
      <c r="K312" s="2" t="str">
        <f t="shared" ca="1" si="4"/>
        <v>6 Years</v>
      </c>
      <c r="L312" s="3" cm="1">
        <f t="array" ref="L312">_xlfn.SWITCH(Table13_2[[#This Row],[Performance Score]],"A",6,"B",5,"C",4,"D",3,"E",2,"F",1)</f>
        <v>6</v>
      </c>
    </row>
    <row r="313" spans="1:12" x14ac:dyDescent="0.3">
      <c r="A313" t="s">
        <v>44</v>
      </c>
      <c r="B313">
        <v>35</v>
      </c>
      <c r="C313" s="1">
        <v>50000</v>
      </c>
      <c r="D313" t="s">
        <v>34</v>
      </c>
      <c r="E313" t="s">
        <v>30</v>
      </c>
      <c r="F313" t="s">
        <v>14</v>
      </c>
      <c r="G313" s="2">
        <v>43195</v>
      </c>
      <c r="H313" t="s">
        <v>15</v>
      </c>
      <c r="I313" t="s">
        <v>23</v>
      </c>
      <c r="J313" t="s">
        <v>17</v>
      </c>
      <c r="K313" s="2" t="str">
        <f t="shared" ca="1" si="4"/>
        <v>7 Years</v>
      </c>
      <c r="L313" s="3" cm="1">
        <f t="array" ref="L313">_xlfn.SWITCH(Table13_2[[#This Row],[Performance Score]],"A",6,"B",5,"C",4,"D",3,"E",2,"F",1)</f>
        <v>3</v>
      </c>
    </row>
    <row r="314" spans="1:12" x14ac:dyDescent="0.3">
      <c r="A314" t="s">
        <v>46</v>
      </c>
      <c r="B314">
        <v>25</v>
      </c>
      <c r="C314" s="1">
        <v>50000</v>
      </c>
      <c r="D314" t="s">
        <v>19</v>
      </c>
      <c r="E314" t="s">
        <v>13</v>
      </c>
      <c r="F314" t="s">
        <v>14</v>
      </c>
      <c r="G314" s="2">
        <v>43845</v>
      </c>
      <c r="H314" t="s">
        <v>27</v>
      </c>
      <c r="I314" t="s">
        <v>23</v>
      </c>
      <c r="J314" t="s">
        <v>17</v>
      </c>
      <c r="K314" s="2" t="str">
        <f t="shared" ca="1" si="4"/>
        <v>5 Years</v>
      </c>
      <c r="L314" s="3" cm="1">
        <f t="array" ref="L314">_xlfn.SWITCH(Table13_2[[#This Row],[Performance Score]],"A",6,"B",5,"C",4,"D",3,"E",2,"F",1)</f>
        <v>4</v>
      </c>
    </row>
    <row r="315" spans="1:12" x14ac:dyDescent="0.3">
      <c r="A315" t="s">
        <v>33</v>
      </c>
      <c r="B315">
        <v>40</v>
      </c>
      <c r="C315" s="1">
        <v>50000</v>
      </c>
      <c r="D315" t="s">
        <v>12</v>
      </c>
      <c r="E315" t="s">
        <v>20</v>
      </c>
      <c r="F315" t="s">
        <v>21</v>
      </c>
      <c r="G315" s="2">
        <v>43549</v>
      </c>
      <c r="H315" t="s">
        <v>22</v>
      </c>
      <c r="I315" t="s">
        <v>39</v>
      </c>
      <c r="J315" t="s">
        <v>42</v>
      </c>
      <c r="K315" s="2" t="str">
        <f t="shared" ca="1" si="4"/>
        <v>6 Years</v>
      </c>
      <c r="L315" s="3" cm="1">
        <f t="array" ref="L315">_xlfn.SWITCH(Table13_2[[#This Row],[Performance Score]],"A",6,"B",5,"C",4,"D",3,"E",2,"F",1)</f>
        <v>1</v>
      </c>
    </row>
    <row r="316" spans="1:12" x14ac:dyDescent="0.3">
      <c r="A316" t="s">
        <v>43</v>
      </c>
      <c r="B316">
        <v>25</v>
      </c>
      <c r="C316" s="1">
        <v>60000</v>
      </c>
      <c r="D316" t="s">
        <v>12</v>
      </c>
      <c r="E316" t="s">
        <v>26</v>
      </c>
      <c r="F316" t="s">
        <v>40</v>
      </c>
      <c r="G316" s="2">
        <v>43549</v>
      </c>
      <c r="H316" t="s">
        <v>38</v>
      </c>
      <c r="I316" t="s">
        <v>32</v>
      </c>
      <c r="J316" t="s">
        <v>17</v>
      </c>
      <c r="K316" s="2" t="str">
        <f t="shared" ca="1" si="4"/>
        <v>6 Years</v>
      </c>
      <c r="L316" s="3" cm="1">
        <f t="array" ref="L316">_xlfn.SWITCH(Table13_2[[#This Row],[Performance Score]],"A",6,"B",5,"C",4,"D",3,"E",2,"F",1)</f>
        <v>5</v>
      </c>
    </row>
    <row r="317" spans="1:12" x14ac:dyDescent="0.3">
      <c r="A317" t="s">
        <v>33</v>
      </c>
      <c r="B317">
        <v>30</v>
      </c>
      <c r="C317" s="1">
        <v>60000</v>
      </c>
      <c r="D317" t="s">
        <v>34</v>
      </c>
      <c r="E317" t="s">
        <v>20</v>
      </c>
      <c r="F317" t="s">
        <v>37</v>
      </c>
      <c r="G317" s="2">
        <v>43881</v>
      </c>
      <c r="H317" t="s">
        <v>31</v>
      </c>
      <c r="I317" t="s">
        <v>39</v>
      </c>
      <c r="J317" t="s">
        <v>28</v>
      </c>
      <c r="K317" s="2" t="str">
        <f t="shared" ca="1" si="4"/>
        <v>5 Years</v>
      </c>
      <c r="L317" s="3" cm="1">
        <f t="array" ref="L317">_xlfn.SWITCH(Table13_2[[#This Row],[Performance Score]],"A",6,"B",5,"C",4,"D",3,"E",2,"F",1)</f>
        <v>6</v>
      </c>
    </row>
    <row r="318" spans="1:12" x14ac:dyDescent="0.3">
      <c r="A318" t="s">
        <v>36</v>
      </c>
      <c r="B318">
        <v>25</v>
      </c>
      <c r="C318" s="1">
        <v>65000</v>
      </c>
      <c r="D318" t="s">
        <v>19</v>
      </c>
      <c r="E318" t="s">
        <v>30</v>
      </c>
      <c r="F318" t="s">
        <v>37</v>
      </c>
      <c r="G318" s="2">
        <v>43800</v>
      </c>
      <c r="H318" t="s">
        <v>27</v>
      </c>
      <c r="I318" t="s">
        <v>32</v>
      </c>
      <c r="J318" t="s">
        <v>17</v>
      </c>
      <c r="K318" s="2" t="str">
        <f t="shared" ca="1" si="4"/>
        <v>6 Years</v>
      </c>
      <c r="L318" s="3" cm="1">
        <f t="array" ref="L318">_xlfn.SWITCH(Table13_2[[#This Row],[Performance Score]],"A",6,"B",5,"C",4,"D",3,"E",2,"F",1)</f>
        <v>4</v>
      </c>
    </row>
    <row r="319" spans="1:12" x14ac:dyDescent="0.3">
      <c r="A319" t="s">
        <v>25</v>
      </c>
      <c r="B319">
        <v>25</v>
      </c>
      <c r="C319" s="1">
        <v>49144.385026737968</v>
      </c>
      <c r="D319" t="s">
        <v>34</v>
      </c>
      <c r="E319" t="s">
        <v>35</v>
      </c>
      <c r="F319" t="s">
        <v>40</v>
      </c>
      <c r="G319" s="2">
        <v>43845</v>
      </c>
      <c r="H319" t="s">
        <v>22</v>
      </c>
      <c r="I319" t="s">
        <v>32</v>
      </c>
      <c r="J319" t="s">
        <v>17</v>
      </c>
      <c r="K319" s="2" t="str">
        <f t="shared" ca="1" si="4"/>
        <v>5 Years</v>
      </c>
      <c r="L319" s="3" cm="1">
        <f t="array" ref="L319">_xlfn.SWITCH(Table13_2[[#This Row],[Performance Score]],"A",6,"B",5,"C",4,"D",3,"E",2,"F",1)</f>
        <v>1</v>
      </c>
    </row>
    <row r="320" spans="1:12" x14ac:dyDescent="0.3">
      <c r="A320" t="s">
        <v>25</v>
      </c>
      <c r="B320">
        <v>36</v>
      </c>
      <c r="C320" s="1">
        <v>55000</v>
      </c>
      <c r="D320" t="s">
        <v>19</v>
      </c>
      <c r="E320" t="s">
        <v>13</v>
      </c>
      <c r="F320" t="s">
        <v>37</v>
      </c>
      <c r="G320" s="2">
        <v>43881</v>
      </c>
      <c r="H320" t="s">
        <v>27</v>
      </c>
      <c r="I320" t="s">
        <v>39</v>
      </c>
      <c r="J320" t="s">
        <v>17</v>
      </c>
      <c r="K320" s="2" t="str">
        <f t="shared" ca="1" si="4"/>
        <v>5 Years</v>
      </c>
      <c r="L320" s="3" cm="1">
        <f t="array" ref="L320">_xlfn.SWITCH(Table13_2[[#This Row],[Performance Score]],"A",6,"B",5,"C",4,"D",3,"E",2,"F",1)</f>
        <v>4</v>
      </c>
    </row>
    <row r="321" spans="1:12" x14ac:dyDescent="0.3">
      <c r="A321" t="s">
        <v>44</v>
      </c>
      <c r="B321">
        <v>50</v>
      </c>
      <c r="C321" s="1">
        <v>65000</v>
      </c>
      <c r="D321" t="s">
        <v>12</v>
      </c>
      <c r="E321" t="s">
        <v>26</v>
      </c>
      <c r="F321" t="s">
        <v>14</v>
      </c>
      <c r="G321" s="2">
        <v>43195</v>
      </c>
      <c r="H321" t="s">
        <v>22</v>
      </c>
      <c r="I321" t="s">
        <v>23</v>
      </c>
      <c r="J321" t="s">
        <v>24</v>
      </c>
      <c r="K321" s="2" t="str">
        <f t="shared" ca="1" si="4"/>
        <v>7 Years</v>
      </c>
      <c r="L321" s="3" cm="1">
        <f t="array" ref="L321">_xlfn.SWITCH(Table13_2[[#This Row],[Performance Score]],"A",6,"B",5,"C",4,"D",3,"E",2,"F",1)</f>
        <v>1</v>
      </c>
    </row>
    <row r="322" spans="1:12" x14ac:dyDescent="0.3">
      <c r="A322" t="s">
        <v>43</v>
      </c>
      <c r="B322">
        <v>35</v>
      </c>
      <c r="C322" s="1">
        <v>55000</v>
      </c>
      <c r="D322" t="s">
        <v>34</v>
      </c>
      <c r="E322" t="s">
        <v>35</v>
      </c>
      <c r="F322" t="s">
        <v>37</v>
      </c>
      <c r="G322" s="2">
        <v>43800</v>
      </c>
      <c r="H322" t="s">
        <v>15</v>
      </c>
      <c r="I322" t="s">
        <v>23</v>
      </c>
      <c r="J322" t="s">
        <v>17</v>
      </c>
      <c r="K322" s="2" t="str">
        <f t="shared" ca="1" si="4"/>
        <v>6 Years</v>
      </c>
      <c r="L322" s="3" cm="1">
        <f t="array" ref="L322">_xlfn.SWITCH(Table13_2[[#This Row],[Performance Score]],"A",6,"B",5,"C",4,"D",3,"E",2,"F",1)</f>
        <v>3</v>
      </c>
    </row>
    <row r="323" spans="1:12" x14ac:dyDescent="0.3">
      <c r="A323" t="s">
        <v>11</v>
      </c>
      <c r="B323">
        <v>40</v>
      </c>
      <c r="C323" s="1">
        <v>48417.431192660551</v>
      </c>
      <c r="D323" t="s">
        <v>34</v>
      </c>
      <c r="E323" t="s">
        <v>20</v>
      </c>
      <c r="F323" t="s">
        <v>37</v>
      </c>
      <c r="G323" s="2">
        <v>43845</v>
      </c>
      <c r="H323" t="s">
        <v>27</v>
      </c>
      <c r="I323" t="s">
        <v>32</v>
      </c>
      <c r="J323" t="s">
        <v>17</v>
      </c>
      <c r="K323" s="2" t="str">
        <f t="shared" ref="K323:K386" ca="1" si="5">DATEDIF(G323,TODAY(),"Y") &amp; " Years"</f>
        <v>5 Years</v>
      </c>
      <c r="L323" s="3" cm="1">
        <f t="array" ref="L323">_xlfn.SWITCH(Table13_2[[#This Row],[Performance Score]],"A",6,"B",5,"C",4,"D",3,"E",2,"F",1)</f>
        <v>4</v>
      </c>
    </row>
    <row r="324" spans="1:12" x14ac:dyDescent="0.3">
      <c r="A324" t="s">
        <v>44</v>
      </c>
      <c r="B324">
        <v>25</v>
      </c>
      <c r="C324" s="1">
        <v>60000</v>
      </c>
      <c r="D324" t="s">
        <v>12</v>
      </c>
      <c r="E324" t="s">
        <v>26</v>
      </c>
      <c r="F324" t="s">
        <v>40</v>
      </c>
      <c r="G324" s="2">
        <v>43549</v>
      </c>
      <c r="H324" t="s">
        <v>27</v>
      </c>
      <c r="I324" t="s">
        <v>23</v>
      </c>
      <c r="J324" t="s">
        <v>24</v>
      </c>
      <c r="K324" s="2" t="str">
        <f t="shared" ca="1" si="5"/>
        <v>6 Years</v>
      </c>
      <c r="L324" s="3" cm="1">
        <f t="array" ref="L324">_xlfn.SWITCH(Table13_2[[#This Row],[Performance Score]],"A",6,"B",5,"C",4,"D",3,"E",2,"F",1)</f>
        <v>4</v>
      </c>
    </row>
    <row r="325" spans="1:12" x14ac:dyDescent="0.3">
      <c r="A325" t="s">
        <v>33</v>
      </c>
      <c r="B325">
        <v>40</v>
      </c>
      <c r="C325" s="1">
        <v>49144.385026737968</v>
      </c>
      <c r="D325" t="s">
        <v>34</v>
      </c>
      <c r="E325" t="s">
        <v>35</v>
      </c>
      <c r="F325" t="s">
        <v>40</v>
      </c>
      <c r="G325" s="2">
        <v>43845</v>
      </c>
      <c r="H325" t="s">
        <v>27</v>
      </c>
      <c r="I325" t="s">
        <v>16</v>
      </c>
      <c r="J325" t="s">
        <v>42</v>
      </c>
      <c r="K325" s="2" t="str">
        <f t="shared" ca="1" si="5"/>
        <v>5 Years</v>
      </c>
      <c r="L325" s="3" cm="1">
        <f t="array" ref="L325">_xlfn.SWITCH(Table13_2[[#This Row],[Performance Score]],"A",6,"B",5,"C",4,"D",3,"E",2,"F",1)</f>
        <v>4</v>
      </c>
    </row>
    <row r="326" spans="1:12" x14ac:dyDescent="0.3">
      <c r="A326" t="s">
        <v>44</v>
      </c>
      <c r="B326">
        <v>50</v>
      </c>
      <c r="C326" s="1">
        <v>60000</v>
      </c>
      <c r="D326" t="s">
        <v>19</v>
      </c>
      <c r="E326" t="s">
        <v>26</v>
      </c>
      <c r="F326" t="s">
        <v>37</v>
      </c>
      <c r="G326" s="2">
        <v>43549</v>
      </c>
      <c r="H326" t="s">
        <v>15</v>
      </c>
      <c r="I326" t="s">
        <v>32</v>
      </c>
      <c r="J326" t="s">
        <v>24</v>
      </c>
      <c r="K326" s="2" t="str">
        <f t="shared" ca="1" si="5"/>
        <v>6 Years</v>
      </c>
      <c r="L326" s="3" cm="1">
        <f t="array" ref="L326">_xlfn.SWITCH(Table13_2[[#This Row],[Performance Score]],"A",6,"B",5,"C",4,"D",3,"E",2,"F",1)</f>
        <v>3</v>
      </c>
    </row>
    <row r="327" spans="1:12" x14ac:dyDescent="0.3">
      <c r="A327" t="s">
        <v>33</v>
      </c>
      <c r="B327">
        <v>50</v>
      </c>
      <c r="C327" s="1">
        <v>50777.202072538857</v>
      </c>
      <c r="D327" t="s">
        <v>19</v>
      </c>
      <c r="E327" t="s">
        <v>30</v>
      </c>
      <c r="F327" t="s">
        <v>41</v>
      </c>
      <c r="G327" s="2">
        <v>43800</v>
      </c>
      <c r="H327" t="s">
        <v>31</v>
      </c>
      <c r="I327" t="s">
        <v>23</v>
      </c>
      <c r="J327" t="s">
        <v>28</v>
      </c>
      <c r="K327" s="2" t="str">
        <f t="shared" ca="1" si="5"/>
        <v>6 Years</v>
      </c>
      <c r="L327" s="3" cm="1">
        <f t="array" ref="L327">_xlfn.SWITCH(Table13_2[[#This Row],[Performance Score]],"A",6,"B",5,"C",4,"D",3,"E",2,"F",1)</f>
        <v>6</v>
      </c>
    </row>
    <row r="328" spans="1:12" x14ac:dyDescent="0.3">
      <c r="A328" t="s">
        <v>45</v>
      </c>
      <c r="B328">
        <v>25</v>
      </c>
      <c r="C328" s="1">
        <v>65000</v>
      </c>
      <c r="D328" t="s">
        <v>19</v>
      </c>
      <c r="E328" t="s">
        <v>30</v>
      </c>
      <c r="F328" t="s">
        <v>40</v>
      </c>
      <c r="G328" s="2">
        <v>43549</v>
      </c>
      <c r="H328" t="s">
        <v>22</v>
      </c>
      <c r="I328" t="s">
        <v>16</v>
      </c>
      <c r="J328" t="s">
        <v>24</v>
      </c>
      <c r="K328" s="2" t="str">
        <f t="shared" ca="1" si="5"/>
        <v>6 Years</v>
      </c>
      <c r="L328" s="3" cm="1">
        <f t="array" ref="L328">_xlfn.SWITCH(Table13_2[[#This Row],[Performance Score]],"A",6,"B",5,"C",4,"D",3,"E",2,"F",1)</f>
        <v>1</v>
      </c>
    </row>
    <row r="329" spans="1:12" x14ac:dyDescent="0.3">
      <c r="A329" t="s">
        <v>25</v>
      </c>
      <c r="B329">
        <v>30</v>
      </c>
      <c r="C329" s="1">
        <v>70000</v>
      </c>
      <c r="D329" t="s">
        <v>19</v>
      </c>
      <c r="E329" t="s">
        <v>13</v>
      </c>
      <c r="F329" t="s">
        <v>21</v>
      </c>
      <c r="G329" s="2">
        <v>43195</v>
      </c>
      <c r="H329" t="s">
        <v>27</v>
      </c>
      <c r="I329" t="s">
        <v>39</v>
      </c>
      <c r="J329" t="s">
        <v>42</v>
      </c>
      <c r="K329" s="2" t="str">
        <f t="shared" ca="1" si="5"/>
        <v>7 Years</v>
      </c>
      <c r="L329" s="3" cm="1">
        <f t="array" ref="L329">_xlfn.SWITCH(Table13_2[[#This Row],[Performance Score]],"A",6,"B",5,"C",4,"D",3,"E",2,"F",1)</f>
        <v>4</v>
      </c>
    </row>
    <row r="330" spans="1:12" x14ac:dyDescent="0.3">
      <c r="A330" t="s">
        <v>45</v>
      </c>
      <c r="B330">
        <v>25</v>
      </c>
      <c r="C330" s="1">
        <v>65000</v>
      </c>
      <c r="D330" t="s">
        <v>12</v>
      </c>
      <c r="E330" t="s">
        <v>13</v>
      </c>
      <c r="F330" t="s">
        <v>21</v>
      </c>
      <c r="G330" s="2">
        <v>43549</v>
      </c>
      <c r="H330" t="s">
        <v>15</v>
      </c>
      <c r="I330" t="s">
        <v>23</v>
      </c>
      <c r="J330" t="s">
        <v>17</v>
      </c>
      <c r="K330" s="2" t="str">
        <f t="shared" ca="1" si="5"/>
        <v>6 Years</v>
      </c>
      <c r="L330" s="3" cm="1">
        <f t="array" ref="L330">_xlfn.SWITCH(Table13_2[[#This Row],[Performance Score]],"A",6,"B",5,"C",4,"D",3,"E",2,"F",1)</f>
        <v>3</v>
      </c>
    </row>
    <row r="331" spans="1:12" x14ac:dyDescent="0.3">
      <c r="A331" t="s">
        <v>46</v>
      </c>
      <c r="B331">
        <v>36</v>
      </c>
      <c r="C331" s="1">
        <v>55000</v>
      </c>
      <c r="D331" t="s">
        <v>34</v>
      </c>
      <c r="E331" t="s">
        <v>30</v>
      </c>
      <c r="F331" t="s">
        <v>14</v>
      </c>
      <c r="G331" s="2">
        <v>43195</v>
      </c>
      <c r="H331" t="s">
        <v>31</v>
      </c>
      <c r="I331" t="s">
        <v>16</v>
      </c>
      <c r="J331" t="s">
        <v>24</v>
      </c>
      <c r="K331" s="2" t="str">
        <f t="shared" ca="1" si="5"/>
        <v>7 Years</v>
      </c>
      <c r="L331" s="3" cm="1">
        <f t="array" ref="L331">_xlfn.SWITCH(Table13_2[[#This Row],[Performance Score]],"A",6,"B",5,"C",4,"D",3,"E",2,"F",1)</f>
        <v>6</v>
      </c>
    </row>
    <row r="332" spans="1:12" x14ac:dyDescent="0.3">
      <c r="A332" t="s">
        <v>43</v>
      </c>
      <c r="B332">
        <v>35</v>
      </c>
      <c r="C332" s="1">
        <v>65000</v>
      </c>
      <c r="D332" t="s">
        <v>19</v>
      </c>
      <c r="E332" t="s">
        <v>26</v>
      </c>
      <c r="F332" t="s">
        <v>37</v>
      </c>
      <c r="G332" s="2">
        <v>43800</v>
      </c>
      <c r="H332" t="s">
        <v>22</v>
      </c>
      <c r="I332" t="s">
        <v>39</v>
      </c>
      <c r="J332" t="s">
        <v>24</v>
      </c>
      <c r="K332" s="2" t="str">
        <f t="shared" ca="1" si="5"/>
        <v>6 Years</v>
      </c>
      <c r="L332" s="3" cm="1">
        <f t="array" ref="L332">_xlfn.SWITCH(Table13_2[[#This Row],[Performance Score]],"A",6,"B",5,"C",4,"D",3,"E",2,"F",1)</f>
        <v>1</v>
      </c>
    </row>
    <row r="333" spans="1:12" x14ac:dyDescent="0.3">
      <c r="A333" t="s">
        <v>11</v>
      </c>
      <c r="B333">
        <v>30</v>
      </c>
      <c r="C333" s="1">
        <v>50000</v>
      </c>
      <c r="D333" t="s">
        <v>12</v>
      </c>
      <c r="E333" t="s">
        <v>30</v>
      </c>
      <c r="F333" t="s">
        <v>41</v>
      </c>
      <c r="G333" s="2">
        <v>43800</v>
      </c>
      <c r="H333" t="s">
        <v>15</v>
      </c>
      <c r="I333" t="s">
        <v>39</v>
      </c>
      <c r="J333" t="s">
        <v>24</v>
      </c>
      <c r="K333" s="2" t="str">
        <f t="shared" ca="1" si="5"/>
        <v>6 Years</v>
      </c>
      <c r="L333" s="3" cm="1">
        <f t="array" ref="L333">_xlfn.SWITCH(Table13_2[[#This Row],[Performance Score]],"A",6,"B",5,"C",4,"D",3,"E",2,"F",1)</f>
        <v>3</v>
      </c>
    </row>
    <row r="334" spans="1:12" x14ac:dyDescent="0.3">
      <c r="A334" t="s">
        <v>33</v>
      </c>
      <c r="B334">
        <v>25</v>
      </c>
      <c r="C334" s="1">
        <v>55000</v>
      </c>
      <c r="D334" t="s">
        <v>34</v>
      </c>
      <c r="E334" t="s">
        <v>13</v>
      </c>
      <c r="F334" t="s">
        <v>14</v>
      </c>
      <c r="G334" s="2">
        <v>43845</v>
      </c>
      <c r="H334" t="s">
        <v>22</v>
      </c>
      <c r="I334" t="s">
        <v>16</v>
      </c>
      <c r="J334" t="s">
        <v>24</v>
      </c>
      <c r="K334" s="2" t="str">
        <f t="shared" ca="1" si="5"/>
        <v>5 Years</v>
      </c>
      <c r="L334" s="3" cm="1">
        <f t="array" ref="L334">_xlfn.SWITCH(Table13_2[[#This Row],[Performance Score]],"A",6,"B",5,"C",4,"D",3,"E",2,"F",1)</f>
        <v>1</v>
      </c>
    </row>
    <row r="335" spans="1:12" x14ac:dyDescent="0.3">
      <c r="A335" t="s">
        <v>11</v>
      </c>
      <c r="B335">
        <v>40</v>
      </c>
      <c r="C335" s="1">
        <v>50777.202072538857</v>
      </c>
      <c r="D335" t="s">
        <v>34</v>
      </c>
      <c r="E335" t="s">
        <v>30</v>
      </c>
      <c r="F335" t="s">
        <v>37</v>
      </c>
      <c r="G335" s="2">
        <v>43195</v>
      </c>
      <c r="H335" t="s">
        <v>27</v>
      </c>
      <c r="I335" t="s">
        <v>32</v>
      </c>
      <c r="J335" t="s">
        <v>42</v>
      </c>
      <c r="K335" s="2" t="str">
        <f t="shared" ca="1" si="5"/>
        <v>7 Years</v>
      </c>
      <c r="L335" s="3" cm="1">
        <f t="array" ref="L335">_xlfn.SWITCH(Table13_2[[#This Row],[Performance Score]],"A",6,"B",5,"C",4,"D",3,"E",2,"F",1)</f>
        <v>4</v>
      </c>
    </row>
    <row r="336" spans="1:12" x14ac:dyDescent="0.3">
      <c r="A336" t="s">
        <v>33</v>
      </c>
      <c r="B336">
        <v>30</v>
      </c>
      <c r="C336" s="1">
        <v>55000</v>
      </c>
      <c r="D336" t="s">
        <v>12</v>
      </c>
      <c r="E336" t="s">
        <v>30</v>
      </c>
      <c r="F336" t="s">
        <v>40</v>
      </c>
      <c r="G336" s="2">
        <v>43195</v>
      </c>
      <c r="H336" t="s">
        <v>31</v>
      </c>
      <c r="I336" t="s">
        <v>32</v>
      </c>
      <c r="J336" t="s">
        <v>17</v>
      </c>
      <c r="K336" s="2" t="str">
        <f t="shared" ca="1" si="5"/>
        <v>7 Years</v>
      </c>
      <c r="L336" s="3" cm="1">
        <f t="array" ref="L336">_xlfn.SWITCH(Table13_2[[#This Row],[Performance Score]],"A",6,"B",5,"C",4,"D",3,"E",2,"F",1)</f>
        <v>6</v>
      </c>
    </row>
    <row r="337" spans="1:12" x14ac:dyDescent="0.3">
      <c r="A337" t="s">
        <v>36</v>
      </c>
      <c r="B337">
        <v>30</v>
      </c>
      <c r="C337" s="1">
        <v>70000</v>
      </c>
      <c r="D337" t="s">
        <v>12</v>
      </c>
      <c r="E337" t="s">
        <v>26</v>
      </c>
      <c r="F337" t="s">
        <v>21</v>
      </c>
      <c r="G337" s="2">
        <v>43881</v>
      </c>
      <c r="H337" t="s">
        <v>15</v>
      </c>
      <c r="I337" t="s">
        <v>23</v>
      </c>
      <c r="J337" t="s">
        <v>17</v>
      </c>
      <c r="K337" s="2" t="str">
        <f t="shared" ca="1" si="5"/>
        <v>5 Years</v>
      </c>
      <c r="L337" s="3" cm="1">
        <f t="array" ref="L337">_xlfn.SWITCH(Table13_2[[#This Row],[Performance Score]],"A",6,"B",5,"C",4,"D",3,"E",2,"F",1)</f>
        <v>3</v>
      </c>
    </row>
    <row r="338" spans="1:12" x14ac:dyDescent="0.3">
      <c r="A338" t="s">
        <v>44</v>
      </c>
      <c r="B338">
        <v>25</v>
      </c>
      <c r="C338" s="1">
        <v>60000</v>
      </c>
      <c r="D338" t="s">
        <v>19</v>
      </c>
      <c r="E338" t="s">
        <v>35</v>
      </c>
      <c r="F338" t="s">
        <v>41</v>
      </c>
      <c r="G338" s="2">
        <v>43881</v>
      </c>
      <c r="H338" t="s">
        <v>31</v>
      </c>
      <c r="I338" t="s">
        <v>39</v>
      </c>
      <c r="J338" t="s">
        <v>24</v>
      </c>
      <c r="K338" s="2" t="str">
        <f t="shared" ca="1" si="5"/>
        <v>5 Years</v>
      </c>
      <c r="L338" s="3" cm="1">
        <f t="array" ref="L338">_xlfn.SWITCH(Table13_2[[#This Row],[Performance Score]],"A",6,"B",5,"C",4,"D",3,"E",2,"F",1)</f>
        <v>6</v>
      </c>
    </row>
    <row r="339" spans="1:12" x14ac:dyDescent="0.3">
      <c r="A339" t="s">
        <v>46</v>
      </c>
      <c r="B339">
        <v>30</v>
      </c>
      <c r="C339" s="1">
        <v>51825</v>
      </c>
      <c r="D339" t="s">
        <v>34</v>
      </c>
      <c r="E339" t="s">
        <v>13</v>
      </c>
      <c r="F339" t="s">
        <v>21</v>
      </c>
      <c r="G339" s="2">
        <v>43881</v>
      </c>
      <c r="H339" t="s">
        <v>27</v>
      </c>
      <c r="I339" t="s">
        <v>32</v>
      </c>
      <c r="J339" t="s">
        <v>42</v>
      </c>
      <c r="K339" s="2" t="str">
        <f t="shared" ca="1" si="5"/>
        <v>5 Years</v>
      </c>
      <c r="L339" s="3" cm="1">
        <f t="array" ref="L339">_xlfn.SWITCH(Table13_2[[#This Row],[Performance Score]],"A",6,"B",5,"C",4,"D",3,"E",2,"F",1)</f>
        <v>4</v>
      </c>
    </row>
    <row r="340" spans="1:12" x14ac:dyDescent="0.3">
      <c r="A340" t="s">
        <v>25</v>
      </c>
      <c r="B340">
        <v>40</v>
      </c>
      <c r="C340" s="1">
        <v>55000</v>
      </c>
      <c r="D340" t="s">
        <v>34</v>
      </c>
      <c r="E340" t="s">
        <v>26</v>
      </c>
      <c r="F340" t="s">
        <v>40</v>
      </c>
      <c r="G340" s="2">
        <v>43549</v>
      </c>
      <c r="H340" t="s">
        <v>31</v>
      </c>
      <c r="I340" t="s">
        <v>32</v>
      </c>
      <c r="J340" t="s">
        <v>42</v>
      </c>
      <c r="K340" s="2" t="str">
        <f t="shared" ca="1" si="5"/>
        <v>6 Years</v>
      </c>
      <c r="L340" s="3" cm="1">
        <f t="array" ref="L340">_xlfn.SWITCH(Table13_2[[#This Row],[Performance Score]],"A",6,"B",5,"C",4,"D",3,"E",2,"F",1)</f>
        <v>6</v>
      </c>
    </row>
    <row r="341" spans="1:12" x14ac:dyDescent="0.3">
      <c r="A341" t="s">
        <v>33</v>
      </c>
      <c r="B341">
        <v>50</v>
      </c>
      <c r="C341" s="1">
        <v>50777.202072538857</v>
      </c>
      <c r="D341" t="s">
        <v>12</v>
      </c>
      <c r="E341" t="s">
        <v>30</v>
      </c>
      <c r="F341" t="s">
        <v>37</v>
      </c>
      <c r="G341" s="2">
        <v>43881</v>
      </c>
      <c r="H341" t="s">
        <v>31</v>
      </c>
      <c r="I341" t="s">
        <v>39</v>
      </c>
      <c r="J341" t="s">
        <v>24</v>
      </c>
      <c r="K341" s="2" t="str">
        <f t="shared" ca="1" si="5"/>
        <v>5 Years</v>
      </c>
      <c r="L341" s="3" cm="1">
        <f t="array" ref="L341">_xlfn.SWITCH(Table13_2[[#This Row],[Performance Score]],"A",6,"B",5,"C",4,"D",3,"E",2,"F",1)</f>
        <v>6</v>
      </c>
    </row>
    <row r="342" spans="1:12" x14ac:dyDescent="0.3">
      <c r="A342" t="s">
        <v>11</v>
      </c>
      <c r="B342">
        <v>30</v>
      </c>
      <c r="C342" s="1">
        <v>50777.202072538857</v>
      </c>
      <c r="D342" t="s">
        <v>34</v>
      </c>
      <c r="E342" t="s">
        <v>30</v>
      </c>
      <c r="F342" t="s">
        <v>40</v>
      </c>
      <c r="G342" s="2">
        <v>43195</v>
      </c>
      <c r="H342" t="s">
        <v>38</v>
      </c>
      <c r="I342" t="s">
        <v>39</v>
      </c>
      <c r="J342" t="s">
        <v>28</v>
      </c>
      <c r="K342" s="2" t="str">
        <f t="shared" ca="1" si="5"/>
        <v>7 Years</v>
      </c>
      <c r="L342" s="3" cm="1">
        <f t="array" ref="L342">_xlfn.SWITCH(Table13_2[[#This Row],[Performance Score]],"A",6,"B",5,"C",4,"D",3,"E",2,"F",1)</f>
        <v>5</v>
      </c>
    </row>
    <row r="343" spans="1:12" x14ac:dyDescent="0.3">
      <c r="A343" t="s">
        <v>46</v>
      </c>
      <c r="B343">
        <v>50</v>
      </c>
      <c r="C343" s="1">
        <v>49144.385026737968</v>
      </c>
      <c r="D343" t="s">
        <v>19</v>
      </c>
      <c r="E343" t="s">
        <v>35</v>
      </c>
      <c r="F343" t="s">
        <v>40</v>
      </c>
      <c r="G343" s="2">
        <v>43549</v>
      </c>
      <c r="H343" t="s">
        <v>31</v>
      </c>
      <c r="I343" t="s">
        <v>32</v>
      </c>
      <c r="J343" t="s">
        <v>24</v>
      </c>
      <c r="K343" s="2" t="str">
        <f t="shared" ca="1" si="5"/>
        <v>6 Years</v>
      </c>
      <c r="L343" s="3" cm="1">
        <f t="array" ref="L343">_xlfn.SWITCH(Table13_2[[#This Row],[Performance Score]],"A",6,"B",5,"C",4,"D",3,"E",2,"F",1)</f>
        <v>6</v>
      </c>
    </row>
    <row r="344" spans="1:12" x14ac:dyDescent="0.3">
      <c r="A344" t="s">
        <v>18</v>
      </c>
      <c r="B344">
        <v>40</v>
      </c>
      <c r="C344" s="1">
        <v>60000</v>
      </c>
      <c r="D344" t="s">
        <v>34</v>
      </c>
      <c r="E344" t="s">
        <v>13</v>
      </c>
      <c r="F344" t="s">
        <v>21</v>
      </c>
      <c r="G344" s="2">
        <v>43800</v>
      </c>
      <c r="H344" t="s">
        <v>22</v>
      </c>
      <c r="I344" t="s">
        <v>16</v>
      </c>
      <c r="J344" t="s">
        <v>28</v>
      </c>
      <c r="K344" s="2" t="str">
        <f t="shared" ca="1" si="5"/>
        <v>6 Years</v>
      </c>
      <c r="L344" s="3" cm="1">
        <f t="array" ref="L344">_xlfn.SWITCH(Table13_2[[#This Row],[Performance Score]],"A",6,"B",5,"C",4,"D",3,"E",2,"F",1)</f>
        <v>1</v>
      </c>
    </row>
    <row r="345" spans="1:12" x14ac:dyDescent="0.3">
      <c r="A345" t="s">
        <v>18</v>
      </c>
      <c r="B345">
        <v>25</v>
      </c>
      <c r="C345" s="1">
        <v>65000</v>
      </c>
      <c r="D345" t="s">
        <v>12</v>
      </c>
      <c r="E345" t="s">
        <v>13</v>
      </c>
      <c r="F345" t="s">
        <v>41</v>
      </c>
      <c r="G345" s="2">
        <v>43845</v>
      </c>
      <c r="H345" t="s">
        <v>15</v>
      </c>
      <c r="I345" t="s">
        <v>23</v>
      </c>
      <c r="J345" t="s">
        <v>24</v>
      </c>
      <c r="K345" s="2" t="str">
        <f t="shared" ca="1" si="5"/>
        <v>5 Years</v>
      </c>
      <c r="L345" s="3" cm="1">
        <f t="array" ref="L345">_xlfn.SWITCH(Table13_2[[#This Row],[Performance Score]],"A",6,"B",5,"C",4,"D",3,"E",2,"F",1)</f>
        <v>3</v>
      </c>
    </row>
    <row r="346" spans="1:12" x14ac:dyDescent="0.3">
      <c r="A346" t="s">
        <v>45</v>
      </c>
      <c r="B346">
        <v>35</v>
      </c>
      <c r="C346" s="1">
        <v>48417.431192660551</v>
      </c>
      <c r="D346" t="s">
        <v>12</v>
      </c>
      <c r="E346" t="s">
        <v>20</v>
      </c>
      <c r="F346" t="s">
        <v>40</v>
      </c>
      <c r="G346" s="2">
        <v>43881</v>
      </c>
      <c r="H346" t="s">
        <v>38</v>
      </c>
      <c r="I346" t="s">
        <v>32</v>
      </c>
      <c r="J346" t="s">
        <v>28</v>
      </c>
      <c r="K346" s="2" t="str">
        <f t="shared" ca="1" si="5"/>
        <v>5 Years</v>
      </c>
      <c r="L346" s="3" cm="1">
        <f t="array" ref="L346">_xlfn.SWITCH(Table13_2[[#This Row],[Performance Score]],"A",6,"B",5,"C",4,"D",3,"E",2,"F",1)</f>
        <v>5</v>
      </c>
    </row>
    <row r="347" spans="1:12" x14ac:dyDescent="0.3">
      <c r="A347" t="s">
        <v>25</v>
      </c>
      <c r="B347">
        <v>30</v>
      </c>
      <c r="C347" s="1">
        <v>50000</v>
      </c>
      <c r="D347" t="s">
        <v>19</v>
      </c>
      <c r="E347" t="s">
        <v>13</v>
      </c>
      <c r="F347" t="s">
        <v>21</v>
      </c>
      <c r="G347" s="2">
        <v>43800</v>
      </c>
      <c r="H347" t="s">
        <v>15</v>
      </c>
      <c r="I347" t="s">
        <v>32</v>
      </c>
      <c r="J347" t="s">
        <v>28</v>
      </c>
      <c r="K347" s="2" t="str">
        <f t="shared" ca="1" si="5"/>
        <v>6 Years</v>
      </c>
      <c r="L347" s="3" cm="1">
        <f t="array" ref="L347">_xlfn.SWITCH(Table13_2[[#This Row],[Performance Score]],"A",6,"B",5,"C",4,"D",3,"E",2,"F",1)</f>
        <v>3</v>
      </c>
    </row>
    <row r="348" spans="1:12" x14ac:dyDescent="0.3">
      <c r="A348" t="s">
        <v>36</v>
      </c>
      <c r="B348">
        <v>35</v>
      </c>
      <c r="C348" s="1">
        <v>70000</v>
      </c>
      <c r="D348" t="s">
        <v>19</v>
      </c>
      <c r="E348" t="s">
        <v>35</v>
      </c>
      <c r="F348" t="s">
        <v>41</v>
      </c>
      <c r="G348" s="2">
        <v>43195</v>
      </c>
      <c r="H348" t="s">
        <v>15</v>
      </c>
      <c r="I348" t="s">
        <v>39</v>
      </c>
      <c r="J348" t="s">
        <v>24</v>
      </c>
      <c r="K348" s="2" t="str">
        <f t="shared" ca="1" si="5"/>
        <v>7 Years</v>
      </c>
      <c r="L348" s="3" cm="1">
        <f t="array" ref="L348">_xlfn.SWITCH(Table13_2[[#This Row],[Performance Score]],"A",6,"B",5,"C",4,"D",3,"E",2,"F",1)</f>
        <v>3</v>
      </c>
    </row>
    <row r="349" spans="1:12" x14ac:dyDescent="0.3">
      <c r="A349" t="s">
        <v>11</v>
      </c>
      <c r="B349">
        <v>40</v>
      </c>
      <c r="C349" s="1">
        <v>60000</v>
      </c>
      <c r="D349" t="s">
        <v>34</v>
      </c>
      <c r="E349" t="s">
        <v>20</v>
      </c>
      <c r="F349" t="s">
        <v>37</v>
      </c>
      <c r="G349" s="2">
        <v>43845</v>
      </c>
      <c r="H349" t="s">
        <v>27</v>
      </c>
      <c r="I349" t="s">
        <v>16</v>
      </c>
      <c r="J349" t="s">
        <v>28</v>
      </c>
      <c r="K349" s="2" t="str">
        <f t="shared" ca="1" si="5"/>
        <v>5 Years</v>
      </c>
      <c r="L349" s="3" cm="1">
        <f t="array" ref="L349">_xlfn.SWITCH(Table13_2[[#This Row],[Performance Score]],"A",6,"B",5,"C",4,"D",3,"E",2,"F",1)</f>
        <v>4</v>
      </c>
    </row>
    <row r="350" spans="1:12" x14ac:dyDescent="0.3">
      <c r="A350" t="s">
        <v>44</v>
      </c>
      <c r="B350">
        <v>30</v>
      </c>
      <c r="C350" s="1">
        <v>55000</v>
      </c>
      <c r="D350" t="s">
        <v>34</v>
      </c>
      <c r="E350" t="s">
        <v>20</v>
      </c>
      <c r="F350" t="s">
        <v>37</v>
      </c>
      <c r="G350" s="2">
        <v>43800</v>
      </c>
      <c r="H350" t="s">
        <v>27</v>
      </c>
      <c r="I350" t="s">
        <v>23</v>
      </c>
      <c r="J350" t="s">
        <v>17</v>
      </c>
      <c r="K350" s="2" t="str">
        <f t="shared" ca="1" si="5"/>
        <v>6 Years</v>
      </c>
      <c r="L350" s="3" cm="1">
        <f t="array" ref="L350">_xlfn.SWITCH(Table13_2[[#This Row],[Performance Score]],"A",6,"B",5,"C",4,"D",3,"E",2,"F",1)</f>
        <v>4</v>
      </c>
    </row>
    <row r="351" spans="1:12" x14ac:dyDescent="0.3">
      <c r="A351" t="s">
        <v>44</v>
      </c>
      <c r="B351">
        <v>50</v>
      </c>
      <c r="C351" s="1">
        <v>60000</v>
      </c>
      <c r="D351" t="s">
        <v>12</v>
      </c>
      <c r="E351" t="s">
        <v>30</v>
      </c>
      <c r="F351" t="s">
        <v>14</v>
      </c>
      <c r="G351" s="2">
        <v>43845</v>
      </c>
      <c r="H351" t="s">
        <v>38</v>
      </c>
      <c r="I351" t="s">
        <v>32</v>
      </c>
      <c r="J351" t="s">
        <v>17</v>
      </c>
      <c r="K351" s="2" t="str">
        <f t="shared" ca="1" si="5"/>
        <v>5 Years</v>
      </c>
      <c r="L351" s="3" cm="1">
        <f t="array" ref="L351">_xlfn.SWITCH(Table13_2[[#This Row],[Performance Score]],"A",6,"B",5,"C",4,"D",3,"E",2,"F",1)</f>
        <v>5</v>
      </c>
    </row>
    <row r="352" spans="1:12" x14ac:dyDescent="0.3">
      <c r="A352" t="s">
        <v>11</v>
      </c>
      <c r="B352">
        <v>36</v>
      </c>
      <c r="C352" s="1">
        <v>55000</v>
      </c>
      <c r="D352" t="s">
        <v>19</v>
      </c>
      <c r="E352" t="s">
        <v>30</v>
      </c>
      <c r="F352" t="s">
        <v>21</v>
      </c>
      <c r="G352" s="2">
        <v>43881</v>
      </c>
      <c r="H352" t="s">
        <v>27</v>
      </c>
      <c r="I352" t="s">
        <v>23</v>
      </c>
      <c r="J352" t="s">
        <v>42</v>
      </c>
      <c r="K352" s="2" t="str">
        <f t="shared" ca="1" si="5"/>
        <v>5 Years</v>
      </c>
      <c r="L352" s="3" cm="1">
        <f t="array" ref="L352">_xlfn.SWITCH(Table13_2[[#This Row],[Performance Score]],"A",6,"B",5,"C",4,"D",3,"E",2,"F",1)</f>
        <v>4</v>
      </c>
    </row>
    <row r="353" spans="1:12" x14ac:dyDescent="0.3">
      <c r="A353" t="s">
        <v>43</v>
      </c>
      <c r="B353">
        <v>35</v>
      </c>
      <c r="C353" s="1">
        <v>60000</v>
      </c>
      <c r="D353" t="s">
        <v>19</v>
      </c>
      <c r="E353" t="s">
        <v>13</v>
      </c>
      <c r="F353" t="s">
        <v>41</v>
      </c>
      <c r="G353" s="2">
        <v>43195</v>
      </c>
      <c r="H353" t="s">
        <v>27</v>
      </c>
      <c r="I353" t="s">
        <v>39</v>
      </c>
      <c r="J353" t="s">
        <v>28</v>
      </c>
      <c r="K353" s="2" t="str">
        <f t="shared" ca="1" si="5"/>
        <v>7 Years</v>
      </c>
      <c r="L353" s="3" cm="1">
        <f t="array" ref="L353">_xlfn.SWITCH(Table13_2[[#This Row],[Performance Score]],"A",6,"B",5,"C",4,"D",3,"E",2,"F",1)</f>
        <v>4</v>
      </c>
    </row>
    <row r="354" spans="1:12" x14ac:dyDescent="0.3">
      <c r="A354" t="s">
        <v>36</v>
      </c>
      <c r="B354">
        <v>30</v>
      </c>
      <c r="C354" s="1">
        <v>55000</v>
      </c>
      <c r="D354" t="s">
        <v>19</v>
      </c>
      <c r="E354" t="s">
        <v>20</v>
      </c>
      <c r="F354" t="s">
        <v>40</v>
      </c>
      <c r="G354" s="2">
        <v>43845</v>
      </c>
      <c r="H354" t="s">
        <v>27</v>
      </c>
      <c r="I354" t="s">
        <v>32</v>
      </c>
      <c r="J354" t="s">
        <v>28</v>
      </c>
      <c r="K354" s="2" t="str">
        <f t="shared" ca="1" si="5"/>
        <v>5 Years</v>
      </c>
      <c r="L354" s="3" cm="1">
        <f t="array" ref="L354">_xlfn.SWITCH(Table13_2[[#This Row],[Performance Score]],"A",6,"B",5,"C",4,"D",3,"E",2,"F",1)</f>
        <v>4</v>
      </c>
    </row>
    <row r="355" spans="1:12" x14ac:dyDescent="0.3">
      <c r="A355" t="s">
        <v>46</v>
      </c>
      <c r="B355">
        <v>35</v>
      </c>
      <c r="C355" s="1">
        <v>50777.202072538857</v>
      </c>
      <c r="D355" t="s">
        <v>34</v>
      </c>
      <c r="E355" t="s">
        <v>30</v>
      </c>
      <c r="F355" t="s">
        <v>37</v>
      </c>
      <c r="G355" s="2">
        <v>43800</v>
      </c>
      <c r="H355" t="s">
        <v>15</v>
      </c>
      <c r="I355" t="s">
        <v>32</v>
      </c>
      <c r="J355" t="s">
        <v>42</v>
      </c>
      <c r="K355" s="2" t="str">
        <f t="shared" ca="1" si="5"/>
        <v>6 Years</v>
      </c>
      <c r="L355" s="3" cm="1">
        <f t="array" ref="L355">_xlfn.SWITCH(Table13_2[[#This Row],[Performance Score]],"A",6,"B",5,"C",4,"D",3,"E",2,"F",1)</f>
        <v>3</v>
      </c>
    </row>
    <row r="356" spans="1:12" x14ac:dyDescent="0.3">
      <c r="A356" t="s">
        <v>33</v>
      </c>
      <c r="B356">
        <v>30</v>
      </c>
      <c r="C356" s="1">
        <v>65000</v>
      </c>
      <c r="D356" t="s">
        <v>19</v>
      </c>
      <c r="E356" t="s">
        <v>35</v>
      </c>
      <c r="F356" t="s">
        <v>41</v>
      </c>
      <c r="G356" s="2">
        <v>43881</v>
      </c>
      <c r="H356" t="s">
        <v>38</v>
      </c>
      <c r="I356" t="s">
        <v>39</v>
      </c>
      <c r="J356" t="s">
        <v>28</v>
      </c>
      <c r="K356" s="2" t="str">
        <f t="shared" ca="1" si="5"/>
        <v>5 Years</v>
      </c>
      <c r="L356" s="3" cm="1">
        <f t="array" ref="L356">_xlfn.SWITCH(Table13_2[[#This Row],[Performance Score]],"A",6,"B",5,"C",4,"D",3,"E",2,"F",1)</f>
        <v>5</v>
      </c>
    </row>
    <row r="357" spans="1:12" x14ac:dyDescent="0.3">
      <c r="A357" t="s">
        <v>43</v>
      </c>
      <c r="B357">
        <v>25</v>
      </c>
      <c r="C357" s="1">
        <v>55000</v>
      </c>
      <c r="D357" t="s">
        <v>12</v>
      </c>
      <c r="E357" t="s">
        <v>30</v>
      </c>
      <c r="F357" t="s">
        <v>21</v>
      </c>
      <c r="G357" s="2">
        <v>43881</v>
      </c>
      <c r="H357" t="s">
        <v>15</v>
      </c>
      <c r="I357" t="s">
        <v>39</v>
      </c>
      <c r="J357" t="s">
        <v>42</v>
      </c>
      <c r="K357" s="2" t="str">
        <f t="shared" ca="1" si="5"/>
        <v>5 Years</v>
      </c>
      <c r="L357" s="3" cm="1">
        <f t="array" ref="L357">_xlfn.SWITCH(Table13_2[[#This Row],[Performance Score]],"A",6,"B",5,"C",4,"D",3,"E",2,"F",1)</f>
        <v>3</v>
      </c>
    </row>
    <row r="358" spans="1:12" x14ac:dyDescent="0.3">
      <c r="A358" t="s">
        <v>33</v>
      </c>
      <c r="B358">
        <v>50</v>
      </c>
      <c r="C358" s="1">
        <v>55000</v>
      </c>
      <c r="D358" t="s">
        <v>12</v>
      </c>
      <c r="E358" t="s">
        <v>30</v>
      </c>
      <c r="F358" t="s">
        <v>14</v>
      </c>
      <c r="G358" s="2">
        <v>43800</v>
      </c>
      <c r="H358" t="s">
        <v>22</v>
      </c>
      <c r="I358" t="s">
        <v>32</v>
      </c>
      <c r="J358" t="s">
        <v>24</v>
      </c>
      <c r="K358" s="2" t="str">
        <f t="shared" ca="1" si="5"/>
        <v>6 Years</v>
      </c>
      <c r="L358" s="3" cm="1">
        <f t="array" ref="L358">_xlfn.SWITCH(Table13_2[[#This Row],[Performance Score]],"A",6,"B",5,"C",4,"D",3,"E",2,"F",1)</f>
        <v>1</v>
      </c>
    </row>
    <row r="359" spans="1:12" x14ac:dyDescent="0.3">
      <c r="A359" t="s">
        <v>33</v>
      </c>
      <c r="B359">
        <v>35</v>
      </c>
      <c r="C359" s="1">
        <v>50000</v>
      </c>
      <c r="D359" t="s">
        <v>34</v>
      </c>
      <c r="E359" t="s">
        <v>20</v>
      </c>
      <c r="F359" t="s">
        <v>37</v>
      </c>
      <c r="G359" s="2">
        <v>43800</v>
      </c>
      <c r="H359" t="s">
        <v>15</v>
      </c>
      <c r="I359" t="s">
        <v>23</v>
      </c>
      <c r="J359" t="s">
        <v>17</v>
      </c>
      <c r="K359" s="2" t="str">
        <f t="shared" ca="1" si="5"/>
        <v>6 Years</v>
      </c>
      <c r="L359" s="3" cm="1">
        <f t="array" ref="L359">_xlfn.SWITCH(Table13_2[[#This Row],[Performance Score]],"A",6,"B",5,"C",4,"D",3,"E",2,"F",1)</f>
        <v>3</v>
      </c>
    </row>
    <row r="360" spans="1:12" x14ac:dyDescent="0.3">
      <c r="A360" t="s">
        <v>43</v>
      </c>
      <c r="B360">
        <v>36</v>
      </c>
      <c r="C360" s="1">
        <v>55000</v>
      </c>
      <c r="D360" t="s">
        <v>34</v>
      </c>
      <c r="E360" t="s">
        <v>20</v>
      </c>
      <c r="F360" t="s">
        <v>41</v>
      </c>
      <c r="G360" s="2">
        <v>43845</v>
      </c>
      <c r="H360" t="s">
        <v>22</v>
      </c>
      <c r="I360" t="s">
        <v>16</v>
      </c>
      <c r="J360" t="s">
        <v>17</v>
      </c>
      <c r="K360" s="2" t="str">
        <f t="shared" ca="1" si="5"/>
        <v>5 Years</v>
      </c>
      <c r="L360" s="3" cm="1">
        <f t="array" ref="L360">_xlfn.SWITCH(Table13_2[[#This Row],[Performance Score]],"A",6,"B",5,"C",4,"D",3,"E",2,"F",1)</f>
        <v>1</v>
      </c>
    </row>
    <row r="361" spans="1:12" x14ac:dyDescent="0.3">
      <c r="A361" t="s">
        <v>45</v>
      </c>
      <c r="B361">
        <v>36</v>
      </c>
      <c r="C361" s="1">
        <v>50000</v>
      </c>
      <c r="D361" t="s">
        <v>19</v>
      </c>
      <c r="E361" t="s">
        <v>26</v>
      </c>
      <c r="F361" t="s">
        <v>41</v>
      </c>
      <c r="G361" s="2">
        <v>43549</v>
      </c>
      <c r="H361" t="s">
        <v>31</v>
      </c>
      <c r="I361" t="s">
        <v>23</v>
      </c>
      <c r="J361" t="s">
        <v>17</v>
      </c>
      <c r="K361" s="2" t="str">
        <f t="shared" ca="1" si="5"/>
        <v>6 Years</v>
      </c>
      <c r="L361" s="3" cm="1">
        <f t="array" ref="L361">_xlfn.SWITCH(Table13_2[[#This Row],[Performance Score]],"A",6,"B",5,"C",4,"D",3,"E",2,"F",1)</f>
        <v>6</v>
      </c>
    </row>
    <row r="362" spans="1:12" x14ac:dyDescent="0.3">
      <c r="A362" t="s">
        <v>18</v>
      </c>
      <c r="B362">
        <v>40</v>
      </c>
      <c r="C362" s="1">
        <v>70000</v>
      </c>
      <c r="D362" t="s">
        <v>34</v>
      </c>
      <c r="E362" t="s">
        <v>35</v>
      </c>
      <c r="F362" t="s">
        <v>41</v>
      </c>
      <c r="G362" s="2">
        <v>43881</v>
      </c>
      <c r="H362" t="s">
        <v>31</v>
      </c>
      <c r="I362" t="s">
        <v>39</v>
      </c>
      <c r="J362" t="s">
        <v>28</v>
      </c>
      <c r="K362" s="2" t="str">
        <f t="shared" ca="1" si="5"/>
        <v>5 Years</v>
      </c>
      <c r="L362" s="3" cm="1">
        <f t="array" ref="L362">_xlfn.SWITCH(Table13_2[[#This Row],[Performance Score]],"A",6,"B",5,"C",4,"D",3,"E",2,"F",1)</f>
        <v>6</v>
      </c>
    </row>
    <row r="363" spans="1:12" x14ac:dyDescent="0.3">
      <c r="A363" t="s">
        <v>33</v>
      </c>
      <c r="B363">
        <v>30</v>
      </c>
      <c r="C363" s="1">
        <v>48417.431192660551</v>
      </c>
      <c r="D363" t="s">
        <v>12</v>
      </c>
      <c r="E363" t="s">
        <v>20</v>
      </c>
      <c r="F363" t="s">
        <v>21</v>
      </c>
      <c r="G363" s="2">
        <v>43845</v>
      </c>
      <c r="H363" t="s">
        <v>22</v>
      </c>
      <c r="I363" t="s">
        <v>16</v>
      </c>
      <c r="J363" t="s">
        <v>17</v>
      </c>
      <c r="K363" s="2" t="str">
        <f t="shared" ca="1" si="5"/>
        <v>5 Years</v>
      </c>
      <c r="L363" s="3" cm="1">
        <f t="array" ref="L363">_xlfn.SWITCH(Table13_2[[#This Row],[Performance Score]],"A",6,"B",5,"C",4,"D",3,"E",2,"F",1)</f>
        <v>1</v>
      </c>
    </row>
    <row r="364" spans="1:12" x14ac:dyDescent="0.3">
      <c r="A364" t="s">
        <v>43</v>
      </c>
      <c r="B364">
        <v>35</v>
      </c>
      <c r="C364" s="1">
        <v>50000</v>
      </c>
      <c r="D364" t="s">
        <v>19</v>
      </c>
      <c r="E364" t="s">
        <v>13</v>
      </c>
      <c r="F364" t="s">
        <v>21</v>
      </c>
      <c r="G364" s="2">
        <v>43800</v>
      </c>
      <c r="H364" t="s">
        <v>22</v>
      </c>
      <c r="I364" t="s">
        <v>23</v>
      </c>
      <c r="J364" t="s">
        <v>24</v>
      </c>
      <c r="K364" s="2" t="str">
        <f t="shared" ca="1" si="5"/>
        <v>6 Years</v>
      </c>
      <c r="L364" s="3" cm="1">
        <f t="array" ref="L364">_xlfn.SWITCH(Table13_2[[#This Row],[Performance Score]],"A",6,"B",5,"C",4,"D",3,"E",2,"F",1)</f>
        <v>1</v>
      </c>
    </row>
    <row r="365" spans="1:12" x14ac:dyDescent="0.3">
      <c r="A365" t="s">
        <v>43</v>
      </c>
      <c r="B365">
        <v>40</v>
      </c>
      <c r="C365" s="1">
        <v>65000</v>
      </c>
      <c r="D365" t="s">
        <v>12</v>
      </c>
      <c r="E365" t="s">
        <v>35</v>
      </c>
      <c r="F365" t="s">
        <v>21</v>
      </c>
      <c r="G365" s="2">
        <v>43845</v>
      </c>
      <c r="H365" t="s">
        <v>15</v>
      </c>
      <c r="I365" t="s">
        <v>23</v>
      </c>
      <c r="J365" t="s">
        <v>17</v>
      </c>
      <c r="K365" s="2" t="str">
        <f t="shared" ca="1" si="5"/>
        <v>5 Years</v>
      </c>
      <c r="L365" s="3" cm="1">
        <f t="array" ref="L365">_xlfn.SWITCH(Table13_2[[#This Row],[Performance Score]],"A",6,"B",5,"C",4,"D",3,"E",2,"F",1)</f>
        <v>3</v>
      </c>
    </row>
    <row r="366" spans="1:12" x14ac:dyDescent="0.3">
      <c r="A366" t="s">
        <v>29</v>
      </c>
      <c r="B366">
        <v>35</v>
      </c>
      <c r="C366" s="1">
        <v>49144.385026737968</v>
      </c>
      <c r="D366" t="s">
        <v>19</v>
      </c>
      <c r="E366" t="s">
        <v>35</v>
      </c>
      <c r="F366" t="s">
        <v>40</v>
      </c>
      <c r="G366" s="2">
        <v>43800</v>
      </c>
      <c r="H366" t="s">
        <v>22</v>
      </c>
      <c r="I366" t="s">
        <v>39</v>
      </c>
      <c r="J366" t="s">
        <v>24</v>
      </c>
      <c r="K366" s="2" t="str">
        <f t="shared" ca="1" si="5"/>
        <v>6 Years</v>
      </c>
      <c r="L366" s="3" cm="1">
        <f t="array" ref="L366">_xlfn.SWITCH(Table13_2[[#This Row],[Performance Score]],"A",6,"B",5,"C",4,"D",3,"E",2,"F",1)</f>
        <v>1</v>
      </c>
    </row>
    <row r="367" spans="1:12" x14ac:dyDescent="0.3">
      <c r="A367" t="s">
        <v>45</v>
      </c>
      <c r="B367">
        <v>30</v>
      </c>
      <c r="C367" s="1">
        <v>50000</v>
      </c>
      <c r="D367" t="s">
        <v>34</v>
      </c>
      <c r="E367" t="s">
        <v>20</v>
      </c>
      <c r="F367" t="s">
        <v>41</v>
      </c>
      <c r="G367" s="2">
        <v>43195</v>
      </c>
      <c r="H367" t="s">
        <v>38</v>
      </c>
      <c r="I367" t="s">
        <v>39</v>
      </c>
      <c r="J367" t="s">
        <v>24</v>
      </c>
      <c r="K367" s="2" t="str">
        <f t="shared" ca="1" si="5"/>
        <v>7 Years</v>
      </c>
      <c r="L367" s="3" cm="1">
        <f t="array" ref="L367">_xlfn.SWITCH(Table13_2[[#This Row],[Performance Score]],"A",6,"B",5,"C",4,"D",3,"E",2,"F",1)</f>
        <v>5</v>
      </c>
    </row>
    <row r="368" spans="1:12" x14ac:dyDescent="0.3">
      <c r="A368" t="s">
        <v>25</v>
      </c>
      <c r="B368">
        <v>36</v>
      </c>
      <c r="C368" s="1">
        <v>49144.385026737968</v>
      </c>
      <c r="D368" t="s">
        <v>19</v>
      </c>
      <c r="E368" t="s">
        <v>35</v>
      </c>
      <c r="F368" t="s">
        <v>37</v>
      </c>
      <c r="G368" s="2">
        <v>43800</v>
      </c>
      <c r="H368" t="s">
        <v>31</v>
      </c>
      <c r="I368" t="s">
        <v>39</v>
      </c>
      <c r="J368" t="s">
        <v>28</v>
      </c>
      <c r="K368" s="2" t="str">
        <f t="shared" ca="1" si="5"/>
        <v>6 Years</v>
      </c>
      <c r="L368" s="3" cm="1">
        <f t="array" ref="L368">_xlfn.SWITCH(Table13_2[[#This Row],[Performance Score]],"A",6,"B",5,"C",4,"D",3,"E",2,"F",1)</f>
        <v>6</v>
      </c>
    </row>
    <row r="369" spans="1:12" x14ac:dyDescent="0.3">
      <c r="A369" t="s">
        <v>29</v>
      </c>
      <c r="B369">
        <v>25</v>
      </c>
      <c r="C369" s="1">
        <v>48417.431192660551</v>
      </c>
      <c r="D369" t="s">
        <v>19</v>
      </c>
      <c r="E369" t="s">
        <v>20</v>
      </c>
      <c r="F369" t="s">
        <v>21</v>
      </c>
      <c r="G369" s="2">
        <v>43800</v>
      </c>
      <c r="H369" t="s">
        <v>31</v>
      </c>
      <c r="I369" t="s">
        <v>16</v>
      </c>
      <c r="J369" t="s">
        <v>24</v>
      </c>
      <c r="K369" s="2" t="str">
        <f t="shared" ca="1" si="5"/>
        <v>6 Years</v>
      </c>
      <c r="L369" s="3" cm="1">
        <f t="array" ref="L369">_xlfn.SWITCH(Table13_2[[#This Row],[Performance Score]],"A",6,"B",5,"C",4,"D",3,"E",2,"F",1)</f>
        <v>6</v>
      </c>
    </row>
    <row r="370" spans="1:12" x14ac:dyDescent="0.3">
      <c r="A370" t="s">
        <v>29</v>
      </c>
      <c r="B370">
        <v>36</v>
      </c>
      <c r="C370" s="1">
        <v>50777.202072538857</v>
      </c>
      <c r="D370" t="s">
        <v>12</v>
      </c>
      <c r="E370" t="s">
        <v>30</v>
      </c>
      <c r="F370" t="s">
        <v>21</v>
      </c>
      <c r="G370" s="2">
        <v>43800</v>
      </c>
      <c r="H370" t="s">
        <v>22</v>
      </c>
      <c r="I370" t="s">
        <v>39</v>
      </c>
      <c r="J370" t="s">
        <v>17</v>
      </c>
      <c r="K370" s="2" t="str">
        <f t="shared" ca="1" si="5"/>
        <v>6 Years</v>
      </c>
      <c r="L370" s="3" cm="1">
        <f t="array" ref="L370">_xlfn.SWITCH(Table13_2[[#This Row],[Performance Score]],"A",6,"B",5,"C",4,"D",3,"E",2,"F",1)</f>
        <v>1</v>
      </c>
    </row>
    <row r="371" spans="1:12" x14ac:dyDescent="0.3">
      <c r="A371" t="s">
        <v>11</v>
      </c>
      <c r="B371">
        <v>40</v>
      </c>
      <c r="C371" s="1">
        <v>70000</v>
      </c>
      <c r="D371" t="s">
        <v>12</v>
      </c>
      <c r="E371" t="s">
        <v>26</v>
      </c>
      <c r="F371" t="s">
        <v>41</v>
      </c>
      <c r="G371" s="2">
        <v>43549</v>
      </c>
      <c r="H371" t="s">
        <v>27</v>
      </c>
      <c r="I371" t="s">
        <v>39</v>
      </c>
      <c r="J371" t="s">
        <v>17</v>
      </c>
      <c r="K371" s="2" t="str">
        <f t="shared" ca="1" si="5"/>
        <v>6 Years</v>
      </c>
      <c r="L371" s="3" cm="1">
        <f t="array" ref="L371">_xlfn.SWITCH(Table13_2[[#This Row],[Performance Score]],"A",6,"B",5,"C",4,"D",3,"E",2,"F",1)</f>
        <v>4</v>
      </c>
    </row>
    <row r="372" spans="1:12" x14ac:dyDescent="0.3">
      <c r="A372" t="s">
        <v>18</v>
      </c>
      <c r="B372">
        <v>50</v>
      </c>
      <c r="C372" s="1">
        <v>65000</v>
      </c>
      <c r="D372" t="s">
        <v>19</v>
      </c>
      <c r="E372" t="s">
        <v>30</v>
      </c>
      <c r="F372" t="s">
        <v>21</v>
      </c>
      <c r="G372" s="2">
        <v>43800</v>
      </c>
      <c r="H372" t="s">
        <v>27</v>
      </c>
      <c r="I372" t="s">
        <v>32</v>
      </c>
      <c r="J372" t="s">
        <v>17</v>
      </c>
      <c r="K372" s="2" t="str">
        <f t="shared" ca="1" si="5"/>
        <v>6 Years</v>
      </c>
      <c r="L372" s="3" cm="1">
        <f t="array" ref="L372">_xlfn.SWITCH(Table13_2[[#This Row],[Performance Score]],"A",6,"B",5,"C",4,"D",3,"E",2,"F",1)</f>
        <v>4</v>
      </c>
    </row>
    <row r="373" spans="1:12" x14ac:dyDescent="0.3">
      <c r="A373" t="s">
        <v>43</v>
      </c>
      <c r="B373">
        <v>25</v>
      </c>
      <c r="C373" s="1">
        <v>60000</v>
      </c>
      <c r="D373" t="s">
        <v>34</v>
      </c>
      <c r="E373" t="s">
        <v>20</v>
      </c>
      <c r="F373" t="s">
        <v>40</v>
      </c>
      <c r="G373" s="2">
        <v>43881</v>
      </c>
      <c r="H373" t="s">
        <v>22</v>
      </c>
      <c r="I373" t="s">
        <v>32</v>
      </c>
      <c r="J373" t="s">
        <v>28</v>
      </c>
      <c r="K373" s="2" t="str">
        <f t="shared" ca="1" si="5"/>
        <v>5 Years</v>
      </c>
      <c r="L373" s="3" cm="1">
        <f t="array" ref="L373">_xlfn.SWITCH(Table13_2[[#This Row],[Performance Score]],"A",6,"B",5,"C",4,"D",3,"E",2,"F",1)</f>
        <v>1</v>
      </c>
    </row>
    <row r="374" spans="1:12" x14ac:dyDescent="0.3">
      <c r="A374" t="s">
        <v>18</v>
      </c>
      <c r="B374">
        <v>40</v>
      </c>
      <c r="C374" s="1">
        <v>60000</v>
      </c>
      <c r="D374" t="s">
        <v>34</v>
      </c>
      <c r="E374" t="s">
        <v>20</v>
      </c>
      <c r="F374" t="s">
        <v>40</v>
      </c>
      <c r="G374" s="2">
        <v>43881</v>
      </c>
      <c r="H374" t="s">
        <v>38</v>
      </c>
      <c r="I374" t="s">
        <v>16</v>
      </c>
      <c r="J374" t="s">
        <v>17</v>
      </c>
      <c r="K374" s="2" t="str">
        <f t="shared" ca="1" si="5"/>
        <v>5 Years</v>
      </c>
      <c r="L374" s="3" cm="1">
        <f t="array" ref="L374">_xlfn.SWITCH(Table13_2[[#This Row],[Performance Score]],"A",6,"B",5,"C",4,"D",3,"E",2,"F",1)</f>
        <v>5</v>
      </c>
    </row>
    <row r="375" spans="1:12" x14ac:dyDescent="0.3">
      <c r="A375" t="s">
        <v>36</v>
      </c>
      <c r="B375">
        <v>30</v>
      </c>
      <c r="C375" s="1">
        <v>50000</v>
      </c>
      <c r="D375" t="s">
        <v>12</v>
      </c>
      <c r="E375" t="s">
        <v>30</v>
      </c>
      <c r="F375" t="s">
        <v>21</v>
      </c>
      <c r="G375" s="2">
        <v>43845</v>
      </c>
      <c r="H375" t="s">
        <v>27</v>
      </c>
      <c r="I375" t="s">
        <v>32</v>
      </c>
      <c r="J375" t="s">
        <v>42</v>
      </c>
      <c r="K375" s="2" t="str">
        <f t="shared" ca="1" si="5"/>
        <v>5 Years</v>
      </c>
      <c r="L375" s="3" cm="1">
        <f t="array" ref="L375">_xlfn.SWITCH(Table13_2[[#This Row],[Performance Score]],"A",6,"B",5,"C",4,"D",3,"E",2,"F",1)</f>
        <v>4</v>
      </c>
    </row>
    <row r="376" spans="1:12" x14ac:dyDescent="0.3">
      <c r="A376" t="s">
        <v>11</v>
      </c>
      <c r="B376">
        <v>25</v>
      </c>
      <c r="C376" s="1">
        <v>51825</v>
      </c>
      <c r="D376" t="s">
        <v>34</v>
      </c>
      <c r="E376" t="s">
        <v>13</v>
      </c>
      <c r="F376" t="s">
        <v>41</v>
      </c>
      <c r="G376" s="2">
        <v>43549</v>
      </c>
      <c r="H376" t="s">
        <v>22</v>
      </c>
      <c r="I376" t="s">
        <v>39</v>
      </c>
      <c r="J376" t="s">
        <v>17</v>
      </c>
      <c r="K376" s="2" t="str">
        <f t="shared" ca="1" si="5"/>
        <v>6 Years</v>
      </c>
      <c r="L376" s="3" cm="1">
        <f t="array" ref="L376">_xlfn.SWITCH(Table13_2[[#This Row],[Performance Score]],"A",6,"B",5,"C",4,"D",3,"E",2,"F",1)</f>
        <v>1</v>
      </c>
    </row>
    <row r="377" spans="1:12" x14ac:dyDescent="0.3">
      <c r="A377" t="s">
        <v>25</v>
      </c>
      <c r="B377">
        <v>40</v>
      </c>
      <c r="C377" s="1">
        <v>50000</v>
      </c>
      <c r="D377" t="s">
        <v>12</v>
      </c>
      <c r="E377" t="s">
        <v>13</v>
      </c>
      <c r="F377" t="s">
        <v>41</v>
      </c>
      <c r="G377" s="2">
        <v>43845</v>
      </c>
      <c r="H377" t="s">
        <v>38</v>
      </c>
      <c r="I377" t="s">
        <v>16</v>
      </c>
      <c r="J377" t="s">
        <v>42</v>
      </c>
      <c r="K377" s="2" t="str">
        <f t="shared" ca="1" si="5"/>
        <v>5 Years</v>
      </c>
      <c r="L377" s="3" cm="1">
        <f t="array" ref="L377">_xlfn.SWITCH(Table13_2[[#This Row],[Performance Score]],"A",6,"B",5,"C",4,"D",3,"E",2,"F",1)</f>
        <v>5</v>
      </c>
    </row>
    <row r="378" spans="1:12" x14ac:dyDescent="0.3">
      <c r="A378" t="s">
        <v>18</v>
      </c>
      <c r="B378">
        <v>30</v>
      </c>
      <c r="C378" s="1">
        <v>70000</v>
      </c>
      <c r="D378" t="s">
        <v>34</v>
      </c>
      <c r="E378" t="s">
        <v>13</v>
      </c>
      <c r="F378" t="s">
        <v>41</v>
      </c>
      <c r="G378" s="2">
        <v>43881</v>
      </c>
      <c r="H378" t="s">
        <v>38</v>
      </c>
      <c r="I378" t="s">
        <v>39</v>
      </c>
      <c r="J378" t="s">
        <v>42</v>
      </c>
      <c r="K378" s="2" t="str">
        <f t="shared" ca="1" si="5"/>
        <v>5 Years</v>
      </c>
      <c r="L378" s="3" cm="1">
        <f t="array" ref="L378">_xlfn.SWITCH(Table13_2[[#This Row],[Performance Score]],"A",6,"B",5,"C",4,"D",3,"E",2,"F",1)</f>
        <v>5</v>
      </c>
    </row>
    <row r="379" spans="1:12" x14ac:dyDescent="0.3">
      <c r="A379" t="s">
        <v>44</v>
      </c>
      <c r="B379">
        <v>36</v>
      </c>
      <c r="C379" s="1">
        <v>70000</v>
      </c>
      <c r="D379" t="s">
        <v>19</v>
      </c>
      <c r="E379" t="s">
        <v>20</v>
      </c>
      <c r="F379" t="s">
        <v>14</v>
      </c>
      <c r="G379" s="2">
        <v>43881</v>
      </c>
      <c r="H379" t="s">
        <v>15</v>
      </c>
      <c r="I379" t="s">
        <v>16</v>
      </c>
      <c r="J379" t="s">
        <v>28</v>
      </c>
      <c r="K379" s="2" t="str">
        <f t="shared" ca="1" si="5"/>
        <v>5 Years</v>
      </c>
      <c r="L379" s="3" cm="1">
        <f t="array" ref="L379">_xlfn.SWITCH(Table13_2[[#This Row],[Performance Score]],"A",6,"B",5,"C",4,"D",3,"E",2,"F",1)</f>
        <v>3</v>
      </c>
    </row>
    <row r="380" spans="1:12" x14ac:dyDescent="0.3">
      <c r="A380" t="s">
        <v>33</v>
      </c>
      <c r="B380">
        <v>50</v>
      </c>
      <c r="C380" s="1">
        <v>55000</v>
      </c>
      <c r="D380" t="s">
        <v>12</v>
      </c>
      <c r="E380" t="s">
        <v>35</v>
      </c>
      <c r="F380" t="s">
        <v>21</v>
      </c>
      <c r="G380" s="2">
        <v>43195</v>
      </c>
      <c r="H380" t="s">
        <v>38</v>
      </c>
      <c r="I380" t="s">
        <v>16</v>
      </c>
      <c r="J380" t="s">
        <v>24</v>
      </c>
      <c r="K380" s="2" t="str">
        <f t="shared" ca="1" si="5"/>
        <v>7 Years</v>
      </c>
      <c r="L380" s="3" cm="1">
        <f t="array" ref="L380">_xlfn.SWITCH(Table13_2[[#This Row],[Performance Score]],"A",6,"B",5,"C",4,"D",3,"E",2,"F",1)</f>
        <v>5</v>
      </c>
    </row>
    <row r="381" spans="1:12" x14ac:dyDescent="0.3">
      <c r="A381" t="s">
        <v>36</v>
      </c>
      <c r="B381">
        <v>30</v>
      </c>
      <c r="C381" s="1">
        <v>70000</v>
      </c>
      <c r="D381" t="s">
        <v>12</v>
      </c>
      <c r="E381" t="s">
        <v>20</v>
      </c>
      <c r="F381" t="s">
        <v>41</v>
      </c>
      <c r="G381" s="2">
        <v>43800</v>
      </c>
      <c r="H381" t="s">
        <v>27</v>
      </c>
      <c r="I381" t="s">
        <v>23</v>
      </c>
      <c r="J381" t="s">
        <v>42</v>
      </c>
      <c r="K381" s="2" t="str">
        <f t="shared" ca="1" si="5"/>
        <v>6 Years</v>
      </c>
      <c r="L381" s="3" cm="1">
        <f t="array" ref="L381">_xlfn.SWITCH(Table13_2[[#This Row],[Performance Score]],"A",6,"B",5,"C",4,"D",3,"E",2,"F",1)</f>
        <v>4</v>
      </c>
    </row>
    <row r="382" spans="1:12" x14ac:dyDescent="0.3">
      <c r="A382" t="s">
        <v>45</v>
      </c>
      <c r="B382">
        <v>35</v>
      </c>
      <c r="C382" s="1">
        <v>55000</v>
      </c>
      <c r="D382" t="s">
        <v>19</v>
      </c>
      <c r="E382" t="s">
        <v>35</v>
      </c>
      <c r="F382" t="s">
        <v>40</v>
      </c>
      <c r="G382" s="2">
        <v>43881</v>
      </c>
      <c r="H382" t="s">
        <v>27</v>
      </c>
      <c r="I382" t="s">
        <v>23</v>
      </c>
      <c r="J382" t="s">
        <v>17</v>
      </c>
      <c r="K382" s="2" t="str">
        <f t="shared" ca="1" si="5"/>
        <v>5 Years</v>
      </c>
      <c r="L382" s="3" cm="1">
        <f t="array" ref="L382">_xlfn.SWITCH(Table13_2[[#This Row],[Performance Score]],"A",6,"B",5,"C",4,"D",3,"E",2,"F",1)</f>
        <v>4</v>
      </c>
    </row>
    <row r="383" spans="1:12" x14ac:dyDescent="0.3">
      <c r="A383" t="s">
        <v>25</v>
      </c>
      <c r="B383">
        <v>30</v>
      </c>
      <c r="C383" s="1">
        <v>65000</v>
      </c>
      <c r="D383" t="s">
        <v>12</v>
      </c>
      <c r="E383" t="s">
        <v>30</v>
      </c>
      <c r="F383" t="s">
        <v>37</v>
      </c>
      <c r="G383" s="2">
        <v>43845</v>
      </c>
      <c r="H383" t="s">
        <v>22</v>
      </c>
      <c r="I383" t="s">
        <v>16</v>
      </c>
      <c r="J383" t="s">
        <v>24</v>
      </c>
      <c r="K383" s="2" t="str">
        <f t="shared" ca="1" si="5"/>
        <v>5 Years</v>
      </c>
      <c r="L383" s="3" cm="1">
        <f t="array" ref="L383">_xlfn.SWITCH(Table13_2[[#This Row],[Performance Score]],"A",6,"B",5,"C",4,"D",3,"E",2,"F",1)</f>
        <v>1</v>
      </c>
    </row>
    <row r="384" spans="1:12" x14ac:dyDescent="0.3">
      <c r="A384" t="s">
        <v>36</v>
      </c>
      <c r="B384">
        <v>30</v>
      </c>
      <c r="C384" s="1">
        <v>50000</v>
      </c>
      <c r="D384" t="s">
        <v>34</v>
      </c>
      <c r="E384" t="s">
        <v>26</v>
      </c>
      <c r="F384" t="s">
        <v>37</v>
      </c>
      <c r="G384" s="2">
        <v>43845</v>
      </c>
      <c r="H384" t="s">
        <v>22</v>
      </c>
      <c r="I384" t="s">
        <v>32</v>
      </c>
      <c r="J384" t="s">
        <v>17</v>
      </c>
      <c r="K384" s="2" t="str">
        <f t="shared" ca="1" si="5"/>
        <v>5 Years</v>
      </c>
      <c r="L384" s="3" cm="1">
        <f t="array" ref="L384">_xlfn.SWITCH(Table13_2[[#This Row],[Performance Score]],"A",6,"B",5,"C",4,"D",3,"E",2,"F",1)</f>
        <v>1</v>
      </c>
    </row>
    <row r="385" spans="1:12" x14ac:dyDescent="0.3">
      <c r="A385" t="s">
        <v>33</v>
      </c>
      <c r="B385">
        <v>50</v>
      </c>
      <c r="C385" s="1">
        <v>65000</v>
      </c>
      <c r="D385" t="s">
        <v>34</v>
      </c>
      <c r="E385" t="s">
        <v>35</v>
      </c>
      <c r="F385" t="s">
        <v>41</v>
      </c>
      <c r="G385" s="2">
        <v>43800</v>
      </c>
      <c r="H385" t="s">
        <v>38</v>
      </c>
      <c r="I385" t="s">
        <v>23</v>
      </c>
      <c r="J385" t="s">
        <v>17</v>
      </c>
      <c r="K385" s="2" t="str">
        <f t="shared" ca="1" si="5"/>
        <v>6 Years</v>
      </c>
      <c r="L385" s="3" cm="1">
        <f t="array" ref="L385">_xlfn.SWITCH(Table13_2[[#This Row],[Performance Score]],"A",6,"B",5,"C",4,"D",3,"E",2,"F",1)</f>
        <v>5</v>
      </c>
    </row>
    <row r="386" spans="1:12" x14ac:dyDescent="0.3">
      <c r="A386" t="s">
        <v>11</v>
      </c>
      <c r="B386">
        <v>35</v>
      </c>
      <c r="C386" s="1">
        <v>70000</v>
      </c>
      <c r="D386" t="s">
        <v>12</v>
      </c>
      <c r="E386" t="s">
        <v>13</v>
      </c>
      <c r="F386" t="s">
        <v>37</v>
      </c>
      <c r="G386" s="2">
        <v>43800</v>
      </c>
      <c r="H386" t="s">
        <v>31</v>
      </c>
      <c r="I386" t="s">
        <v>39</v>
      </c>
      <c r="J386" t="s">
        <v>24</v>
      </c>
      <c r="K386" s="2" t="str">
        <f t="shared" ca="1" si="5"/>
        <v>6 Years</v>
      </c>
      <c r="L386" s="3" cm="1">
        <f t="array" ref="L386">_xlfn.SWITCH(Table13_2[[#This Row],[Performance Score]],"A",6,"B",5,"C",4,"D",3,"E",2,"F",1)</f>
        <v>6</v>
      </c>
    </row>
    <row r="387" spans="1:12" x14ac:dyDescent="0.3">
      <c r="A387" t="s">
        <v>33</v>
      </c>
      <c r="B387">
        <v>40</v>
      </c>
      <c r="C387" s="1">
        <v>65000</v>
      </c>
      <c r="D387" t="s">
        <v>34</v>
      </c>
      <c r="E387" t="s">
        <v>20</v>
      </c>
      <c r="F387" t="s">
        <v>37</v>
      </c>
      <c r="G387" s="2">
        <v>43195</v>
      </c>
      <c r="H387" t="s">
        <v>15</v>
      </c>
      <c r="I387" t="s">
        <v>39</v>
      </c>
      <c r="J387" t="s">
        <v>24</v>
      </c>
      <c r="K387" s="2" t="str">
        <f t="shared" ref="K387:K450" ca="1" si="6">DATEDIF(G387,TODAY(),"Y") &amp; " Years"</f>
        <v>7 Years</v>
      </c>
      <c r="L387" s="3" cm="1">
        <f t="array" ref="L387">_xlfn.SWITCH(Table13_2[[#This Row],[Performance Score]],"A",6,"B",5,"C",4,"D",3,"E",2,"F",1)</f>
        <v>3</v>
      </c>
    </row>
    <row r="388" spans="1:12" x14ac:dyDescent="0.3">
      <c r="A388" t="s">
        <v>29</v>
      </c>
      <c r="B388">
        <v>40</v>
      </c>
      <c r="C388" s="1">
        <v>65000</v>
      </c>
      <c r="D388" t="s">
        <v>12</v>
      </c>
      <c r="E388" t="s">
        <v>30</v>
      </c>
      <c r="F388" t="s">
        <v>14</v>
      </c>
      <c r="G388" s="2">
        <v>43549</v>
      </c>
      <c r="H388" t="s">
        <v>31</v>
      </c>
      <c r="I388" t="s">
        <v>23</v>
      </c>
      <c r="J388" t="s">
        <v>17</v>
      </c>
      <c r="K388" s="2" t="str">
        <f t="shared" ca="1" si="6"/>
        <v>6 Years</v>
      </c>
      <c r="L388" s="3" cm="1">
        <f t="array" ref="L388">_xlfn.SWITCH(Table13_2[[#This Row],[Performance Score]],"A",6,"B",5,"C",4,"D",3,"E",2,"F",1)</f>
        <v>6</v>
      </c>
    </row>
    <row r="389" spans="1:12" x14ac:dyDescent="0.3">
      <c r="A389" t="s">
        <v>33</v>
      </c>
      <c r="B389">
        <v>30</v>
      </c>
      <c r="C389" s="1">
        <v>65000</v>
      </c>
      <c r="D389" t="s">
        <v>19</v>
      </c>
      <c r="E389" t="s">
        <v>13</v>
      </c>
      <c r="F389" t="s">
        <v>40</v>
      </c>
      <c r="G389" s="2">
        <v>43845</v>
      </c>
      <c r="H389" t="s">
        <v>38</v>
      </c>
      <c r="I389" t="s">
        <v>16</v>
      </c>
      <c r="J389" t="s">
        <v>28</v>
      </c>
      <c r="K389" s="2" t="str">
        <f t="shared" ca="1" si="6"/>
        <v>5 Years</v>
      </c>
      <c r="L389" s="3" cm="1">
        <f t="array" ref="L389">_xlfn.SWITCH(Table13_2[[#This Row],[Performance Score]],"A",6,"B",5,"C",4,"D",3,"E",2,"F",1)</f>
        <v>5</v>
      </c>
    </row>
    <row r="390" spans="1:12" x14ac:dyDescent="0.3">
      <c r="A390" t="s">
        <v>29</v>
      </c>
      <c r="B390">
        <v>35</v>
      </c>
      <c r="C390" s="1">
        <v>70000</v>
      </c>
      <c r="D390" t="s">
        <v>12</v>
      </c>
      <c r="E390" t="s">
        <v>30</v>
      </c>
      <c r="F390" t="s">
        <v>40</v>
      </c>
      <c r="G390" s="2">
        <v>43800</v>
      </c>
      <c r="H390" t="s">
        <v>38</v>
      </c>
      <c r="I390" t="s">
        <v>32</v>
      </c>
      <c r="J390" t="s">
        <v>17</v>
      </c>
      <c r="K390" s="2" t="str">
        <f t="shared" ca="1" si="6"/>
        <v>6 Years</v>
      </c>
      <c r="L390" s="3" cm="1">
        <f t="array" ref="L390">_xlfn.SWITCH(Table13_2[[#This Row],[Performance Score]],"A",6,"B",5,"C",4,"D",3,"E",2,"F",1)</f>
        <v>5</v>
      </c>
    </row>
    <row r="391" spans="1:12" x14ac:dyDescent="0.3">
      <c r="A391" t="s">
        <v>11</v>
      </c>
      <c r="B391">
        <v>35</v>
      </c>
      <c r="C391" s="1">
        <v>50742.574257425746</v>
      </c>
      <c r="D391" t="s">
        <v>19</v>
      </c>
      <c r="E391" t="s">
        <v>26</v>
      </c>
      <c r="F391" t="s">
        <v>14</v>
      </c>
      <c r="G391" s="2">
        <v>43845</v>
      </c>
      <c r="H391" t="s">
        <v>31</v>
      </c>
      <c r="I391" t="s">
        <v>39</v>
      </c>
      <c r="J391" t="s">
        <v>17</v>
      </c>
      <c r="K391" s="2" t="str">
        <f t="shared" ca="1" si="6"/>
        <v>5 Years</v>
      </c>
      <c r="L391" s="3" cm="1">
        <f t="array" ref="L391">_xlfn.SWITCH(Table13_2[[#This Row],[Performance Score]],"A",6,"B",5,"C",4,"D",3,"E",2,"F",1)</f>
        <v>6</v>
      </c>
    </row>
    <row r="392" spans="1:12" x14ac:dyDescent="0.3">
      <c r="A392" t="s">
        <v>46</v>
      </c>
      <c r="B392">
        <v>50</v>
      </c>
      <c r="C392" s="1">
        <v>65000</v>
      </c>
      <c r="D392" t="s">
        <v>34</v>
      </c>
      <c r="E392" t="s">
        <v>20</v>
      </c>
      <c r="F392" t="s">
        <v>14</v>
      </c>
      <c r="G392" s="2">
        <v>43800</v>
      </c>
      <c r="H392" t="s">
        <v>15</v>
      </c>
      <c r="I392" t="s">
        <v>23</v>
      </c>
      <c r="J392" t="s">
        <v>28</v>
      </c>
      <c r="K392" s="2" t="str">
        <f t="shared" ca="1" si="6"/>
        <v>6 Years</v>
      </c>
      <c r="L392" s="3" cm="1">
        <f t="array" ref="L392">_xlfn.SWITCH(Table13_2[[#This Row],[Performance Score]],"A",6,"B",5,"C",4,"D",3,"E",2,"F",1)</f>
        <v>3</v>
      </c>
    </row>
    <row r="393" spans="1:12" x14ac:dyDescent="0.3">
      <c r="A393" t="s">
        <v>29</v>
      </c>
      <c r="B393">
        <v>36</v>
      </c>
      <c r="C393" s="1">
        <v>55000</v>
      </c>
      <c r="D393" t="s">
        <v>19</v>
      </c>
      <c r="E393" t="s">
        <v>20</v>
      </c>
      <c r="F393" t="s">
        <v>37</v>
      </c>
      <c r="G393" s="2">
        <v>43881</v>
      </c>
      <c r="H393" t="s">
        <v>31</v>
      </c>
      <c r="I393" t="s">
        <v>32</v>
      </c>
      <c r="J393" t="s">
        <v>24</v>
      </c>
      <c r="K393" s="2" t="str">
        <f t="shared" ca="1" si="6"/>
        <v>5 Years</v>
      </c>
      <c r="L393" s="3" cm="1">
        <f t="array" ref="L393">_xlfn.SWITCH(Table13_2[[#This Row],[Performance Score]],"A",6,"B",5,"C",4,"D",3,"E",2,"F",1)</f>
        <v>6</v>
      </c>
    </row>
    <row r="394" spans="1:12" x14ac:dyDescent="0.3">
      <c r="A394" t="s">
        <v>45</v>
      </c>
      <c r="B394">
        <v>40</v>
      </c>
      <c r="C394" s="1">
        <v>70000</v>
      </c>
      <c r="D394" t="s">
        <v>34</v>
      </c>
      <c r="E394" t="s">
        <v>26</v>
      </c>
      <c r="F394" t="s">
        <v>21</v>
      </c>
      <c r="G394" s="2">
        <v>43845</v>
      </c>
      <c r="H394" t="s">
        <v>22</v>
      </c>
      <c r="I394" t="s">
        <v>32</v>
      </c>
      <c r="J394" t="s">
        <v>17</v>
      </c>
      <c r="K394" s="2" t="str">
        <f t="shared" ca="1" si="6"/>
        <v>5 Years</v>
      </c>
      <c r="L394" s="3" cm="1">
        <f t="array" ref="L394">_xlfn.SWITCH(Table13_2[[#This Row],[Performance Score]],"A",6,"B",5,"C",4,"D",3,"E",2,"F",1)</f>
        <v>1</v>
      </c>
    </row>
    <row r="395" spans="1:12" x14ac:dyDescent="0.3">
      <c r="A395" t="s">
        <v>33</v>
      </c>
      <c r="B395">
        <v>50</v>
      </c>
      <c r="C395" s="1">
        <v>65000</v>
      </c>
      <c r="D395" t="s">
        <v>12</v>
      </c>
      <c r="E395" t="s">
        <v>20</v>
      </c>
      <c r="F395" t="s">
        <v>37</v>
      </c>
      <c r="G395" s="2">
        <v>43881</v>
      </c>
      <c r="H395" t="s">
        <v>27</v>
      </c>
      <c r="I395" t="s">
        <v>32</v>
      </c>
      <c r="J395" t="s">
        <v>17</v>
      </c>
      <c r="K395" s="2" t="str">
        <f t="shared" ca="1" si="6"/>
        <v>5 Years</v>
      </c>
      <c r="L395" s="3" cm="1">
        <f t="array" ref="L395">_xlfn.SWITCH(Table13_2[[#This Row],[Performance Score]],"A",6,"B",5,"C",4,"D",3,"E",2,"F",1)</f>
        <v>4</v>
      </c>
    </row>
    <row r="396" spans="1:12" x14ac:dyDescent="0.3">
      <c r="A396" t="s">
        <v>33</v>
      </c>
      <c r="B396">
        <v>25</v>
      </c>
      <c r="C396" s="1">
        <v>49144.385026737968</v>
      </c>
      <c r="D396" t="s">
        <v>34</v>
      </c>
      <c r="E396" t="s">
        <v>35</v>
      </c>
      <c r="F396" t="s">
        <v>14</v>
      </c>
      <c r="G396" s="2">
        <v>43845</v>
      </c>
      <c r="H396" t="s">
        <v>22</v>
      </c>
      <c r="I396" t="s">
        <v>16</v>
      </c>
      <c r="J396" t="s">
        <v>17</v>
      </c>
      <c r="K396" s="2" t="str">
        <f t="shared" ca="1" si="6"/>
        <v>5 Years</v>
      </c>
      <c r="L396" s="3" cm="1">
        <f t="array" ref="L396">_xlfn.SWITCH(Table13_2[[#This Row],[Performance Score]],"A",6,"B",5,"C",4,"D",3,"E",2,"F",1)</f>
        <v>1</v>
      </c>
    </row>
    <row r="397" spans="1:12" x14ac:dyDescent="0.3">
      <c r="A397" t="s">
        <v>45</v>
      </c>
      <c r="B397">
        <v>40</v>
      </c>
      <c r="C397" s="1">
        <v>70000</v>
      </c>
      <c r="D397" t="s">
        <v>12</v>
      </c>
      <c r="E397" t="s">
        <v>30</v>
      </c>
      <c r="F397" t="s">
        <v>40</v>
      </c>
      <c r="G397" s="2">
        <v>43549</v>
      </c>
      <c r="H397" t="s">
        <v>27</v>
      </c>
      <c r="I397" t="s">
        <v>39</v>
      </c>
      <c r="J397" t="s">
        <v>28</v>
      </c>
      <c r="K397" s="2" t="str">
        <f t="shared" ca="1" si="6"/>
        <v>6 Years</v>
      </c>
      <c r="L397" s="3" cm="1">
        <f t="array" ref="L397">_xlfn.SWITCH(Table13_2[[#This Row],[Performance Score]],"A",6,"B",5,"C",4,"D",3,"E",2,"F",1)</f>
        <v>4</v>
      </c>
    </row>
    <row r="398" spans="1:12" x14ac:dyDescent="0.3">
      <c r="A398" t="s">
        <v>44</v>
      </c>
      <c r="B398">
        <v>50</v>
      </c>
      <c r="C398" s="1">
        <v>60000</v>
      </c>
      <c r="D398" t="s">
        <v>12</v>
      </c>
      <c r="E398" t="s">
        <v>13</v>
      </c>
      <c r="F398" t="s">
        <v>37</v>
      </c>
      <c r="G398" s="2">
        <v>43195</v>
      </c>
      <c r="H398" t="s">
        <v>38</v>
      </c>
      <c r="I398" t="s">
        <v>32</v>
      </c>
      <c r="J398" t="s">
        <v>17</v>
      </c>
      <c r="K398" s="2" t="str">
        <f t="shared" ca="1" si="6"/>
        <v>7 Years</v>
      </c>
      <c r="L398" s="3" cm="1">
        <f t="array" ref="L398">_xlfn.SWITCH(Table13_2[[#This Row],[Performance Score]],"A",6,"B",5,"C",4,"D",3,"E",2,"F",1)</f>
        <v>5</v>
      </c>
    </row>
    <row r="399" spans="1:12" x14ac:dyDescent="0.3">
      <c r="A399" t="s">
        <v>43</v>
      </c>
      <c r="B399">
        <v>40</v>
      </c>
      <c r="C399" s="1">
        <v>50742.574257425746</v>
      </c>
      <c r="D399" t="s">
        <v>19</v>
      </c>
      <c r="E399" t="s">
        <v>26</v>
      </c>
      <c r="F399" t="s">
        <v>21</v>
      </c>
      <c r="G399" s="2">
        <v>43881</v>
      </c>
      <c r="H399" t="s">
        <v>15</v>
      </c>
      <c r="I399" t="s">
        <v>39</v>
      </c>
      <c r="J399" t="s">
        <v>28</v>
      </c>
      <c r="K399" s="2" t="str">
        <f t="shared" ca="1" si="6"/>
        <v>5 Years</v>
      </c>
      <c r="L399" s="3" cm="1">
        <f t="array" ref="L399">_xlfn.SWITCH(Table13_2[[#This Row],[Performance Score]],"A",6,"B",5,"C",4,"D",3,"E",2,"F",1)</f>
        <v>3</v>
      </c>
    </row>
    <row r="400" spans="1:12" x14ac:dyDescent="0.3">
      <c r="A400" t="s">
        <v>46</v>
      </c>
      <c r="B400">
        <v>36</v>
      </c>
      <c r="C400" s="1">
        <v>55000</v>
      </c>
      <c r="D400" t="s">
        <v>19</v>
      </c>
      <c r="E400" t="s">
        <v>35</v>
      </c>
      <c r="F400" t="s">
        <v>37</v>
      </c>
      <c r="G400" s="2">
        <v>43800</v>
      </c>
      <c r="H400" t="s">
        <v>31</v>
      </c>
      <c r="I400" t="s">
        <v>23</v>
      </c>
      <c r="J400" t="s">
        <v>24</v>
      </c>
      <c r="K400" s="2" t="str">
        <f t="shared" ca="1" si="6"/>
        <v>6 Years</v>
      </c>
      <c r="L400" s="3" cm="1">
        <f t="array" ref="L400">_xlfn.SWITCH(Table13_2[[#This Row],[Performance Score]],"A",6,"B",5,"C",4,"D",3,"E",2,"F",1)</f>
        <v>6</v>
      </c>
    </row>
    <row r="401" spans="1:12" x14ac:dyDescent="0.3">
      <c r="A401" t="s">
        <v>25</v>
      </c>
      <c r="B401">
        <v>25</v>
      </c>
      <c r="C401" s="1">
        <v>65000</v>
      </c>
      <c r="D401" t="s">
        <v>19</v>
      </c>
      <c r="E401" t="s">
        <v>13</v>
      </c>
      <c r="F401" t="s">
        <v>41</v>
      </c>
      <c r="G401" s="2">
        <v>43549</v>
      </c>
      <c r="H401" t="s">
        <v>15</v>
      </c>
      <c r="I401" t="s">
        <v>39</v>
      </c>
      <c r="J401" t="s">
        <v>28</v>
      </c>
      <c r="K401" s="2" t="str">
        <f t="shared" ca="1" si="6"/>
        <v>6 Years</v>
      </c>
      <c r="L401" s="3" cm="1">
        <f t="array" ref="L401">_xlfn.SWITCH(Table13_2[[#This Row],[Performance Score]],"A",6,"B",5,"C",4,"D",3,"E",2,"F",1)</f>
        <v>3</v>
      </c>
    </row>
    <row r="402" spans="1:12" x14ac:dyDescent="0.3">
      <c r="A402" t="s">
        <v>29</v>
      </c>
      <c r="B402">
        <v>36</v>
      </c>
      <c r="C402" s="1">
        <v>60000</v>
      </c>
      <c r="D402" t="s">
        <v>19</v>
      </c>
      <c r="E402" t="s">
        <v>13</v>
      </c>
      <c r="F402" t="s">
        <v>37</v>
      </c>
      <c r="G402" s="2">
        <v>43845</v>
      </c>
      <c r="H402" t="s">
        <v>31</v>
      </c>
      <c r="I402" t="s">
        <v>16</v>
      </c>
      <c r="J402" t="s">
        <v>28</v>
      </c>
      <c r="K402" s="2" t="str">
        <f t="shared" ca="1" si="6"/>
        <v>5 Years</v>
      </c>
      <c r="L402" s="3" cm="1">
        <f t="array" ref="L402">_xlfn.SWITCH(Table13_2[[#This Row],[Performance Score]],"A",6,"B",5,"C",4,"D",3,"E",2,"F",1)</f>
        <v>6</v>
      </c>
    </row>
    <row r="403" spans="1:12" x14ac:dyDescent="0.3">
      <c r="A403" t="s">
        <v>45</v>
      </c>
      <c r="B403">
        <v>25</v>
      </c>
      <c r="C403" s="1">
        <v>60000</v>
      </c>
      <c r="D403" t="s">
        <v>34</v>
      </c>
      <c r="E403" t="s">
        <v>26</v>
      </c>
      <c r="F403" t="s">
        <v>14</v>
      </c>
      <c r="G403" s="2">
        <v>43881</v>
      </c>
      <c r="H403" t="s">
        <v>22</v>
      </c>
      <c r="I403" t="s">
        <v>16</v>
      </c>
      <c r="J403" t="s">
        <v>17</v>
      </c>
      <c r="K403" s="2" t="str">
        <f t="shared" ca="1" si="6"/>
        <v>5 Years</v>
      </c>
      <c r="L403" s="3" cm="1">
        <f t="array" ref="L403">_xlfn.SWITCH(Table13_2[[#This Row],[Performance Score]],"A",6,"B",5,"C",4,"D",3,"E",2,"F",1)</f>
        <v>1</v>
      </c>
    </row>
    <row r="404" spans="1:12" x14ac:dyDescent="0.3">
      <c r="A404" t="s">
        <v>11</v>
      </c>
      <c r="B404">
        <v>30</v>
      </c>
      <c r="C404" s="1">
        <v>70000</v>
      </c>
      <c r="D404" t="s">
        <v>34</v>
      </c>
      <c r="E404" t="s">
        <v>35</v>
      </c>
      <c r="F404" t="s">
        <v>40</v>
      </c>
      <c r="G404" s="2">
        <v>43845</v>
      </c>
      <c r="H404" t="s">
        <v>22</v>
      </c>
      <c r="I404" t="s">
        <v>39</v>
      </c>
      <c r="J404" t="s">
        <v>17</v>
      </c>
      <c r="K404" s="2" t="str">
        <f t="shared" ca="1" si="6"/>
        <v>5 Years</v>
      </c>
      <c r="L404" s="3" cm="1">
        <f t="array" ref="L404">_xlfn.SWITCH(Table13_2[[#This Row],[Performance Score]],"A",6,"B",5,"C",4,"D",3,"E",2,"F",1)</f>
        <v>1</v>
      </c>
    </row>
    <row r="405" spans="1:12" x14ac:dyDescent="0.3">
      <c r="A405" t="s">
        <v>29</v>
      </c>
      <c r="B405">
        <v>50</v>
      </c>
      <c r="C405" s="1">
        <v>60000</v>
      </c>
      <c r="D405" t="s">
        <v>34</v>
      </c>
      <c r="E405" t="s">
        <v>13</v>
      </c>
      <c r="F405" t="s">
        <v>40</v>
      </c>
      <c r="G405" s="2">
        <v>43845</v>
      </c>
      <c r="H405" t="s">
        <v>31</v>
      </c>
      <c r="I405" t="s">
        <v>39</v>
      </c>
      <c r="J405" t="s">
        <v>17</v>
      </c>
      <c r="K405" s="2" t="str">
        <f t="shared" ca="1" si="6"/>
        <v>5 Years</v>
      </c>
      <c r="L405" s="3" cm="1">
        <f t="array" ref="L405">_xlfn.SWITCH(Table13_2[[#This Row],[Performance Score]],"A",6,"B",5,"C",4,"D",3,"E",2,"F",1)</f>
        <v>6</v>
      </c>
    </row>
    <row r="406" spans="1:12" x14ac:dyDescent="0.3">
      <c r="A406" t="s">
        <v>43</v>
      </c>
      <c r="B406">
        <v>25</v>
      </c>
      <c r="C406" s="1">
        <v>55000</v>
      </c>
      <c r="D406" t="s">
        <v>12</v>
      </c>
      <c r="E406" t="s">
        <v>13</v>
      </c>
      <c r="F406" t="s">
        <v>14</v>
      </c>
      <c r="G406" s="2">
        <v>43845</v>
      </c>
      <c r="H406" t="s">
        <v>15</v>
      </c>
      <c r="I406" t="s">
        <v>16</v>
      </c>
      <c r="J406" t="s">
        <v>42</v>
      </c>
      <c r="K406" s="2" t="str">
        <f t="shared" ca="1" si="6"/>
        <v>5 Years</v>
      </c>
      <c r="L406" s="3" cm="1">
        <f t="array" ref="L406">_xlfn.SWITCH(Table13_2[[#This Row],[Performance Score]],"A",6,"B",5,"C",4,"D",3,"E",2,"F",1)</f>
        <v>3</v>
      </c>
    </row>
    <row r="407" spans="1:12" x14ac:dyDescent="0.3">
      <c r="A407" t="s">
        <v>11</v>
      </c>
      <c r="B407">
        <v>36</v>
      </c>
      <c r="C407" s="1">
        <v>55000</v>
      </c>
      <c r="D407" t="s">
        <v>34</v>
      </c>
      <c r="E407" t="s">
        <v>35</v>
      </c>
      <c r="F407" t="s">
        <v>41</v>
      </c>
      <c r="G407" s="2">
        <v>43195</v>
      </c>
      <c r="H407" t="s">
        <v>31</v>
      </c>
      <c r="I407" t="s">
        <v>16</v>
      </c>
      <c r="J407" t="s">
        <v>28</v>
      </c>
      <c r="K407" s="2" t="str">
        <f t="shared" ca="1" si="6"/>
        <v>7 Years</v>
      </c>
      <c r="L407" s="3" cm="1">
        <f t="array" ref="L407">_xlfn.SWITCH(Table13_2[[#This Row],[Performance Score]],"A",6,"B",5,"C",4,"D",3,"E",2,"F",1)</f>
        <v>6</v>
      </c>
    </row>
    <row r="408" spans="1:12" x14ac:dyDescent="0.3">
      <c r="A408" t="s">
        <v>36</v>
      </c>
      <c r="B408">
        <v>40</v>
      </c>
      <c r="C408" s="1">
        <v>50000</v>
      </c>
      <c r="D408" t="s">
        <v>34</v>
      </c>
      <c r="E408" t="s">
        <v>20</v>
      </c>
      <c r="F408" t="s">
        <v>14</v>
      </c>
      <c r="G408" s="2">
        <v>43195</v>
      </c>
      <c r="H408" t="s">
        <v>38</v>
      </c>
      <c r="I408" t="s">
        <v>39</v>
      </c>
      <c r="J408" t="s">
        <v>42</v>
      </c>
      <c r="K408" s="2" t="str">
        <f t="shared" ca="1" si="6"/>
        <v>7 Years</v>
      </c>
      <c r="L408" s="3" cm="1">
        <f t="array" ref="L408">_xlfn.SWITCH(Table13_2[[#This Row],[Performance Score]],"A",6,"B",5,"C",4,"D",3,"E",2,"F",1)</f>
        <v>5</v>
      </c>
    </row>
    <row r="409" spans="1:12" x14ac:dyDescent="0.3">
      <c r="A409" t="s">
        <v>33</v>
      </c>
      <c r="B409">
        <v>25</v>
      </c>
      <c r="C409" s="1">
        <v>55000</v>
      </c>
      <c r="D409" t="s">
        <v>34</v>
      </c>
      <c r="E409" t="s">
        <v>13</v>
      </c>
      <c r="F409" t="s">
        <v>37</v>
      </c>
      <c r="G409" s="2">
        <v>43800</v>
      </c>
      <c r="H409" t="s">
        <v>22</v>
      </c>
      <c r="I409" t="s">
        <v>16</v>
      </c>
      <c r="J409" t="s">
        <v>17</v>
      </c>
      <c r="K409" s="2" t="str">
        <f t="shared" ca="1" si="6"/>
        <v>6 Years</v>
      </c>
      <c r="L409" s="3" cm="1">
        <f t="array" ref="L409">_xlfn.SWITCH(Table13_2[[#This Row],[Performance Score]],"A",6,"B",5,"C",4,"D",3,"E",2,"F",1)</f>
        <v>1</v>
      </c>
    </row>
    <row r="410" spans="1:12" x14ac:dyDescent="0.3">
      <c r="A410" t="s">
        <v>36</v>
      </c>
      <c r="B410">
        <v>50</v>
      </c>
      <c r="C410" s="1">
        <v>50777.202072538857</v>
      </c>
      <c r="D410" t="s">
        <v>19</v>
      </c>
      <c r="E410" t="s">
        <v>30</v>
      </c>
      <c r="F410" t="s">
        <v>14</v>
      </c>
      <c r="G410" s="2">
        <v>43881</v>
      </c>
      <c r="H410" t="s">
        <v>38</v>
      </c>
      <c r="I410" t="s">
        <v>39</v>
      </c>
      <c r="J410" t="s">
        <v>17</v>
      </c>
      <c r="K410" s="2" t="str">
        <f t="shared" ca="1" si="6"/>
        <v>5 Years</v>
      </c>
      <c r="L410" s="3" cm="1">
        <f t="array" ref="L410">_xlfn.SWITCH(Table13_2[[#This Row],[Performance Score]],"A",6,"B",5,"C",4,"D",3,"E",2,"F",1)</f>
        <v>5</v>
      </c>
    </row>
    <row r="411" spans="1:12" x14ac:dyDescent="0.3">
      <c r="A411" t="s">
        <v>29</v>
      </c>
      <c r="B411">
        <v>25</v>
      </c>
      <c r="C411" s="1">
        <v>60000</v>
      </c>
      <c r="D411" t="s">
        <v>34</v>
      </c>
      <c r="E411" t="s">
        <v>35</v>
      </c>
      <c r="F411" t="s">
        <v>14</v>
      </c>
      <c r="G411" s="2">
        <v>43549</v>
      </c>
      <c r="H411" t="s">
        <v>22</v>
      </c>
      <c r="I411" t="s">
        <v>39</v>
      </c>
      <c r="J411" t="s">
        <v>17</v>
      </c>
      <c r="K411" s="2" t="str">
        <f t="shared" ca="1" si="6"/>
        <v>6 Years</v>
      </c>
      <c r="L411" s="3" cm="1">
        <f t="array" ref="L411">_xlfn.SWITCH(Table13_2[[#This Row],[Performance Score]],"A",6,"B",5,"C",4,"D",3,"E",2,"F",1)</f>
        <v>1</v>
      </c>
    </row>
    <row r="412" spans="1:12" x14ac:dyDescent="0.3">
      <c r="A412" t="s">
        <v>43</v>
      </c>
      <c r="B412">
        <v>35</v>
      </c>
      <c r="C412" s="1">
        <v>55000</v>
      </c>
      <c r="D412" t="s">
        <v>12</v>
      </c>
      <c r="E412" t="s">
        <v>13</v>
      </c>
      <c r="F412" t="s">
        <v>41</v>
      </c>
      <c r="G412" s="2">
        <v>43549</v>
      </c>
      <c r="H412" t="s">
        <v>22</v>
      </c>
      <c r="I412" t="s">
        <v>39</v>
      </c>
      <c r="J412" t="s">
        <v>17</v>
      </c>
      <c r="K412" s="2" t="str">
        <f t="shared" ca="1" si="6"/>
        <v>6 Years</v>
      </c>
      <c r="L412" s="3" cm="1">
        <f t="array" ref="L412">_xlfn.SWITCH(Table13_2[[#This Row],[Performance Score]],"A",6,"B",5,"C",4,"D",3,"E",2,"F",1)</f>
        <v>1</v>
      </c>
    </row>
    <row r="413" spans="1:12" x14ac:dyDescent="0.3">
      <c r="A413" t="s">
        <v>46</v>
      </c>
      <c r="B413">
        <v>40</v>
      </c>
      <c r="C413" s="1">
        <v>70000</v>
      </c>
      <c r="D413" t="s">
        <v>19</v>
      </c>
      <c r="E413" t="s">
        <v>26</v>
      </c>
      <c r="F413" t="s">
        <v>37</v>
      </c>
      <c r="G413" s="2">
        <v>43549</v>
      </c>
      <c r="H413" t="s">
        <v>27</v>
      </c>
      <c r="I413" t="s">
        <v>23</v>
      </c>
      <c r="J413" t="s">
        <v>17</v>
      </c>
      <c r="K413" s="2" t="str">
        <f t="shared" ca="1" si="6"/>
        <v>6 Years</v>
      </c>
      <c r="L413" s="3" cm="1">
        <f t="array" ref="L413">_xlfn.SWITCH(Table13_2[[#This Row],[Performance Score]],"A",6,"B",5,"C",4,"D",3,"E",2,"F",1)</f>
        <v>4</v>
      </c>
    </row>
    <row r="414" spans="1:12" x14ac:dyDescent="0.3">
      <c r="A414" t="s">
        <v>29</v>
      </c>
      <c r="B414">
        <v>50</v>
      </c>
      <c r="C414" s="1">
        <v>50000</v>
      </c>
      <c r="D414" t="s">
        <v>12</v>
      </c>
      <c r="E414" t="s">
        <v>30</v>
      </c>
      <c r="F414" t="s">
        <v>21</v>
      </c>
      <c r="G414" s="2">
        <v>43845</v>
      </c>
      <c r="H414" t="s">
        <v>38</v>
      </c>
      <c r="I414" t="s">
        <v>39</v>
      </c>
      <c r="J414" t="s">
        <v>24</v>
      </c>
      <c r="K414" s="2" t="str">
        <f t="shared" ca="1" si="6"/>
        <v>5 Years</v>
      </c>
      <c r="L414" s="3" cm="1">
        <f t="array" ref="L414">_xlfn.SWITCH(Table13_2[[#This Row],[Performance Score]],"A",6,"B",5,"C",4,"D",3,"E",2,"F",1)</f>
        <v>5</v>
      </c>
    </row>
    <row r="415" spans="1:12" x14ac:dyDescent="0.3">
      <c r="A415" t="s">
        <v>45</v>
      </c>
      <c r="B415">
        <v>50</v>
      </c>
      <c r="C415" s="1">
        <v>60000</v>
      </c>
      <c r="D415" t="s">
        <v>34</v>
      </c>
      <c r="E415" t="s">
        <v>13</v>
      </c>
      <c r="F415" t="s">
        <v>21</v>
      </c>
      <c r="G415" s="2">
        <v>43195</v>
      </c>
      <c r="H415" t="s">
        <v>38</v>
      </c>
      <c r="I415" t="s">
        <v>39</v>
      </c>
      <c r="J415" t="s">
        <v>28</v>
      </c>
      <c r="K415" s="2" t="str">
        <f t="shared" ca="1" si="6"/>
        <v>7 Years</v>
      </c>
      <c r="L415" s="3" cm="1">
        <f t="array" ref="L415">_xlfn.SWITCH(Table13_2[[#This Row],[Performance Score]],"A",6,"B",5,"C",4,"D",3,"E",2,"F",1)</f>
        <v>5</v>
      </c>
    </row>
    <row r="416" spans="1:12" x14ac:dyDescent="0.3">
      <c r="A416" t="s">
        <v>18</v>
      </c>
      <c r="B416">
        <v>30</v>
      </c>
      <c r="C416" s="1">
        <v>50000</v>
      </c>
      <c r="D416" t="s">
        <v>19</v>
      </c>
      <c r="E416" t="s">
        <v>30</v>
      </c>
      <c r="F416" t="s">
        <v>40</v>
      </c>
      <c r="G416" s="2">
        <v>43881</v>
      </c>
      <c r="H416" t="s">
        <v>27</v>
      </c>
      <c r="I416" t="s">
        <v>23</v>
      </c>
      <c r="J416" t="s">
        <v>17</v>
      </c>
      <c r="K416" s="2" t="str">
        <f t="shared" ca="1" si="6"/>
        <v>5 Years</v>
      </c>
      <c r="L416" s="3" cm="1">
        <f t="array" ref="L416">_xlfn.SWITCH(Table13_2[[#This Row],[Performance Score]],"A",6,"B",5,"C",4,"D",3,"E",2,"F",1)</f>
        <v>4</v>
      </c>
    </row>
    <row r="417" spans="1:12" x14ac:dyDescent="0.3">
      <c r="A417" t="s">
        <v>29</v>
      </c>
      <c r="B417">
        <v>36</v>
      </c>
      <c r="C417" s="1">
        <v>60000</v>
      </c>
      <c r="D417" t="s">
        <v>12</v>
      </c>
      <c r="E417" t="s">
        <v>30</v>
      </c>
      <c r="F417" t="s">
        <v>14</v>
      </c>
      <c r="G417" s="2">
        <v>43845</v>
      </c>
      <c r="H417" t="s">
        <v>15</v>
      </c>
      <c r="I417" t="s">
        <v>32</v>
      </c>
      <c r="J417" t="s">
        <v>17</v>
      </c>
      <c r="K417" s="2" t="str">
        <f t="shared" ca="1" si="6"/>
        <v>5 Years</v>
      </c>
      <c r="L417" s="3" cm="1">
        <f t="array" ref="L417">_xlfn.SWITCH(Table13_2[[#This Row],[Performance Score]],"A",6,"B",5,"C",4,"D",3,"E",2,"F",1)</f>
        <v>3</v>
      </c>
    </row>
    <row r="418" spans="1:12" x14ac:dyDescent="0.3">
      <c r="A418" t="s">
        <v>33</v>
      </c>
      <c r="B418">
        <v>30</v>
      </c>
      <c r="C418" s="1">
        <v>70000</v>
      </c>
      <c r="D418" t="s">
        <v>34</v>
      </c>
      <c r="E418" t="s">
        <v>20</v>
      </c>
      <c r="F418" t="s">
        <v>40</v>
      </c>
      <c r="G418" s="2">
        <v>43195</v>
      </c>
      <c r="H418" t="s">
        <v>38</v>
      </c>
      <c r="I418" t="s">
        <v>16</v>
      </c>
      <c r="J418" t="s">
        <v>17</v>
      </c>
      <c r="K418" s="2" t="str">
        <f t="shared" ca="1" si="6"/>
        <v>7 Years</v>
      </c>
      <c r="L418" s="3" cm="1">
        <f t="array" ref="L418">_xlfn.SWITCH(Table13_2[[#This Row],[Performance Score]],"A",6,"B",5,"C",4,"D",3,"E",2,"F",1)</f>
        <v>5</v>
      </c>
    </row>
    <row r="419" spans="1:12" x14ac:dyDescent="0.3">
      <c r="A419" t="s">
        <v>33</v>
      </c>
      <c r="B419">
        <v>50</v>
      </c>
      <c r="C419" s="1">
        <v>50000</v>
      </c>
      <c r="D419" t="s">
        <v>12</v>
      </c>
      <c r="E419" t="s">
        <v>30</v>
      </c>
      <c r="F419" t="s">
        <v>41</v>
      </c>
      <c r="G419" s="2">
        <v>43195</v>
      </c>
      <c r="H419" t="s">
        <v>31</v>
      </c>
      <c r="I419" t="s">
        <v>39</v>
      </c>
      <c r="J419" t="s">
        <v>17</v>
      </c>
      <c r="K419" s="2" t="str">
        <f t="shared" ca="1" si="6"/>
        <v>7 Years</v>
      </c>
      <c r="L419" s="3" cm="1">
        <f t="array" ref="L419">_xlfn.SWITCH(Table13_2[[#This Row],[Performance Score]],"A",6,"B",5,"C",4,"D",3,"E",2,"F",1)</f>
        <v>6</v>
      </c>
    </row>
    <row r="420" spans="1:12" x14ac:dyDescent="0.3">
      <c r="A420" t="s">
        <v>29</v>
      </c>
      <c r="B420">
        <v>40</v>
      </c>
      <c r="C420" s="1">
        <v>65000</v>
      </c>
      <c r="D420" t="s">
        <v>12</v>
      </c>
      <c r="E420" t="s">
        <v>20</v>
      </c>
      <c r="F420" t="s">
        <v>21</v>
      </c>
      <c r="G420" s="2">
        <v>43881</v>
      </c>
      <c r="H420" t="s">
        <v>27</v>
      </c>
      <c r="I420" t="s">
        <v>16</v>
      </c>
      <c r="J420" t="s">
        <v>17</v>
      </c>
      <c r="K420" s="2" t="str">
        <f t="shared" ca="1" si="6"/>
        <v>5 Years</v>
      </c>
      <c r="L420" s="3" cm="1">
        <f t="array" ref="L420">_xlfn.SWITCH(Table13_2[[#This Row],[Performance Score]],"A",6,"B",5,"C",4,"D",3,"E",2,"F",1)</f>
        <v>4</v>
      </c>
    </row>
    <row r="421" spans="1:12" x14ac:dyDescent="0.3">
      <c r="A421" t="s">
        <v>11</v>
      </c>
      <c r="B421">
        <v>25</v>
      </c>
      <c r="C421" s="1">
        <v>49144.385026737968</v>
      </c>
      <c r="D421" t="s">
        <v>12</v>
      </c>
      <c r="E421" t="s">
        <v>35</v>
      </c>
      <c r="F421" t="s">
        <v>14</v>
      </c>
      <c r="G421" s="2">
        <v>43881</v>
      </c>
      <c r="H421" t="s">
        <v>38</v>
      </c>
      <c r="I421" t="s">
        <v>39</v>
      </c>
      <c r="J421" t="s">
        <v>42</v>
      </c>
      <c r="K421" s="2" t="str">
        <f t="shared" ca="1" si="6"/>
        <v>5 Years</v>
      </c>
      <c r="L421" s="3" cm="1">
        <f t="array" ref="L421">_xlfn.SWITCH(Table13_2[[#This Row],[Performance Score]],"A",6,"B",5,"C",4,"D",3,"E",2,"F",1)</f>
        <v>5</v>
      </c>
    </row>
    <row r="422" spans="1:12" x14ac:dyDescent="0.3">
      <c r="A422" t="s">
        <v>18</v>
      </c>
      <c r="B422">
        <v>25</v>
      </c>
      <c r="C422" s="1">
        <v>48417.431192660551</v>
      </c>
      <c r="D422" t="s">
        <v>34</v>
      </c>
      <c r="E422" t="s">
        <v>20</v>
      </c>
      <c r="F422" t="s">
        <v>41</v>
      </c>
      <c r="G422" s="2">
        <v>43881</v>
      </c>
      <c r="H422" t="s">
        <v>15</v>
      </c>
      <c r="I422" t="s">
        <v>16</v>
      </c>
      <c r="J422" t="s">
        <v>28</v>
      </c>
      <c r="K422" s="2" t="str">
        <f t="shared" ca="1" si="6"/>
        <v>5 Years</v>
      </c>
      <c r="L422" s="3" cm="1">
        <f t="array" ref="L422">_xlfn.SWITCH(Table13_2[[#This Row],[Performance Score]],"A",6,"B",5,"C",4,"D",3,"E",2,"F",1)</f>
        <v>3</v>
      </c>
    </row>
    <row r="423" spans="1:12" x14ac:dyDescent="0.3">
      <c r="A423" t="s">
        <v>45</v>
      </c>
      <c r="B423">
        <v>40</v>
      </c>
      <c r="C423" s="1">
        <v>60000</v>
      </c>
      <c r="D423" t="s">
        <v>34</v>
      </c>
      <c r="E423" t="s">
        <v>26</v>
      </c>
      <c r="F423" t="s">
        <v>41</v>
      </c>
      <c r="G423" s="2">
        <v>43845</v>
      </c>
      <c r="H423" t="s">
        <v>38</v>
      </c>
      <c r="I423" t="s">
        <v>23</v>
      </c>
      <c r="J423" t="s">
        <v>28</v>
      </c>
      <c r="K423" s="2" t="str">
        <f t="shared" ca="1" si="6"/>
        <v>5 Years</v>
      </c>
      <c r="L423" s="3" cm="1">
        <f t="array" ref="L423">_xlfn.SWITCH(Table13_2[[#This Row],[Performance Score]],"A",6,"B",5,"C",4,"D",3,"E",2,"F",1)</f>
        <v>5</v>
      </c>
    </row>
    <row r="424" spans="1:12" x14ac:dyDescent="0.3">
      <c r="A424" t="s">
        <v>29</v>
      </c>
      <c r="B424">
        <v>50</v>
      </c>
      <c r="C424" s="1">
        <v>65000</v>
      </c>
      <c r="D424" t="s">
        <v>12</v>
      </c>
      <c r="E424" t="s">
        <v>13</v>
      </c>
      <c r="F424" t="s">
        <v>14</v>
      </c>
      <c r="G424" s="2">
        <v>43800</v>
      </c>
      <c r="H424" t="s">
        <v>22</v>
      </c>
      <c r="I424" t="s">
        <v>16</v>
      </c>
      <c r="J424" t="s">
        <v>24</v>
      </c>
      <c r="K424" s="2" t="str">
        <f t="shared" ca="1" si="6"/>
        <v>6 Years</v>
      </c>
      <c r="L424" s="3" cm="1">
        <f t="array" ref="L424">_xlfn.SWITCH(Table13_2[[#This Row],[Performance Score]],"A",6,"B",5,"C",4,"D",3,"E",2,"F",1)</f>
        <v>1</v>
      </c>
    </row>
    <row r="425" spans="1:12" x14ac:dyDescent="0.3">
      <c r="A425" t="s">
        <v>11</v>
      </c>
      <c r="B425">
        <v>25</v>
      </c>
      <c r="C425" s="1">
        <v>50000</v>
      </c>
      <c r="D425" t="s">
        <v>19</v>
      </c>
      <c r="E425" t="s">
        <v>35</v>
      </c>
      <c r="F425" t="s">
        <v>41</v>
      </c>
      <c r="G425" s="2">
        <v>43881</v>
      </c>
      <c r="H425" t="s">
        <v>31</v>
      </c>
      <c r="I425" t="s">
        <v>16</v>
      </c>
      <c r="J425" t="s">
        <v>24</v>
      </c>
      <c r="K425" s="2" t="str">
        <f t="shared" ca="1" si="6"/>
        <v>5 Years</v>
      </c>
      <c r="L425" s="3" cm="1">
        <f t="array" ref="L425">_xlfn.SWITCH(Table13_2[[#This Row],[Performance Score]],"A",6,"B",5,"C",4,"D",3,"E",2,"F",1)</f>
        <v>6</v>
      </c>
    </row>
    <row r="426" spans="1:12" x14ac:dyDescent="0.3">
      <c r="A426" t="s">
        <v>33</v>
      </c>
      <c r="B426">
        <v>25</v>
      </c>
      <c r="C426" s="1">
        <v>65000</v>
      </c>
      <c r="D426" t="s">
        <v>19</v>
      </c>
      <c r="E426" t="s">
        <v>35</v>
      </c>
      <c r="F426" t="s">
        <v>14</v>
      </c>
      <c r="G426" s="2">
        <v>43800</v>
      </c>
      <c r="H426" t="s">
        <v>27</v>
      </c>
      <c r="I426" t="s">
        <v>16</v>
      </c>
      <c r="J426" t="s">
        <v>24</v>
      </c>
      <c r="K426" s="2" t="str">
        <f t="shared" ca="1" si="6"/>
        <v>6 Years</v>
      </c>
      <c r="L426" s="3" cm="1">
        <f t="array" ref="L426">_xlfn.SWITCH(Table13_2[[#This Row],[Performance Score]],"A",6,"B",5,"C",4,"D",3,"E",2,"F",1)</f>
        <v>4</v>
      </c>
    </row>
    <row r="427" spans="1:12" x14ac:dyDescent="0.3">
      <c r="A427" t="s">
        <v>33</v>
      </c>
      <c r="B427">
        <v>25</v>
      </c>
      <c r="C427" s="1">
        <v>65000</v>
      </c>
      <c r="D427" t="s">
        <v>34</v>
      </c>
      <c r="E427" t="s">
        <v>26</v>
      </c>
      <c r="F427" t="s">
        <v>14</v>
      </c>
      <c r="G427" s="2">
        <v>43845</v>
      </c>
      <c r="H427" t="s">
        <v>22</v>
      </c>
      <c r="I427" t="s">
        <v>32</v>
      </c>
      <c r="J427" t="s">
        <v>28</v>
      </c>
      <c r="K427" s="2" t="str">
        <f t="shared" ca="1" si="6"/>
        <v>5 Years</v>
      </c>
      <c r="L427" s="3" cm="1">
        <f t="array" ref="L427">_xlfn.SWITCH(Table13_2[[#This Row],[Performance Score]],"A",6,"B",5,"C",4,"D",3,"E",2,"F",1)</f>
        <v>1</v>
      </c>
    </row>
    <row r="428" spans="1:12" x14ac:dyDescent="0.3">
      <c r="A428" t="s">
        <v>43</v>
      </c>
      <c r="B428">
        <v>36</v>
      </c>
      <c r="C428" s="1">
        <v>50000</v>
      </c>
      <c r="D428" t="s">
        <v>34</v>
      </c>
      <c r="E428" t="s">
        <v>20</v>
      </c>
      <c r="F428" t="s">
        <v>37</v>
      </c>
      <c r="G428" s="2">
        <v>43800</v>
      </c>
      <c r="H428" t="s">
        <v>15</v>
      </c>
      <c r="I428" t="s">
        <v>32</v>
      </c>
      <c r="J428" t="s">
        <v>42</v>
      </c>
      <c r="K428" s="2" t="str">
        <f t="shared" ca="1" si="6"/>
        <v>6 Years</v>
      </c>
      <c r="L428" s="3" cm="1">
        <f t="array" ref="L428">_xlfn.SWITCH(Table13_2[[#This Row],[Performance Score]],"A",6,"B",5,"C",4,"D",3,"E",2,"F",1)</f>
        <v>3</v>
      </c>
    </row>
    <row r="429" spans="1:12" x14ac:dyDescent="0.3">
      <c r="A429" t="s">
        <v>29</v>
      </c>
      <c r="B429">
        <v>36</v>
      </c>
      <c r="C429" s="1">
        <v>70000</v>
      </c>
      <c r="D429" t="s">
        <v>34</v>
      </c>
      <c r="E429" t="s">
        <v>13</v>
      </c>
      <c r="F429" t="s">
        <v>40</v>
      </c>
      <c r="G429" s="2">
        <v>43549</v>
      </c>
      <c r="H429" t="s">
        <v>22</v>
      </c>
      <c r="I429" t="s">
        <v>39</v>
      </c>
      <c r="J429" t="s">
        <v>28</v>
      </c>
      <c r="K429" s="2" t="str">
        <f t="shared" ca="1" si="6"/>
        <v>6 Years</v>
      </c>
      <c r="L429" s="3" cm="1">
        <f t="array" ref="L429">_xlfn.SWITCH(Table13_2[[#This Row],[Performance Score]],"A",6,"B",5,"C",4,"D",3,"E",2,"F",1)</f>
        <v>1</v>
      </c>
    </row>
    <row r="430" spans="1:12" x14ac:dyDescent="0.3">
      <c r="A430" t="s">
        <v>18</v>
      </c>
      <c r="B430">
        <v>35</v>
      </c>
      <c r="C430" s="1">
        <v>65000</v>
      </c>
      <c r="D430" t="s">
        <v>34</v>
      </c>
      <c r="E430" t="s">
        <v>20</v>
      </c>
      <c r="F430" t="s">
        <v>41</v>
      </c>
      <c r="G430" s="2">
        <v>43800</v>
      </c>
      <c r="H430" t="s">
        <v>22</v>
      </c>
      <c r="I430" t="s">
        <v>23</v>
      </c>
      <c r="J430" t="s">
        <v>28</v>
      </c>
      <c r="K430" s="2" t="str">
        <f t="shared" ca="1" si="6"/>
        <v>6 Years</v>
      </c>
      <c r="L430" s="3" cm="1">
        <f t="array" ref="L430">_xlfn.SWITCH(Table13_2[[#This Row],[Performance Score]],"A",6,"B",5,"C",4,"D",3,"E",2,"F",1)</f>
        <v>1</v>
      </c>
    </row>
    <row r="431" spans="1:12" x14ac:dyDescent="0.3">
      <c r="A431" t="s">
        <v>44</v>
      </c>
      <c r="B431">
        <v>30</v>
      </c>
      <c r="C431" s="1">
        <v>65000</v>
      </c>
      <c r="D431" t="s">
        <v>34</v>
      </c>
      <c r="E431" t="s">
        <v>30</v>
      </c>
      <c r="F431" t="s">
        <v>41</v>
      </c>
      <c r="G431" s="2">
        <v>43881</v>
      </c>
      <c r="H431" t="s">
        <v>15</v>
      </c>
      <c r="I431" t="s">
        <v>16</v>
      </c>
      <c r="J431" t="s">
        <v>28</v>
      </c>
      <c r="K431" s="2" t="str">
        <f t="shared" ca="1" si="6"/>
        <v>5 Years</v>
      </c>
      <c r="L431" s="3" cm="1">
        <f t="array" ref="L431">_xlfn.SWITCH(Table13_2[[#This Row],[Performance Score]],"A",6,"B",5,"C",4,"D",3,"E",2,"F",1)</f>
        <v>3</v>
      </c>
    </row>
    <row r="432" spans="1:12" x14ac:dyDescent="0.3">
      <c r="A432" t="s">
        <v>18</v>
      </c>
      <c r="B432">
        <v>40</v>
      </c>
      <c r="C432" s="1">
        <v>70000</v>
      </c>
      <c r="D432" t="s">
        <v>19</v>
      </c>
      <c r="E432" t="s">
        <v>20</v>
      </c>
      <c r="F432" t="s">
        <v>37</v>
      </c>
      <c r="G432" s="2">
        <v>43845</v>
      </c>
      <c r="H432" t="s">
        <v>22</v>
      </c>
      <c r="I432" t="s">
        <v>16</v>
      </c>
      <c r="J432" t="s">
        <v>28</v>
      </c>
      <c r="K432" s="2" t="str">
        <f t="shared" ca="1" si="6"/>
        <v>5 Years</v>
      </c>
      <c r="L432" s="3" cm="1">
        <f t="array" ref="L432">_xlfn.SWITCH(Table13_2[[#This Row],[Performance Score]],"A",6,"B",5,"C",4,"D",3,"E",2,"F",1)</f>
        <v>1</v>
      </c>
    </row>
    <row r="433" spans="1:12" x14ac:dyDescent="0.3">
      <c r="A433" t="s">
        <v>33</v>
      </c>
      <c r="B433">
        <v>40</v>
      </c>
      <c r="C433" s="1">
        <v>65000</v>
      </c>
      <c r="D433" t="s">
        <v>34</v>
      </c>
      <c r="E433" t="s">
        <v>35</v>
      </c>
      <c r="F433" t="s">
        <v>37</v>
      </c>
      <c r="G433" s="2">
        <v>43881</v>
      </c>
      <c r="H433" t="s">
        <v>27</v>
      </c>
      <c r="I433" t="s">
        <v>16</v>
      </c>
      <c r="J433" t="s">
        <v>42</v>
      </c>
      <c r="K433" s="2" t="str">
        <f t="shared" ca="1" si="6"/>
        <v>5 Years</v>
      </c>
      <c r="L433" s="3" cm="1">
        <f t="array" ref="L433">_xlfn.SWITCH(Table13_2[[#This Row],[Performance Score]],"A",6,"B",5,"C",4,"D",3,"E",2,"F",1)</f>
        <v>4</v>
      </c>
    </row>
    <row r="434" spans="1:12" x14ac:dyDescent="0.3">
      <c r="A434" t="s">
        <v>33</v>
      </c>
      <c r="B434">
        <v>40</v>
      </c>
      <c r="C434" s="1">
        <v>65000</v>
      </c>
      <c r="D434" t="s">
        <v>12</v>
      </c>
      <c r="E434" t="s">
        <v>13</v>
      </c>
      <c r="F434" t="s">
        <v>37</v>
      </c>
      <c r="G434" s="2">
        <v>43549</v>
      </c>
      <c r="H434" t="s">
        <v>38</v>
      </c>
      <c r="I434" t="s">
        <v>16</v>
      </c>
      <c r="J434" t="s">
        <v>24</v>
      </c>
      <c r="K434" s="2" t="str">
        <f t="shared" ca="1" si="6"/>
        <v>6 Years</v>
      </c>
      <c r="L434" s="3" cm="1">
        <f t="array" ref="L434">_xlfn.SWITCH(Table13_2[[#This Row],[Performance Score]],"A",6,"B",5,"C",4,"D",3,"E",2,"F",1)</f>
        <v>5</v>
      </c>
    </row>
    <row r="435" spans="1:12" x14ac:dyDescent="0.3">
      <c r="A435" t="s">
        <v>36</v>
      </c>
      <c r="B435">
        <v>35</v>
      </c>
      <c r="C435" s="1">
        <v>65000</v>
      </c>
      <c r="D435" t="s">
        <v>12</v>
      </c>
      <c r="E435" t="s">
        <v>20</v>
      </c>
      <c r="F435" t="s">
        <v>21</v>
      </c>
      <c r="G435" s="2">
        <v>43881</v>
      </c>
      <c r="H435" t="s">
        <v>22</v>
      </c>
      <c r="I435" t="s">
        <v>32</v>
      </c>
      <c r="J435" t="s">
        <v>17</v>
      </c>
      <c r="K435" s="2" t="str">
        <f t="shared" ca="1" si="6"/>
        <v>5 Years</v>
      </c>
      <c r="L435" s="3" cm="1">
        <f t="array" ref="L435">_xlfn.SWITCH(Table13_2[[#This Row],[Performance Score]],"A",6,"B",5,"C",4,"D",3,"E",2,"F",1)</f>
        <v>1</v>
      </c>
    </row>
    <row r="436" spans="1:12" x14ac:dyDescent="0.3">
      <c r="A436" t="s">
        <v>33</v>
      </c>
      <c r="B436">
        <v>36</v>
      </c>
      <c r="C436" s="1">
        <v>51825</v>
      </c>
      <c r="D436" t="s">
        <v>19</v>
      </c>
      <c r="E436" t="s">
        <v>13</v>
      </c>
      <c r="F436" t="s">
        <v>21</v>
      </c>
      <c r="G436" s="2">
        <v>43881</v>
      </c>
      <c r="H436" t="s">
        <v>27</v>
      </c>
      <c r="I436" t="s">
        <v>39</v>
      </c>
      <c r="J436" t="s">
        <v>24</v>
      </c>
      <c r="K436" s="2" t="str">
        <f t="shared" ca="1" si="6"/>
        <v>5 Years</v>
      </c>
      <c r="L436" s="3" cm="1">
        <f t="array" ref="L436">_xlfn.SWITCH(Table13_2[[#This Row],[Performance Score]],"A",6,"B",5,"C",4,"D",3,"E",2,"F",1)</f>
        <v>4</v>
      </c>
    </row>
    <row r="437" spans="1:12" x14ac:dyDescent="0.3">
      <c r="A437" t="s">
        <v>45</v>
      </c>
      <c r="B437">
        <v>50</v>
      </c>
      <c r="C437" s="1">
        <v>55000</v>
      </c>
      <c r="D437" t="s">
        <v>12</v>
      </c>
      <c r="E437" t="s">
        <v>13</v>
      </c>
      <c r="F437" t="s">
        <v>21</v>
      </c>
      <c r="G437" s="2">
        <v>43881</v>
      </c>
      <c r="H437" t="s">
        <v>38</v>
      </c>
      <c r="I437" t="s">
        <v>39</v>
      </c>
      <c r="J437" t="s">
        <v>24</v>
      </c>
      <c r="K437" s="2" t="str">
        <f t="shared" ca="1" si="6"/>
        <v>5 Years</v>
      </c>
      <c r="L437" s="3" cm="1">
        <f t="array" ref="L437">_xlfn.SWITCH(Table13_2[[#This Row],[Performance Score]],"A",6,"B",5,"C",4,"D",3,"E",2,"F",1)</f>
        <v>5</v>
      </c>
    </row>
    <row r="438" spans="1:12" x14ac:dyDescent="0.3">
      <c r="A438" t="s">
        <v>25</v>
      </c>
      <c r="B438">
        <v>50</v>
      </c>
      <c r="C438" s="1">
        <v>70000</v>
      </c>
      <c r="D438" t="s">
        <v>19</v>
      </c>
      <c r="E438" t="s">
        <v>30</v>
      </c>
      <c r="F438" t="s">
        <v>14</v>
      </c>
      <c r="G438" s="2">
        <v>43195</v>
      </c>
      <c r="H438" t="s">
        <v>38</v>
      </c>
      <c r="I438" t="s">
        <v>23</v>
      </c>
      <c r="J438" t="s">
        <v>17</v>
      </c>
      <c r="K438" s="2" t="str">
        <f t="shared" ca="1" si="6"/>
        <v>7 Years</v>
      </c>
      <c r="L438" s="3" cm="1">
        <f t="array" ref="L438">_xlfn.SWITCH(Table13_2[[#This Row],[Performance Score]],"A",6,"B",5,"C",4,"D",3,"E",2,"F",1)</f>
        <v>5</v>
      </c>
    </row>
    <row r="439" spans="1:12" x14ac:dyDescent="0.3">
      <c r="A439" t="s">
        <v>29</v>
      </c>
      <c r="B439">
        <v>35</v>
      </c>
      <c r="C439" s="1">
        <v>65000</v>
      </c>
      <c r="D439" t="s">
        <v>19</v>
      </c>
      <c r="E439" t="s">
        <v>30</v>
      </c>
      <c r="F439" t="s">
        <v>41</v>
      </c>
      <c r="G439" s="2">
        <v>43549</v>
      </c>
      <c r="H439" t="s">
        <v>22</v>
      </c>
      <c r="I439" t="s">
        <v>16</v>
      </c>
      <c r="J439" t="s">
        <v>28</v>
      </c>
      <c r="K439" s="2" t="str">
        <f t="shared" ca="1" si="6"/>
        <v>6 Years</v>
      </c>
      <c r="L439" s="3" cm="1">
        <f t="array" ref="L439">_xlfn.SWITCH(Table13_2[[#This Row],[Performance Score]],"A",6,"B",5,"C",4,"D",3,"E",2,"F",1)</f>
        <v>1</v>
      </c>
    </row>
    <row r="440" spans="1:12" x14ac:dyDescent="0.3">
      <c r="A440" t="s">
        <v>18</v>
      </c>
      <c r="B440">
        <v>50</v>
      </c>
      <c r="C440" s="1">
        <v>49144.385026737968</v>
      </c>
      <c r="D440" t="s">
        <v>12</v>
      </c>
      <c r="E440" t="s">
        <v>35</v>
      </c>
      <c r="F440" t="s">
        <v>40</v>
      </c>
      <c r="G440" s="2">
        <v>43881</v>
      </c>
      <c r="H440" t="s">
        <v>27</v>
      </c>
      <c r="I440" t="s">
        <v>39</v>
      </c>
      <c r="J440" t="s">
        <v>42</v>
      </c>
      <c r="K440" s="2" t="str">
        <f t="shared" ca="1" si="6"/>
        <v>5 Years</v>
      </c>
      <c r="L440" s="3" cm="1">
        <f t="array" ref="L440">_xlfn.SWITCH(Table13_2[[#This Row],[Performance Score]],"A",6,"B",5,"C",4,"D",3,"E",2,"F",1)</f>
        <v>4</v>
      </c>
    </row>
    <row r="441" spans="1:12" x14ac:dyDescent="0.3">
      <c r="A441" t="s">
        <v>25</v>
      </c>
      <c r="B441">
        <v>40</v>
      </c>
      <c r="C441" s="1">
        <v>70000</v>
      </c>
      <c r="D441" t="s">
        <v>34</v>
      </c>
      <c r="E441" t="s">
        <v>26</v>
      </c>
      <c r="F441" t="s">
        <v>14</v>
      </c>
      <c r="G441" s="2">
        <v>43881</v>
      </c>
      <c r="H441" t="s">
        <v>22</v>
      </c>
      <c r="I441" t="s">
        <v>39</v>
      </c>
      <c r="J441" t="s">
        <v>42</v>
      </c>
      <c r="K441" s="2" t="str">
        <f t="shared" ca="1" si="6"/>
        <v>5 Years</v>
      </c>
      <c r="L441" s="3" cm="1">
        <f t="array" ref="L441">_xlfn.SWITCH(Table13_2[[#This Row],[Performance Score]],"A",6,"B",5,"C",4,"D",3,"E",2,"F",1)</f>
        <v>1</v>
      </c>
    </row>
    <row r="442" spans="1:12" x14ac:dyDescent="0.3">
      <c r="A442" t="s">
        <v>11</v>
      </c>
      <c r="B442">
        <v>30</v>
      </c>
      <c r="C442" s="1">
        <v>60000</v>
      </c>
      <c r="D442" t="s">
        <v>12</v>
      </c>
      <c r="E442" t="s">
        <v>13</v>
      </c>
      <c r="F442" t="s">
        <v>41</v>
      </c>
      <c r="G442" s="2">
        <v>43881</v>
      </c>
      <c r="H442" t="s">
        <v>15</v>
      </c>
      <c r="I442" t="s">
        <v>39</v>
      </c>
      <c r="J442" t="s">
        <v>24</v>
      </c>
      <c r="K442" s="2" t="str">
        <f t="shared" ca="1" si="6"/>
        <v>5 Years</v>
      </c>
      <c r="L442" s="3" cm="1">
        <f t="array" ref="L442">_xlfn.SWITCH(Table13_2[[#This Row],[Performance Score]],"A",6,"B",5,"C",4,"D",3,"E",2,"F",1)</f>
        <v>3</v>
      </c>
    </row>
    <row r="443" spans="1:12" x14ac:dyDescent="0.3">
      <c r="A443" t="s">
        <v>44</v>
      </c>
      <c r="B443">
        <v>25</v>
      </c>
      <c r="C443" s="1">
        <v>60000</v>
      </c>
      <c r="D443" t="s">
        <v>12</v>
      </c>
      <c r="E443" t="s">
        <v>26</v>
      </c>
      <c r="F443" t="s">
        <v>41</v>
      </c>
      <c r="G443" s="2">
        <v>43845</v>
      </c>
      <c r="H443" t="s">
        <v>38</v>
      </c>
      <c r="I443" t="s">
        <v>32</v>
      </c>
      <c r="J443" t="s">
        <v>17</v>
      </c>
      <c r="K443" s="2" t="str">
        <f t="shared" ca="1" si="6"/>
        <v>5 Years</v>
      </c>
      <c r="L443" s="3" cm="1">
        <f t="array" ref="L443">_xlfn.SWITCH(Table13_2[[#This Row],[Performance Score]],"A",6,"B",5,"C",4,"D",3,"E",2,"F",1)</f>
        <v>5</v>
      </c>
    </row>
    <row r="444" spans="1:12" x14ac:dyDescent="0.3">
      <c r="A444" t="s">
        <v>45</v>
      </c>
      <c r="B444">
        <v>36</v>
      </c>
      <c r="C444" s="1">
        <v>65000</v>
      </c>
      <c r="D444" t="s">
        <v>19</v>
      </c>
      <c r="E444" t="s">
        <v>35</v>
      </c>
      <c r="F444" t="s">
        <v>37</v>
      </c>
      <c r="G444" s="2">
        <v>43195</v>
      </c>
      <c r="H444" t="s">
        <v>22</v>
      </c>
      <c r="I444" t="s">
        <v>39</v>
      </c>
      <c r="J444" t="s">
        <v>17</v>
      </c>
      <c r="K444" s="2" t="str">
        <f t="shared" ca="1" si="6"/>
        <v>7 Years</v>
      </c>
      <c r="L444" s="3" cm="1">
        <f t="array" ref="L444">_xlfn.SWITCH(Table13_2[[#This Row],[Performance Score]],"A",6,"B",5,"C",4,"D",3,"E",2,"F",1)</f>
        <v>1</v>
      </c>
    </row>
    <row r="445" spans="1:12" x14ac:dyDescent="0.3">
      <c r="A445" t="s">
        <v>18</v>
      </c>
      <c r="B445">
        <v>36</v>
      </c>
      <c r="C445" s="1">
        <v>51825</v>
      </c>
      <c r="D445" t="s">
        <v>12</v>
      </c>
      <c r="E445" t="s">
        <v>13</v>
      </c>
      <c r="F445" t="s">
        <v>37</v>
      </c>
      <c r="G445" s="2">
        <v>43845</v>
      </c>
      <c r="H445" t="s">
        <v>38</v>
      </c>
      <c r="I445" t="s">
        <v>39</v>
      </c>
      <c r="J445" t="s">
        <v>28</v>
      </c>
      <c r="K445" s="2" t="str">
        <f t="shared" ca="1" si="6"/>
        <v>5 Years</v>
      </c>
      <c r="L445" s="3" cm="1">
        <f t="array" ref="L445">_xlfn.SWITCH(Table13_2[[#This Row],[Performance Score]],"A",6,"B",5,"C",4,"D",3,"E",2,"F",1)</f>
        <v>5</v>
      </c>
    </row>
    <row r="446" spans="1:12" x14ac:dyDescent="0.3">
      <c r="A446" t="s">
        <v>25</v>
      </c>
      <c r="B446">
        <v>35</v>
      </c>
      <c r="C446" s="1">
        <v>51825</v>
      </c>
      <c r="D446" t="s">
        <v>19</v>
      </c>
      <c r="E446" t="s">
        <v>13</v>
      </c>
      <c r="F446" t="s">
        <v>14</v>
      </c>
      <c r="G446" s="2">
        <v>43195</v>
      </c>
      <c r="H446" t="s">
        <v>27</v>
      </c>
      <c r="I446" t="s">
        <v>32</v>
      </c>
      <c r="J446" t="s">
        <v>24</v>
      </c>
      <c r="K446" s="2" t="str">
        <f t="shared" ca="1" si="6"/>
        <v>7 Years</v>
      </c>
      <c r="L446" s="3" cm="1">
        <f t="array" ref="L446">_xlfn.SWITCH(Table13_2[[#This Row],[Performance Score]],"A",6,"B",5,"C",4,"D",3,"E",2,"F",1)</f>
        <v>4</v>
      </c>
    </row>
    <row r="447" spans="1:12" x14ac:dyDescent="0.3">
      <c r="A447" t="s">
        <v>44</v>
      </c>
      <c r="B447">
        <v>36</v>
      </c>
      <c r="C447" s="1">
        <v>70000</v>
      </c>
      <c r="D447" t="s">
        <v>34</v>
      </c>
      <c r="E447" t="s">
        <v>26</v>
      </c>
      <c r="F447" t="s">
        <v>37</v>
      </c>
      <c r="G447" s="2">
        <v>43881</v>
      </c>
      <c r="H447" t="s">
        <v>31</v>
      </c>
      <c r="I447" t="s">
        <v>39</v>
      </c>
      <c r="J447" t="s">
        <v>42</v>
      </c>
      <c r="K447" s="2" t="str">
        <f t="shared" ca="1" si="6"/>
        <v>5 Years</v>
      </c>
      <c r="L447" s="3" cm="1">
        <f t="array" ref="L447">_xlfn.SWITCH(Table13_2[[#This Row],[Performance Score]],"A",6,"B",5,"C",4,"D",3,"E",2,"F",1)</f>
        <v>6</v>
      </c>
    </row>
    <row r="448" spans="1:12" x14ac:dyDescent="0.3">
      <c r="A448" t="s">
        <v>36</v>
      </c>
      <c r="B448">
        <v>40</v>
      </c>
      <c r="C448" s="1">
        <v>70000</v>
      </c>
      <c r="D448" t="s">
        <v>34</v>
      </c>
      <c r="E448" t="s">
        <v>20</v>
      </c>
      <c r="F448" t="s">
        <v>41</v>
      </c>
      <c r="G448" s="2">
        <v>43549</v>
      </c>
      <c r="H448" t="s">
        <v>22</v>
      </c>
      <c r="I448" t="s">
        <v>39</v>
      </c>
      <c r="J448" t="s">
        <v>17</v>
      </c>
      <c r="K448" s="2" t="str">
        <f t="shared" ca="1" si="6"/>
        <v>6 Years</v>
      </c>
      <c r="L448" s="3" cm="1">
        <f t="array" ref="L448">_xlfn.SWITCH(Table13_2[[#This Row],[Performance Score]],"A",6,"B",5,"C",4,"D",3,"E",2,"F",1)</f>
        <v>1</v>
      </c>
    </row>
    <row r="449" spans="1:12" x14ac:dyDescent="0.3">
      <c r="A449" t="s">
        <v>45</v>
      </c>
      <c r="B449">
        <v>50</v>
      </c>
      <c r="C449" s="1">
        <v>50777.202072538857</v>
      </c>
      <c r="D449" t="s">
        <v>34</v>
      </c>
      <c r="E449" t="s">
        <v>30</v>
      </c>
      <c r="F449" t="s">
        <v>37</v>
      </c>
      <c r="G449" s="2">
        <v>43800</v>
      </c>
      <c r="H449" t="s">
        <v>22</v>
      </c>
      <c r="I449" t="s">
        <v>39</v>
      </c>
      <c r="J449" t="s">
        <v>17</v>
      </c>
      <c r="K449" s="2" t="str">
        <f t="shared" ca="1" si="6"/>
        <v>6 Years</v>
      </c>
      <c r="L449" s="3" cm="1">
        <f t="array" ref="L449">_xlfn.SWITCH(Table13_2[[#This Row],[Performance Score]],"A",6,"B",5,"C",4,"D",3,"E",2,"F",1)</f>
        <v>1</v>
      </c>
    </row>
    <row r="450" spans="1:12" x14ac:dyDescent="0.3">
      <c r="A450" t="s">
        <v>45</v>
      </c>
      <c r="B450">
        <v>40</v>
      </c>
      <c r="C450" s="1">
        <v>70000</v>
      </c>
      <c r="D450" t="s">
        <v>12</v>
      </c>
      <c r="E450" t="s">
        <v>20</v>
      </c>
      <c r="F450" t="s">
        <v>21</v>
      </c>
      <c r="G450" s="2">
        <v>43800</v>
      </c>
      <c r="H450" t="s">
        <v>38</v>
      </c>
      <c r="I450" t="s">
        <v>32</v>
      </c>
      <c r="J450" t="s">
        <v>24</v>
      </c>
      <c r="K450" s="2" t="str">
        <f t="shared" ca="1" si="6"/>
        <v>6 Years</v>
      </c>
      <c r="L450" s="3" cm="1">
        <f t="array" ref="L450">_xlfn.SWITCH(Table13_2[[#This Row],[Performance Score]],"A",6,"B",5,"C",4,"D",3,"E",2,"F",1)</f>
        <v>5</v>
      </c>
    </row>
    <row r="451" spans="1:12" x14ac:dyDescent="0.3">
      <c r="A451" t="s">
        <v>36</v>
      </c>
      <c r="B451">
        <v>35</v>
      </c>
      <c r="C451" s="1">
        <v>50742.574257425746</v>
      </c>
      <c r="D451" t="s">
        <v>19</v>
      </c>
      <c r="E451" t="s">
        <v>26</v>
      </c>
      <c r="F451" t="s">
        <v>37</v>
      </c>
      <c r="G451" s="2">
        <v>43881</v>
      </c>
      <c r="H451" t="s">
        <v>27</v>
      </c>
      <c r="I451" t="s">
        <v>16</v>
      </c>
      <c r="J451" t="s">
        <v>17</v>
      </c>
      <c r="K451" s="2" t="str">
        <f t="shared" ref="K451:K514" ca="1" si="7">DATEDIF(G451,TODAY(),"Y") &amp; " Years"</f>
        <v>5 Years</v>
      </c>
      <c r="L451" s="3" cm="1">
        <f t="array" ref="L451">_xlfn.SWITCH(Table13_2[[#This Row],[Performance Score]],"A",6,"B",5,"C",4,"D",3,"E",2,"F",1)</f>
        <v>4</v>
      </c>
    </row>
    <row r="452" spans="1:12" x14ac:dyDescent="0.3">
      <c r="A452" t="s">
        <v>29</v>
      </c>
      <c r="B452">
        <v>40</v>
      </c>
      <c r="C452" s="1">
        <v>55000</v>
      </c>
      <c r="D452" t="s">
        <v>34</v>
      </c>
      <c r="E452" t="s">
        <v>30</v>
      </c>
      <c r="F452" t="s">
        <v>41</v>
      </c>
      <c r="G452" s="2">
        <v>43845</v>
      </c>
      <c r="H452" t="s">
        <v>15</v>
      </c>
      <c r="I452" t="s">
        <v>23</v>
      </c>
      <c r="J452" t="s">
        <v>42</v>
      </c>
      <c r="K452" s="2" t="str">
        <f t="shared" ca="1" si="7"/>
        <v>5 Years</v>
      </c>
      <c r="L452" s="3" cm="1">
        <f t="array" ref="L452">_xlfn.SWITCH(Table13_2[[#This Row],[Performance Score]],"A",6,"B",5,"C",4,"D",3,"E",2,"F",1)</f>
        <v>3</v>
      </c>
    </row>
    <row r="453" spans="1:12" x14ac:dyDescent="0.3">
      <c r="A453" t="s">
        <v>36</v>
      </c>
      <c r="B453">
        <v>50</v>
      </c>
      <c r="C453" s="1">
        <v>48417.431192660551</v>
      </c>
      <c r="D453" t="s">
        <v>19</v>
      </c>
      <c r="E453" t="s">
        <v>20</v>
      </c>
      <c r="F453" t="s">
        <v>14</v>
      </c>
      <c r="G453" s="2">
        <v>43549</v>
      </c>
      <c r="H453" t="s">
        <v>27</v>
      </c>
      <c r="I453" t="s">
        <v>39</v>
      </c>
      <c r="J453" t="s">
        <v>24</v>
      </c>
      <c r="K453" s="2" t="str">
        <f t="shared" ca="1" si="7"/>
        <v>6 Years</v>
      </c>
      <c r="L453" s="3" cm="1">
        <f t="array" ref="L453">_xlfn.SWITCH(Table13_2[[#This Row],[Performance Score]],"A",6,"B",5,"C",4,"D",3,"E",2,"F",1)</f>
        <v>4</v>
      </c>
    </row>
    <row r="454" spans="1:12" x14ac:dyDescent="0.3">
      <c r="A454" t="s">
        <v>45</v>
      </c>
      <c r="B454">
        <v>30</v>
      </c>
      <c r="C454" s="1">
        <v>60000</v>
      </c>
      <c r="D454" t="s">
        <v>19</v>
      </c>
      <c r="E454" t="s">
        <v>30</v>
      </c>
      <c r="F454" t="s">
        <v>40</v>
      </c>
      <c r="G454" s="2">
        <v>43195</v>
      </c>
      <c r="H454" t="s">
        <v>22</v>
      </c>
      <c r="I454" t="s">
        <v>32</v>
      </c>
      <c r="J454" t="s">
        <v>17</v>
      </c>
      <c r="K454" s="2" t="str">
        <f t="shared" ca="1" si="7"/>
        <v>7 Years</v>
      </c>
      <c r="L454" s="3" cm="1">
        <f t="array" ref="L454">_xlfn.SWITCH(Table13_2[[#This Row],[Performance Score]],"A",6,"B",5,"C",4,"D",3,"E",2,"F",1)</f>
        <v>1</v>
      </c>
    </row>
    <row r="455" spans="1:12" x14ac:dyDescent="0.3">
      <c r="A455" t="s">
        <v>45</v>
      </c>
      <c r="B455">
        <v>35</v>
      </c>
      <c r="C455" s="1">
        <v>70000</v>
      </c>
      <c r="D455" t="s">
        <v>34</v>
      </c>
      <c r="E455" t="s">
        <v>13</v>
      </c>
      <c r="F455" t="s">
        <v>37</v>
      </c>
      <c r="G455" s="2">
        <v>43881</v>
      </c>
      <c r="H455" t="s">
        <v>15</v>
      </c>
      <c r="I455" t="s">
        <v>39</v>
      </c>
      <c r="J455" t="s">
        <v>17</v>
      </c>
      <c r="K455" s="2" t="str">
        <f t="shared" ca="1" si="7"/>
        <v>5 Years</v>
      </c>
      <c r="L455" s="3" cm="1">
        <f t="array" ref="L455">_xlfn.SWITCH(Table13_2[[#This Row],[Performance Score]],"A",6,"B",5,"C",4,"D",3,"E",2,"F",1)</f>
        <v>3</v>
      </c>
    </row>
    <row r="456" spans="1:12" x14ac:dyDescent="0.3">
      <c r="A456" t="s">
        <v>25</v>
      </c>
      <c r="B456">
        <v>30</v>
      </c>
      <c r="C456" s="1">
        <v>48417.431192660551</v>
      </c>
      <c r="D456" t="s">
        <v>34</v>
      </c>
      <c r="E456" t="s">
        <v>20</v>
      </c>
      <c r="F456" t="s">
        <v>41</v>
      </c>
      <c r="G456" s="2">
        <v>43549</v>
      </c>
      <c r="H456" t="s">
        <v>27</v>
      </c>
      <c r="I456" t="s">
        <v>32</v>
      </c>
      <c r="J456" t="s">
        <v>28</v>
      </c>
      <c r="K456" s="2" t="str">
        <f t="shared" ca="1" si="7"/>
        <v>6 Years</v>
      </c>
      <c r="L456" s="3" cm="1">
        <f t="array" ref="L456">_xlfn.SWITCH(Table13_2[[#This Row],[Performance Score]],"A",6,"B",5,"C",4,"D",3,"E",2,"F",1)</f>
        <v>4</v>
      </c>
    </row>
    <row r="457" spans="1:12" x14ac:dyDescent="0.3">
      <c r="A457" t="s">
        <v>33</v>
      </c>
      <c r="B457">
        <v>25</v>
      </c>
      <c r="C457" s="1">
        <v>50777.202072538857</v>
      </c>
      <c r="D457" t="s">
        <v>19</v>
      </c>
      <c r="E457" t="s">
        <v>30</v>
      </c>
      <c r="F457" t="s">
        <v>40</v>
      </c>
      <c r="G457" s="2">
        <v>43549</v>
      </c>
      <c r="H457" t="s">
        <v>31</v>
      </c>
      <c r="I457" t="s">
        <v>23</v>
      </c>
      <c r="J457" t="s">
        <v>42</v>
      </c>
      <c r="K457" s="2" t="str">
        <f t="shared" ca="1" si="7"/>
        <v>6 Years</v>
      </c>
      <c r="L457" s="3" cm="1">
        <f t="array" ref="L457">_xlfn.SWITCH(Table13_2[[#This Row],[Performance Score]],"A",6,"B",5,"C",4,"D",3,"E",2,"F",1)</f>
        <v>6</v>
      </c>
    </row>
    <row r="458" spans="1:12" x14ac:dyDescent="0.3">
      <c r="A458" t="s">
        <v>44</v>
      </c>
      <c r="B458">
        <v>30</v>
      </c>
      <c r="C458" s="1">
        <v>70000</v>
      </c>
      <c r="D458" t="s">
        <v>34</v>
      </c>
      <c r="E458" t="s">
        <v>30</v>
      </c>
      <c r="F458" t="s">
        <v>40</v>
      </c>
      <c r="G458" s="2">
        <v>43195</v>
      </c>
      <c r="H458" t="s">
        <v>38</v>
      </c>
      <c r="I458" t="s">
        <v>23</v>
      </c>
      <c r="J458" t="s">
        <v>42</v>
      </c>
      <c r="K458" s="2" t="str">
        <f t="shared" ca="1" si="7"/>
        <v>7 Years</v>
      </c>
      <c r="L458" s="3" cm="1">
        <f t="array" ref="L458">_xlfn.SWITCH(Table13_2[[#This Row],[Performance Score]],"A",6,"B",5,"C",4,"D",3,"E",2,"F",1)</f>
        <v>5</v>
      </c>
    </row>
    <row r="459" spans="1:12" x14ac:dyDescent="0.3">
      <c r="A459" t="s">
        <v>36</v>
      </c>
      <c r="B459">
        <v>25</v>
      </c>
      <c r="C459" s="1">
        <v>55000</v>
      </c>
      <c r="D459" t="s">
        <v>19</v>
      </c>
      <c r="E459" t="s">
        <v>30</v>
      </c>
      <c r="F459" t="s">
        <v>21</v>
      </c>
      <c r="G459" s="2">
        <v>43549</v>
      </c>
      <c r="H459" t="s">
        <v>27</v>
      </c>
      <c r="I459" t="s">
        <v>16</v>
      </c>
      <c r="J459" t="s">
        <v>17</v>
      </c>
      <c r="K459" s="2" t="str">
        <f t="shared" ca="1" si="7"/>
        <v>6 Years</v>
      </c>
      <c r="L459" s="3" cm="1">
        <f t="array" ref="L459">_xlfn.SWITCH(Table13_2[[#This Row],[Performance Score]],"A",6,"B",5,"C",4,"D",3,"E",2,"F",1)</f>
        <v>4</v>
      </c>
    </row>
    <row r="460" spans="1:12" x14ac:dyDescent="0.3">
      <c r="A460" t="s">
        <v>44</v>
      </c>
      <c r="B460">
        <v>25</v>
      </c>
      <c r="C460" s="1">
        <v>55000</v>
      </c>
      <c r="D460" t="s">
        <v>19</v>
      </c>
      <c r="E460" t="s">
        <v>20</v>
      </c>
      <c r="F460" t="s">
        <v>40</v>
      </c>
      <c r="G460" s="2">
        <v>43845</v>
      </c>
      <c r="H460" t="s">
        <v>27</v>
      </c>
      <c r="I460" t="s">
        <v>16</v>
      </c>
      <c r="J460" t="s">
        <v>24</v>
      </c>
      <c r="K460" s="2" t="str">
        <f t="shared" ca="1" si="7"/>
        <v>5 Years</v>
      </c>
      <c r="L460" s="3" cm="1">
        <f t="array" ref="L460">_xlfn.SWITCH(Table13_2[[#This Row],[Performance Score]],"A",6,"B",5,"C",4,"D",3,"E",2,"F",1)</f>
        <v>4</v>
      </c>
    </row>
    <row r="461" spans="1:12" x14ac:dyDescent="0.3">
      <c r="A461" t="s">
        <v>36</v>
      </c>
      <c r="B461">
        <v>30</v>
      </c>
      <c r="C461" s="1">
        <v>70000</v>
      </c>
      <c r="D461" t="s">
        <v>34</v>
      </c>
      <c r="E461" t="s">
        <v>35</v>
      </c>
      <c r="F461" t="s">
        <v>41</v>
      </c>
      <c r="G461" s="2">
        <v>43845</v>
      </c>
      <c r="H461" t="s">
        <v>31</v>
      </c>
      <c r="I461" t="s">
        <v>23</v>
      </c>
      <c r="J461" t="s">
        <v>17</v>
      </c>
      <c r="K461" s="2" t="str">
        <f t="shared" ca="1" si="7"/>
        <v>5 Years</v>
      </c>
      <c r="L461" s="3" cm="1">
        <f t="array" ref="L461">_xlfn.SWITCH(Table13_2[[#This Row],[Performance Score]],"A",6,"B",5,"C",4,"D",3,"E",2,"F",1)</f>
        <v>6</v>
      </c>
    </row>
    <row r="462" spans="1:12" x14ac:dyDescent="0.3">
      <c r="A462" t="s">
        <v>11</v>
      </c>
      <c r="B462">
        <v>35</v>
      </c>
      <c r="C462" s="1">
        <v>50000</v>
      </c>
      <c r="D462" t="s">
        <v>12</v>
      </c>
      <c r="E462" t="s">
        <v>20</v>
      </c>
      <c r="F462" t="s">
        <v>41</v>
      </c>
      <c r="G462" s="2">
        <v>43845</v>
      </c>
      <c r="H462" t="s">
        <v>22</v>
      </c>
      <c r="I462" t="s">
        <v>39</v>
      </c>
      <c r="J462" t="s">
        <v>17</v>
      </c>
      <c r="K462" s="2" t="str">
        <f t="shared" ca="1" si="7"/>
        <v>5 Years</v>
      </c>
      <c r="L462" s="3" cm="1">
        <f t="array" ref="L462">_xlfn.SWITCH(Table13_2[[#This Row],[Performance Score]],"A",6,"B",5,"C",4,"D",3,"E",2,"F",1)</f>
        <v>1</v>
      </c>
    </row>
    <row r="463" spans="1:12" x14ac:dyDescent="0.3">
      <c r="A463" t="s">
        <v>45</v>
      </c>
      <c r="B463">
        <v>50</v>
      </c>
      <c r="C463" s="1">
        <v>70000</v>
      </c>
      <c r="D463" t="s">
        <v>34</v>
      </c>
      <c r="E463" t="s">
        <v>26</v>
      </c>
      <c r="F463" t="s">
        <v>37</v>
      </c>
      <c r="G463" s="2">
        <v>43549</v>
      </c>
      <c r="H463" t="s">
        <v>38</v>
      </c>
      <c r="I463" t="s">
        <v>39</v>
      </c>
      <c r="J463" t="s">
        <v>28</v>
      </c>
      <c r="K463" s="2" t="str">
        <f t="shared" ca="1" si="7"/>
        <v>6 Years</v>
      </c>
      <c r="L463" s="3" cm="1">
        <f t="array" ref="L463">_xlfn.SWITCH(Table13_2[[#This Row],[Performance Score]],"A",6,"B",5,"C",4,"D",3,"E",2,"F",1)</f>
        <v>5</v>
      </c>
    </row>
    <row r="464" spans="1:12" x14ac:dyDescent="0.3">
      <c r="A464" t="s">
        <v>33</v>
      </c>
      <c r="B464">
        <v>40</v>
      </c>
      <c r="C464" s="1">
        <v>70000</v>
      </c>
      <c r="D464" t="s">
        <v>12</v>
      </c>
      <c r="E464" t="s">
        <v>20</v>
      </c>
      <c r="F464" t="s">
        <v>37</v>
      </c>
      <c r="G464" s="2">
        <v>43845</v>
      </c>
      <c r="H464" t="s">
        <v>27</v>
      </c>
      <c r="I464" t="s">
        <v>39</v>
      </c>
      <c r="J464" t="s">
        <v>28</v>
      </c>
      <c r="K464" s="2" t="str">
        <f t="shared" ca="1" si="7"/>
        <v>5 Years</v>
      </c>
      <c r="L464" s="3" cm="1">
        <f t="array" ref="L464">_xlfn.SWITCH(Table13_2[[#This Row],[Performance Score]],"A",6,"B",5,"C",4,"D",3,"E",2,"F",1)</f>
        <v>4</v>
      </c>
    </row>
    <row r="465" spans="1:12" x14ac:dyDescent="0.3">
      <c r="A465" t="s">
        <v>25</v>
      </c>
      <c r="B465">
        <v>40</v>
      </c>
      <c r="C465" s="1">
        <v>55000</v>
      </c>
      <c r="D465" t="s">
        <v>19</v>
      </c>
      <c r="E465" t="s">
        <v>30</v>
      </c>
      <c r="F465" t="s">
        <v>37</v>
      </c>
      <c r="G465" s="2">
        <v>43195</v>
      </c>
      <c r="H465" t="s">
        <v>15</v>
      </c>
      <c r="I465" t="s">
        <v>16</v>
      </c>
      <c r="J465" t="s">
        <v>28</v>
      </c>
      <c r="K465" s="2" t="str">
        <f t="shared" ca="1" si="7"/>
        <v>7 Years</v>
      </c>
      <c r="L465" s="3" cm="1">
        <f t="array" ref="L465">_xlfn.SWITCH(Table13_2[[#This Row],[Performance Score]],"A",6,"B",5,"C",4,"D",3,"E",2,"F",1)</f>
        <v>3</v>
      </c>
    </row>
    <row r="466" spans="1:12" x14ac:dyDescent="0.3">
      <c r="A466" t="s">
        <v>33</v>
      </c>
      <c r="B466">
        <v>50</v>
      </c>
      <c r="C466" s="1">
        <v>55000</v>
      </c>
      <c r="D466" t="s">
        <v>19</v>
      </c>
      <c r="E466" t="s">
        <v>13</v>
      </c>
      <c r="F466" t="s">
        <v>40</v>
      </c>
      <c r="G466" s="2">
        <v>43549</v>
      </c>
      <c r="H466" t="s">
        <v>27</v>
      </c>
      <c r="I466" t="s">
        <v>39</v>
      </c>
      <c r="J466" t="s">
        <v>17</v>
      </c>
      <c r="K466" s="2" t="str">
        <f t="shared" ca="1" si="7"/>
        <v>6 Years</v>
      </c>
      <c r="L466" s="3" cm="1">
        <f t="array" ref="L466">_xlfn.SWITCH(Table13_2[[#This Row],[Performance Score]],"A",6,"B",5,"C",4,"D",3,"E",2,"F",1)</f>
        <v>4</v>
      </c>
    </row>
    <row r="467" spans="1:12" x14ac:dyDescent="0.3">
      <c r="A467" t="s">
        <v>33</v>
      </c>
      <c r="B467">
        <v>25</v>
      </c>
      <c r="C467" s="1">
        <v>70000</v>
      </c>
      <c r="D467" t="s">
        <v>12</v>
      </c>
      <c r="E467" t="s">
        <v>20</v>
      </c>
      <c r="F467" t="s">
        <v>40</v>
      </c>
      <c r="G467" s="2">
        <v>43800</v>
      </c>
      <c r="H467" t="s">
        <v>38</v>
      </c>
      <c r="I467" t="s">
        <v>16</v>
      </c>
      <c r="J467" t="s">
        <v>17</v>
      </c>
      <c r="K467" s="2" t="str">
        <f t="shared" ca="1" si="7"/>
        <v>6 Years</v>
      </c>
      <c r="L467" s="3" cm="1">
        <f t="array" ref="L467">_xlfn.SWITCH(Table13_2[[#This Row],[Performance Score]],"A",6,"B",5,"C",4,"D",3,"E",2,"F",1)</f>
        <v>5</v>
      </c>
    </row>
    <row r="468" spans="1:12" x14ac:dyDescent="0.3">
      <c r="A468" t="s">
        <v>33</v>
      </c>
      <c r="B468">
        <v>25</v>
      </c>
      <c r="C468" s="1">
        <v>70000</v>
      </c>
      <c r="D468" t="s">
        <v>19</v>
      </c>
      <c r="E468" t="s">
        <v>20</v>
      </c>
      <c r="F468" t="s">
        <v>21</v>
      </c>
      <c r="G468" s="2">
        <v>43549</v>
      </c>
      <c r="H468" t="s">
        <v>27</v>
      </c>
      <c r="I468" t="s">
        <v>23</v>
      </c>
      <c r="J468" t="s">
        <v>42</v>
      </c>
      <c r="K468" s="2" t="str">
        <f t="shared" ca="1" si="7"/>
        <v>6 Years</v>
      </c>
      <c r="L468" s="3" cm="1">
        <f t="array" ref="L468">_xlfn.SWITCH(Table13_2[[#This Row],[Performance Score]],"A",6,"B",5,"C",4,"D",3,"E",2,"F",1)</f>
        <v>4</v>
      </c>
    </row>
    <row r="469" spans="1:12" x14ac:dyDescent="0.3">
      <c r="A469" t="s">
        <v>44</v>
      </c>
      <c r="B469">
        <v>35</v>
      </c>
      <c r="C469" s="1">
        <v>70000</v>
      </c>
      <c r="D469" t="s">
        <v>12</v>
      </c>
      <c r="E469" t="s">
        <v>30</v>
      </c>
      <c r="F469" t="s">
        <v>37</v>
      </c>
      <c r="G469" s="2">
        <v>43195</v>
      </c>
      <c r="H469" t="s">
        <v>31</v>
      </c>
      <c r="I469" t="s">
        <v>39</v>
      </c>
      <c r="J469" t="s">
        <v>24</v>
      </c>
      <c r="K469" s="2" t="str">
        <f t="shared" ca="1" si="7"/>
        <v>7 Years</v>
      </c>
      <c r="L469" s="3" cm="1">
        <f t="array" ref="L469">_xlfn.SWITCH(Table13_2[[#This Row],[Performance Score]],"A",6,"B",5,"C",4,"D",3,"E",2,"F",1)</f>
        <v>6</v>
      </c>
    </row>
    <row r="470" spans="1:12" x14ac:dyDescent="0.3">
      <c r="A470" t="s">
        <v>36</v>
      </c>
      <c r="B470">
        <v>36</v>
      </c>
      <c r="C470" s="1">
        <v>55000</v>
      </c>
      <c r="D470" t="s">
        <v>12</v>
      </c>
      <c r="E470" t="s">
        <v>13</v>
      </c>
      <c r="F470" t="s">
        <v>14</v>
      </c>
      <c r="G470" s="2">
        <v>43800</v>
      </c>
      <c r="H470" t="s">
        <v>27</v>
      </c>
      <c r="I470" t="s">
        <v>39</v>
      </c>
      <c r="J470" t="s">
        <v>42</v>
      </c>
      <c r="K470" s="2" t="str">
        <f t="shared" ca="1" si="7"/>
        <v>6 Years</v>
      </c>
      <c r="L470" s="3" cm="1">
        <f t="array" ref="L470">_xlfn.SWITCH(Table13_2[[#This Row],[Performance Score]],"A",6,"B",5,"C",4,"D",3,"E",2,"F",1)</f>
        <v>4</v>
      </c>
    </row>
    <row r="471" spans="1:12" x14ac:dyDescent="0.3">
      <c r="A471" t="s">
        <v>46</v>
      </c>
      <c r="B471">
        <v>30</v>
      </c>
      <c r="C471" s="1">
        <v>70000</v>
      </c>
      <c r="D471" t="s">
        <v>19</v>
      </c>
      <c r="E471" t="s">
        <v>13</v>
      </c>
      <c r="F471" t="s">
        <v>21</v>
      </c>
      <c r="G471" s="2">
        <v>43549</v>
      </c>
      <c r="H471" t="s">
        <v>27</v>
      </c>
      <c r="I471" t="s">
        <v>23</v>
      </c>
      <c r="J471" t="s">
        <v>17</v>
      </c>
      <c r="K471" s="2" t="str">
        <f t="shared" ca="1" si="7"/>
        <v>6 Years</v>
      </c>
      <c r="L471" s="3" cm="1">
        <f t="array" ref="L471">_xlfn.SWITCH(Table13_2[[#This Row],[Performance Score]],"A",6,"B",5,"C",4,"D",3,"E",2,"F",1)</f>
        <v>4</v>
      </c>
    </row>
    <row r="472" spans="1:12" x14ac:dyDescent="0.3">
      <c r="A472" t="s">
        <v>11</v>
      </c>
      <c r="B472">
        <v>25</v>
      </c>
      <c r="C472" s="1">
        <v>70000</v>
      </c>
      <c r="D472" t="s">
        <v>12</v>
      </c>
      <c r="E472" t="s">
        <v>26</v>
      </c>
      <c r="F472" t="s">
        <v>14</v>
      </c>
      <c r="G472" s="2">
        <v>43845</v>
      </c>
      <c r="H472" t="s">
        <v>15</v>
      </c>
      <c r="I472" t="s">
        <v>39</v>
      </c>
      <c r="J472" t="s">
        <v>42</v>
      </c>
      <c r="K472" s="2" t="str">
        <f t="shared" ca="1" si="7"/>
        <v>5 Years</v>
      </c>
      <c r="L472" s="3" cm="1">
        <f t="array" ref="L472">_xlfn.SWITCH(Table13_2[[#This Row],[Performance Score]],"A",6,"B",5,"C",4,"D",3,"E",2,"F",1)</f>
        <v>3</v>
      </c>
    </row>
    <row r="473" spans="1:12" x14ac:dyDescent="0.3">
      <c r="A473" t="s">
        <v>18</v>
      </c>
      <c r="B473">
        <v>40</v>
      </c>
      <c r="C473" s="1">
        <v>65000</v>
      </c>
      <c r="D473" t="s">
        <v>34</v>
      </c>
      <c r="E473" t="s">
        <v>20</v>
      </c>
      <c r="F473" t="s">
        <v>40</v>
      </c>
      <c r="G473" s="2">
        <v>43881</v>
      </c>
      <c r="H473" t="s">
        <v>31</v>
      </c>
      <c r="I473" t="s">
        <v>39</v>
      </c>
      <c r="J473" t="s">
        <v>17</v>
      </c>
      <c r="K473" s="2" t="str">
        <f t="shared" ca="1" si="7"/>
        <v>5 Years</v>
      </c>
      <c r="L473" s="3" cm="1">
        <f t="array" ref="L473">_xlfn.SWITCH(Table13_2[[#This Row],[Performance Score]],"A",6,"B",5,"C",4,"D",3,"E",2,"F",1)</f>
        <v>6</v>
      </c>
    </row>
    <row r="474" spans="1:12" x14ac:dyDescent="0.3">
      <c r="A474" t="s">
        <v>33</v>
      </c>
      <c r="B474">
        <v>35</v>
      </c>
      <c r="C474" s="1">
        <v>50000</v>
      </c>
      <c r="D474" t="s">
        <v>34</v>
      </c>
      <c r="E474" t="s">
        <v>13</v>
      </c>
      <c r="F474" t="s">
        <v>21</v>
      </c>
      <c r="G474" s="2">
        <v>43881</v>
      </c>
      <c r="H474" t="s">
        <v>31</v>
      </c>
      <c r="I474" t="s">
        <v>32</v>
      </c>
      <c r="J474" t="s">
        <v>28</v>
      </c>
      <c r="K474" s="2" t="str">
        <f t="shared" ca="1" si="7"/>
        <v>5 Years</v>
      </c>
      <c r="L474" s="3" cm="1">
        <f t="array" ref="L474">_xlfn.SWITCH(Table13_2[[#This Row],[Performance Score]],"A",6,"B",5,"C",4,"D",3,"E",2,"F",1)</f>
        <v>6</v>
      </c>
    </row>
    <row r="475" spans="1:12" x14ac:dyDescent="0.3">
      <c r="A475" t="s">
        <v>29</v>
      </c>
      <c r="B475">
        <v>30</v>
      </c>
      <c r="C475" s="1">
        <v>60000</v>
      </c>
      <c r="D475" t="s">
        <v>19</v>
      </c>
      <c r="E475" t="s">
        <v>13</v>
      </c>
      <c r="F475" t="s">
        <v>21</v>
      </c>
      <c r="G475" s="2">
        <v>43845</v>
      </c>
      <c r="H475" t="s">
        <v>27</v>
      </c>
      <c r="I475" t="s">
        <v>16</v>
      </c>
      <c r="J475" t="s">
        <v>17</v>
      </c>
      <c r="K475" s="2" t="str">
        <f t="shared" ca="1" si="7"/>
        <v>5 Years</v>
      </c>
      <c r="L475" s="3" cm="1">
        <f t="array" ref="L475">_xlfn.SWITCH(Table13_2[[#This Row],[Performance Score]],"A",6,"B",5,"C",4,"D",3,"E",2,"F",1)</f>
        <v>4</v>
      </c>
    </row>
    <row r="476" spans="1:12" x14ac:dyDescent="0.3">
      <c r="A476" t="s">
        <v>44</v>
      </c>
      <c r="B476">
        <v>35</v>
      </c>
      <c r="C476" s="1">
        <v>50000</v>
      </c>
      <c r="D476" t="s">
        <v>19</v>
      </c>
      <c r="E476" t="s">
        <v>35</v>
      </c>
      <c r="F476" t="s">
        <v>41</v>
      </c>
      <c r="G476" s="2">
        <v>43881</v>
      </c>
      <c r="H476" t="s">
        <v>15</v>
      </c>
      <c r="I476" t="s">
        <v>39</v>
      </c>
      <c r="J476" t="s">
        <v>17</v>
      </c>
      <c r="K476" s="2" t="str">
        <f t="shared" ca="1" si="7"/>
        <v>5 Years</v>
      </c>
      <c r="L476" s="3" cm="1">
        <f t="array" ref="L476">_xlfn.SWITCH(Table13_2[[#This Row],[Performance Score]],"A",6,"B",5,"C",4,"D",3,"E",2,"F",1)</f>
        <v>3</v>
      </c>
    </row>
    <row r="477" spans="1:12" x14ac:dyDescent="0.3">
      <c r="A477" t="s">
        <v>25</v>
      </c>
      <c r="B477">
        <v>30</v>
      </c>
      <c r="C477" s="1">
        <v>65000</v>
      </c>
      <c r="D477" t="s">
        <v>12</v>
      </c>
      <c r="E477" t="s">
        <v>35</v>
      </c>
      <c r="F477" t="s">
        <v>40</v>
      </c>
      <c r="G477" s="2">
        <v>43881</v>
      </c>
      <c r="H477" t="s">
        <v>27</v>
      </c>
      <c r="I477" t="s">
        <v>23</v>
      </c>
      <c r="J477" t="s">
        <v>42</v>
      </c>
      <c r="K477" s="2" t="str">
        <f t="shared" ca="1" si="7"/>
        <v>5 Years</v>
      </c>
      <c r="L477" s="3" cm="1">
        <f t="array" ref="L477">_xlfn.SWITCH(Table13_2[[#This Row],[Performance Score]],"A",6,"B",5,"C",4,"D",3,"E",2,"F",1)</f>
        <v>4</v>
      </c>
    </row>
    <row r="478" spans="1:12" x14ac:dyDescent="0.3">
      <c r="A478" t="s">
        <v>18</v>
      </c>
      <c r="B478">
        <v>30</v>
      </c>
      <c r="C478" s="1">
        <v>60000</v>
      </c>
      <c r="D478" t="s">
        <v>12</v>
      </c>
      <c r="E478" t="s">
        <v>13</v>
      </c>
      <c r="F478" t="s">
        <v>40</v>
      </c>
      <c r="G478" s="2">
        <v>43845</v>
      </c>
      <c r="H478" t="s">
        <v>27</v>
      </c>
      <c r="I478" t="s">
        <v>39</v>
      </c>
      <c r="J478" t="s">
        <v>17</v>
      </c>
      <c r="K478" s="2" t="str">
        <f t="shared" ca="1" si="7"/>
        <v>5 Years</v>
      </c>
      <c r="L478" s="3" cm="1">
        <f t="array" ref="L478">_xlfn.SWITCH(Table13_2[[#This Row],[Performance Score]],"A",6,"B",5,"C",4,"D",3,"E",2,"F",1)</f>
        <v>4</v>
      </c>
    </row>
    <row r="479" spans="1:12" x14ac:dyDescent="0.3">
      <c r="A479" t="s">
        <v>46</v>
      </c>
      <c r="B479">
        <v>50</v>
      </c>
      <c r="C479" s="1">
        <v>70000</v>
      </c>
      <c r="D479" t="s">
        <v>12</v>
      </c>
      <c r="E479" t="s">
        <v>26</v>
      </c>
      <c r="F479" t="s">
        <v>21</v>
      </c>
      <c r="G479" s="2">
        <v>43845</v>
      </c>
      <c r="H479" t="s">
        <v>38</v>
      </c>
      <c r="I479" t="s">
        <v>39</v>
      </c>
      <c r="J479" t="s">
        <v>42</v>
      </c>
      <c r="K479" s="2" t="str">
        <f t="shared" ca="1" si="7"/>
        <v>5 Years</v>
      </c>
      <c r="L479" s="3" cm="1">
        <f t="array" ref="L479">_xlfn.SWITCH(Table13_2[[#This Row],[Performance Score]],"A",6,"B",5,"C",4,"D",3,"E",2,"F",1)</f>
        <v>5</v>
      </c>
    </row>
    <row r="480" spans="1:12" x14ac:dyDescent="0.3">
      <c r="A480" t="s">
        <v>29</v>
      </c>
      <c r="B480">
        <v>25</v>
      </c>
      <c r="C480" s="1">
        <v>65000</v>
      </c>
      <c r="D480" t="s">
        <v>12</v>
      </c>
      <c r="E480" t="s">
        <v>13</v>
      </c>
      <c r="F480" t="s">
        <v>40</v>
      </c>
      <c r="G480" s="2">
        <v>43549</v>
      </c>
      <c r="H480" t="s">
        <v>38</v>
      </c>
      <c r="I480" t="s">
        <v>16</v>
      </c>
      <c r="J480" t="s">
        <v>42</v>
      </c>
      <c r="K480" s="2" t="str">
        <f t="shared" ca="1" si="7"/>
        <v>6 Years</v>
      </c>
      <c r="L480" s="3" cm="1">
        <f t="array" ref="L480">_xlfn.SWITCH(Table13_2[[#This Row],[Performance Score]],"A",6,"B",5,"C",4,"D",3,"E",2,"F",1)</f>
        <v>5</v>
      </c>
    </row>
    <row r="481" spans="1:12" x14ac:dyDescent="0.3">
      <c r="A481" t="s">
        <v>46</v>
      </c>
      <c r="B481">
        <v>35</v>
      </c>
      <c r="C481" s="1">
        <v>70000</v>
      </c>
      <c r="D481" t="s">
        <v>34</v>
      </c>
      <c r="E481" t="s">
        <v>30</v>
      </c>
      <c r="F481" t="s">
        <v>21</v>
      </c>
      <c r="G481" s="2">
        <v>43549</v>
      </c>
      <c r="H481" t="s">
        <v>15</v>
      </c>
      <c r="I481" t="s">
        <v>32</v>
      </c>
      <c r="J481" t="s">
        <v>17</v>
      </c>
      <c r="K481" s="2" t="str">
        <f t="shared" ca="1" si="7"/>
        <v>6 Years</v>
      </c>
      <c r="L481" s="3" cm="1">
        <f t="array" ref="L481">_xlfn.SWITCH(Table13_2[[#This Row],[Performance Score]],"A",6,"B",5,"C",4,"D",3,"E",2,"F",1)</f>
        <v>3</v>
      </c>
    </row>
    <row r="482" spans="1:12" x14ac:dyDescent="0.3">
      <c r="A482" t="s">
        <v>18</v>
      </c>
      <c r="B482">
        <v>35</v>
      </c>
      <c r="C482" s="1">
        <v>55000</v>
      </c>
      <c r="D482" t="s">
        <v>34</v>
      </c>
      <c r="E482" t="s">
        <v>20</v>
      </c>
      <c r="F482" t="s">
        <v>41</v>
      </c>
      <c r="G482" s="2">
        <v>43845</v>
      </c>
      <c r="H482" t="s">
        <v>22</v>
      </c>
      <c r="I482" t="s">
        <v>16</v>
      </c>
      <c r="J482" t="s">
        <v>42</v>
      </c>
      <c r="K482" s="2" t="str">
        <f t="shared" ca="1" si="7"/>
        <v>5 Years</v>
      </c>
      <c r="L482" s="3" cm="1">
        <f t="array" ref="L482">_xlfn.SWITCH(Table13_2[[#This Row],[Performance Score]],"A",6,"B",5,"C",4,"D",3,"E",2,"F",1)</f>
        <v>1</v>
      </c>
    </row>
    <row r="483" spans="1:12" x14ac:dyDescent="0.3">
      <c r="A483" t="s">
        <v>33</v>
      </c>
      <c r="B483">
        <v>50</v>
      </c>
      <c r="C483" s="1">
        <v>50742.574257425746</v>
      </c>
      <c r="D483" t="s">
        <v>19</v>
      </c>
      <c r="E483" t="s">
        <v>26</v>
      </c>
      <c r="F483" t="s">
        <v>21</v>
      </c>
      <c r="G483" s="2">
        <v>43195</v>
      </c>
      <c r="H483" t="s">
        <v>38</v>
      </c>
      <c r="I483" t="s">
        <v>39</v>
      </c>
      <c r="J483" t="s">
        <v>28</v>
      </c>
      <c r="K483" s="2" t="str">
        <f t="shared" ca="1" si="7"/>
        <v>7 Years</v>
      </c>
      <c r="L483" s="3" cm="1">
        <f t="array" ref="L483">_xlfn.SWITCH(Table13_2[[#This Row],[Performance Score]],"A",6,"B",5,"C",4,"D",3,"E",2,"F",1)</f>
        <v>5</v>
      </c>
    </row>
    <row r="484" spans="1:12" x14ac:dyDescent="0.3">
      <c r="A484" t="s">
        <v>29</v>
      </c>
      <c r="B484">
        <v>40</v>
      </c>
      <c r="C484" s="1">
        <v>65000</v>
      </c>
      <c r="D484" t="s">
        <v>12</v>
      </c>
      <c r="E484" t="s">
        <v>30</v>
      </c>
      <c r="F484" t="s">
        <v>40</v>
      </c>
      <c r="G484" s="2">
        <v>43881</v>
      </c>
      <c r="H484" t="s">
        <v>22</v>
      </c>
      <c r="I484" t="s">
        <v>39</v>
      </c>
      <c r="J484" t="s">
        <v>42</v>
      </c>
      <c r="K484" s="2" t="str">
        <f t="shared" ca="1" si="7"/>
        <v>5 Years</v>
      </c>
      <c r="L484" s="3" cm="1">
        <f t="array" ref="L484">_xlfn.SWITCH(Table13_2[[#This Row],[Performance Score]],"A",6,"B",5,"C",4,"D",3,"E",2,"F",1)</f>
        <v>1</v>
      </c>
    </row>
    <row r="485" spans="1:12" x14ac:dyDescent="0.3">
      <c r="A485" t="s">
        <v>46</v>
      </c>
      <c r="B485">
        <v>40</v>
      </c>
      <c r="C485" s="1">
        <v>55000</v>
      </c>
      <c r="D485" t="s">
        <v>12</v>
      </c>
      <c r="E485" t="s">
        <v>26</v>
      </c>
      <c r="F485" t="s">
        <v>40</v>
      </c>
      <c r="G485" s="2">
        <v>43549</v>
      </c>
      <c r="H485" t="s">
        <v>31</v>
      </c>
      <c r="I485" t="s">
        <v>39</v>
      </c>
      <c r="J485" t="s">
        <v>28</v>
      </c>
      <c r="K485" s="2" t="str">
        <f t="shared" ca="1" si="7"/>
        <v>6 Years</v>
      </c>
      <c r="L485" s="3" cm="1">
        <f t="array" ref="L485">_xlfn.SWITCH(Table13_2[[#This Row],[Performance Score]],"A",6,"B",5,"C",4,"D",3,"E",2,"F",1)</f>
        <v>6</v>
      </c>
    </row>
    <row r="486" spans="1:12" x14ac:dyDescent="0.3">
      <c r="A486" t="s">
        <v>25</v>
      </c>
      <c r="B486">
        <v>25</v>
      </c>
      <c r="C486" s="1">
        <v>65000</v>
      </c>
      <c r="D486" t="s">
        <v>19</v>
      </c>
      <c r="E486" t="s">
        <v>30</v>
      </c>
      <c r="F486" t="s">
        <v>21</v>
      </c>
      <c r="G486" s="2">
        <v>43881</v>
      </c>
      <c r="H486" t="s">
        <v>38</v>
      </c>
      <c r="I486" t="s">
        <v>39</v>
      </c>
      <c r="J486" t="s">
        <v>17</v>
      </c>
      <c r="K486" s="2" t="str">
        <f t="shared" ca="1" si="7"/>
        <v>5 Years</v>
      </c>
      <c r="L486" s="3" cm="1">
        <f t="array" ref="L486">_xlfn.SWITCH(Table13_2[[#This Row],[Performance Score]],"A",6,"B",5,"C",4,"D",3,"E",2,"F",1)</f>
        <v>5</v>
      </c>
    </row>
    <row r="487" spans="1:12" x14ac:dyDescent="0.3">
      <c r="A487" t="s">
        <v>36</v>
      </c>
      <c r="B487">
        <v>25</v>
      </c>
      <c r="C487" s="1">
        <v>65000</v>
      </c>
      <c r="D487" t="s">
        <v>12</v>
      </c>
      <c r="E487" t="s">
        <v>20</v>
      </c>
      <c r="F487" t="s">
        <v>21</v>
      </c>
      <c r="G487" s="2">
        <v>43800</v>
      </c>
      <c r="H487" t="s">
        <v>38</v>
      </c>
      <c r="I487" t="s">
        <v>23</v>
      </c>
      <c r="J487" t="s">
        <v>17</v>
      </c>
      <c r="K487" s="2" t="str">
        <f t="shared" ca="1" si="7"/>
        <v>6 Years</v>
      </c>
      <c r="L487" s="3" cm="1">
        <f t="array" ref="L487">_xlfn.SWITCH(Table13_2[[#This Row],[Performance Score]],"A",6,"B",5,"C",4,"D",3,"E",2,"F",1)</f>
        <v>5</v>
      </c>
    </row>
    <row r="488" spans="1:12" x14ac:dyDescent="0.3">
      <c r="A488" t="s">
        <v>45</v>
      </c>
      <c r="B488">
        <v>36</v>
      </c>
      <c r="C488" s="1">
        <v>55000</v>
      </c>
      <c r="D488" t="s">
        <v>12</v>
      </c>
      <c r="E488" t="s">
        <v>20</v>
      </c>
      <c r="F488" t="s">
        <v>21</v>
      </c>
      <c r="G488" s="2">
        <v>43845</v>
      </c>
      <c r="H488" t="s">
        <v>15</v>
      </c>
      <c r="I488" t="s">
        <v>32</v>
      </c>
      <c r="J488" t="s">
        <v>28</v>
      </c>
      <c r="K488" s="2" t="str">
        <f t="shared" ca="1" si="7"/>
        <v>5 Years</v>
      </c>
      <c r="L488" s="3" cm="1">
        <f t="array" ref="L488">_xlfn.SWITCH(Table13_2[[#This Row],[Performance Score]],"A",6,"B",5,"C",4,"D",3,"E",2,"F",1)</f>
        <v>3</v>
      </c>
    </row>
    <row r="489" spans="1:12" x14ac:dyDescent="0.3">
      <c r="A489" t="s">
        <v>36</v>
      </c>
      <c r="B489">
        <v>50</v>
      </c>
      <c r="C489" s="1">
        <v>60000</v>
      </c>
      <c r="D489" t="s">
        <v>12</v>
      </c>
      <c r="E489" t="s">
        <v>35</v>
      </c>
      <c r="F489" t="s">
        <v>37</v>
      </c>
      <c r="G489" s="2">
        <v>43195</v>
      </c>
      <c r="H489" t="s">
        <v>22</v>
      </c>
      <c r="I489" t="s">
        <v>39</v>
      </c>
      <c r="J489" t="s">
        <v>17</v>
      </c>
      <c r="K489" s="2" t="str">
        <f t="shared" ca="1" si="7"/>
        <v>7 Years</v>
      </c>
      <c r="L489" s="3" cm="1">
        <f t="array" ref="L489">_xlfn.SWITCH(Table13_2[[#This Row],[Performance Score]],"A",6,"B",5,"C",4,"D",3,"E",2,"F",1)</f>
        <v>1</v>
      </c>
    </row>
    <row r="490" spans="1:12" x14ac:dyDescent="0.3">
      <c r="A490" t="s">
        <v>18</v>
      </c>
      <c r="B490">
        <v>40</v>
      </c>
      <c r="C490" s="1">
        <v>50000</v>
      </c>
      <c r="D490" t="s">
        <v>12</v>
      </c>
      <c r="E490" t="s">
        <v>30</v>
      </c>
      <c r="F490" t="s">
        <v>40</v>
      </c>
      <c r="G490" s="2">
        <v>43800</v>
      </c>
      <c r="H490" t="s">
        <v>38</v>
      </c>
      <c r="I490" t="s">
        <v>39</v>
      </c>
      <c r="J490" t="s">
        <v>17</v>
      </c>
      <c r="K490" s="2" t="str">
        <f t="shared" ca="1" si="7"/>
        <v>6 Years</v>
      </c>
      <c r="L490" s="3" cm="1">
        <f t="array" ref="L490">_xlfn.SWITCH(Table13_2[[#This Row],[Performance Score]],"A",6,"B",5,"C",4,"D",3,"E",2,"F",1)</f>
        <v>5</v>
      </c>
    </row>
    <row r="491" spans="1:12" x14ac:dyDescent="0.3">
      <c r="A491" t="s">
        <v>44</v>
      </c>
      <c r="B491">
        <v>30</v>
      </c>
      <c r="C491" s="1">
        <v>70000</v>
      </c>
      <c r="D491" t="s">
        <v>12</v>
      </c>
      <c r="E491" t="s">
        <v>35</v>
      </c>
      <c r="F491" t="s">
        <v>40</v>
      </c>
      <c r="G491" s="2">
        <v>43800</v>
      </c>
      <c r="H491" t="s">
        <v>38</v>
      </c>
      <c r="I491" t="s">
        <v>39</v>
      </c>
      <c r="J491" t="s">
        <v>28</v>
      </c>
      <c r="K491" s="2" t="str">
        <f t="shared" ca="1" si="7"/>
        <v>6 Years</v>
      </c>
      <c r="L491" s="3" cm="1">
        <f t="array" ref="L491">_xlfn.SWITCH(Table13_2[[#This Row],[Performance Score]],"A",6,"B",5,"C",4,"D",3,"E",2,"F",1)</f>
        <v>5</v>
      </c>
    </row>
    <row r="492" spans="1:12" x14ac:dyDescent="0.3">
      <c r="A492" t="s">
        <v>45</v>
      </c>
      <c r="B492">
        <v>35</v>
      </c>
      <c r="C492" s="1">
        <v>65000</v>
      </c>
      <c r="D492" t="s">
        <v>19</v>
      </c>
      <c r="E492" t="s">
        <v>30</v>
      </c>
      <c r="F492" t="s">
        <v>37</v>
      </c>
      <c r="G492" s="2">
        <v>43800</v>
      </c>
      <c r="H492" t="s">
        <v>15</v>
      </c>
      <c r="I492" t="s">
        <v>32</v>
      </c>
      <c r="J492" t="s">
        <v>17</v>
      </c>
      <c r="K492" s="2" t="str">
        <f t="shared" ca="1" si="7"/>
        <v>6 Years</v>
      </c>
      <c r="L492" s="3" cm="1">
        <f t="array" ref="L492">_xlfn.SWITCH(Table13_2[[#This Row],[Performance Score]],"A",6,"B",5,"C",4,"D",3,"E",2,"F",1)</f>
        <v>3</v>
      </c>
    </row>
    <row r="493" spans="1:12" x14ac:dyDescent="0.3">
      <c r="A493" t="s">
        <v>11</v>
      </c>
      <c r="B493">
        <v>25</v>
      </c>
      <c r="C493" s="1">
        <v>70000</v>
      </c>
      <c r="D493" t="s">
        <v>12</v>
      </c>
      <c r="E493" t="s">
        <v>35</v>
      </c>
      <c r="F493" t="s">
        <v>21</v>
      </c>
      <c r="G493" s="2">
        <v>43845</v>
      </c>
      <c r="H493" t="s">
        <v>15</v>
      </c>
      <c r="I493" t="s">
        <v>16</v>
      </c>
      <c r="J493" t="s">
        <v>24</v>
      </c>
      <c r="K493" s="2" t="str">
        <f t="shared" ca="1" si="7"/>
        <v>5 Years</v>
      </c>
      <c r="L493" s="3" cm="1">
        <f t="array" ref="L493">_xlfn.SWITCH(Table13_2[[#This Row],[Performance Score]],"A",6,"B",5,"C",4,"D",3,"E",2,"F",1)</f>
        <v>3</v>
      </c>
    </row>
    <row r="494" spans="1:12" x14ac:dyDescent="0.3">
      <c r="A494" t="s">
        <v>25</v>
      </c>
      <c r="B494">
        <v>35</v>
      </c>
      <c r="C494" s="1">
        <v>48417.431192660551</v>
      </c>
      <c r="D494" t="s">
        <v>19</v>
      </c>
      <c r="E494" t="s">
        <v>20</v>
      </c>
      <c r="F494" t="s">
        <v>41</v>
      </c>
      <c r="G494" s="2">
        <v>43549</v>
      </c>
      <c r="H494" t="s">
        <v>22</v>
      </c>
      <c r="I494" t="s">
        <v>32</v>
      </c>
      <c r="J494" t="s">
        <v>17</v>
      </c>
      <c r="K494" s="2" t="str">
        <f t="shared" ca="1" si="7"/>
        <v>6 Years</v>
      </c>
      <c r="L494" s="3" cm="1">
        <f t="array" ref="L494">_xlfn.SWITCH(Table13_2[[#This Row],[Performance Score]],"A",6,"B",5,"C",4,"D",3,"E",2,"F",1)</f>
        <v>1</v>
      </c>
    </row>
    <row r="495" spans="1:12" x14ac:dyDescent="0.3">
      <c r="A495" t="s">
        <v>11</v>
      </c>
      <c r="B495">
        <v>35</v>
      </c>
      <c r="C495" s="1">
        <v>55000</v>
      </c>
      <c r="D495" t="s">
        <v>12</v>
      </c>
      <c r="E495" t="s">
        <v>26</v>
      </c>
      <c r="F495" t="s">
        <v>21</v>
      </c>
      <c r="G495" s="2">
        <v>43845</v>
      </c>
      <c r="H495" t="s">
        <v>31</v>
      </c>
      <c r="I495" t="s">
        <v>32</v>
      </c>
      <c r="J495" t="s">
        <v>17</v>
      </c>
      <c r="K495" s="2" t="str">
        <f t="shared" ca="1" si="7"/>
        <v>5 Years</v>
      </c>
      <c r="L495" s="3" cm="1">
        <f t="array" ref="L495">_xlfn.SWITCH(Table13_2[[#This Row],[Performance Score]],"A",6,"B",5,"C",4,"D",3,"E",2,"F",1)</f>
        <v>6</v>
      </c>
    </row>
    <row r="496" spans="1:12" x14ac:dyDescent="0.3">
      <c r="A496" t="s">
        <v>29</v>
      </c>
      <c r="B496">
        <v>36</v>
      </c>
      <c r="C496" s="1">
        <v>70000</v>
      </c>
      <c r="D496" t="s">
        <v>34</v>
      </c>
      <c r="E496" t="s">
        <v>35</v>
      </c>
      <c r="F496" t="s">
        <v>21</v>
      </c>
      <c r="G496" s="2">
        <v>43549</v>
      </c>
      <c r="H496" t="s">
        <v>31</v>
      </c>
      <c r="I496" t="s">
        <v>32</v>
      </c>
      <c r="J496" t="s">
        <v>17</v>
      </c>
      <c r="K496" s="2" t="str">
        <f t="shared" ca="1" si="7"/>
        <v>6 Years</v>
      </c>
      <c r="L496" s="3" cm="1">
        <f t="array" ref="L496">_xlfn.SWITCH(Table13_2[[#This Row],[Performance Score]],"A",6,"B",5,"C",4,"D",3,"E",2,"F",1)</f>
        <v>6</v>
      </c>
    </row>
    <row r="497" spans="1:12" x14ac:dyDescent="0.3">
      <c r="A497" t="s">
        <v>45</v>
      </c>
      <c r="B497">
        <v>40</v>
      </c>
      <c r="C497" s="1">
        <v>55000</v>
      </c>
      <c r="D497" t="s">
        <v>34</v>
      </c>
      <c r="E497" t="s">
        <v>30</v>
      </c>
      <c r="F497" t="s">
        <v>37</v>
      </c>
      <c r="G497" s="2">
        <v>43800</v>
      </c>
      <c r="H497" t="s">
        <v>27</v>
      </c>
      <c r="I497" t="s">
        <v>39</v>
      </c>
      <c r="J497" t="s">
        <v>17</v>
      </c>
      <c r="K497" s="2" t="str">
        <f t="shared" ca="1" si="7"/>
        <v>6 Years</v>
      </c>
      <c r="L497" s="3" cm="1">
        <f t="array" ref="L497">_xlfn.SWITCH(Table13_2[[#This Row],[Performance Score]],"A",6,"B",5,"C",4,"D",3,"E",2,"F",1)</f>
        <v>4</v>
      </c>
    </row>
    <row r="498" spans="1:12" x14ac:dyDescent="0.3">
      <c r="A498" t="s">
        <v>11</v>
      </c>
      <c r="B498">
        <v>25</v>
      </c>
      <c r="C498" s="1">
        <v>70000</v>
      </c>
      <c r="D498" t="s">
        <v>34</v>
      </c>
      <c r="E498" t="s">
        <v>30</v>
      </c>
      <c r="F498" t="s">
        <v>40</v>
      </c>
      <c r="G498" s="2">
        <v>43800</v>
      </c>
      <c r="H498" t="s">
        <v>38</v>
      </c>
      <c r="I498" t="s">
        <v>39</v>
      </c>
      <c r="J498" t="s">
        <v>42</v>
      </c>
      <c r="K498" s="2" t="str">
        <f t="shared" ca="1" si="7"/>
        <v>6 Years</v>
      </c>
      <c r="L498" s="3" cm="1">
        <f t="array" ref="L498">_xlfn.SWITCH(Table13_2[[#This Row],[Performance Score]],"A",6,"B",5,"C",4,"D",3,"E",2,"F",1)</f>
        <v>5</v>
      </c>
    </row>
    <row r="499" spans="1:12" x14ac:dyDescent="0.3">
      <c r="A499" t="s">
        <v>11</v>
      </c>
      <c r="B499">
        <v>35</v>
      </c>
      <c r="C499" s="1">
        <v>50000</v>
      </c>
      <c r="D499" t="s">
        <v>34</v>
      </c>
      <c r="E499" t="s">
        <v>20</v>
      </c>
      <c r="F499" t="s">
        <v>21</v>
      </c>
      <c r="G499" s="2">
        <v>43195</v>
      </c>
      <c r="H499" t="s">
        <v>22</v>
      </c>
      <c r="I499" t="s">
        <v>23</v>
      </c>
      <c r="J499" t="s">
        <v>17</v>
      </c>
      <c r="K499" s="2" t="str">
        <f t="shared" ca="1" si="7"/>
        <v>7 Years</v>
      </c>
      <c r="L499" s="3" cm="1">
        <f t="array" ref="L499">_xlfn.SWITCH(Table13_2[[#This Row],[Performance Score]],"A",6,"B",5,"C",4,"D",3,"E",2,"F",1)</f>
        <v>1</v>
      </c>
    </row>
    <row r="500" spans="1:12" x14ac:dyDescent="0.3">
      <c r="A500" t="s">
        <v>46</v>
      </c>
      <c r="B500">
        <v>25</v>
      </c>
      <c r="C500" s="1">
        <v>50000</v>
      </c>
      <c r="D500" t="s">
        <v>19</v>
      </c>
      <c r="E500" t="s">
        <v>30</v>
      </c>
      <c r="F500" t="s">
        <v>40</v>
      </c>
      <c r="G500" s="2">
        <v>43549</v>
      </c>
      <c r="H500" t="s">
        <v>38</v>
      </c>
      <c r="I500" t="s">
        <v>16</v>
      </c>
      <c r="J500" t="s">
        <v>17</v>
      </c>
      <c r="K500" s="2" t="str">
        <f t="shared" ca="1" si="7"/>
        <v>6 Years</v>
      </c>
      <c r="L500" s="3" cm="1">
        <f t="array" ref="L500">_xlfn.SWITCH(Table13_2[[#This Row],[Performance Score]],"A",6,"B",5,"C",4,"D",3,"E",2,"F",1)</f>
        <v>5</v>
      </c>
    </row>
    <row r="501" spans="1:12" x14ac:dyDescent="0.3">
      <c r="A501" t="s">
        <v>36</v>
      </c>
      <c r="B501">
        <v>30</v>
      </c>
      <c r="C501" s="1">
        <v>50000</v>
      </c>
      <c r="D501" t="s">
        <v>19</v>
      </c>
      <c r="E501" t="s">
        <v>13</v>
      </c>
      <c r="F501" t="s">
        <v>14</v>
      </c>
      <c r="G501" s="2">
        <v>43800</v>
      </c>
      <c r="H501" t="s">
        <v>22</v>
      </c>
      <c r="I501" t="s">
        <v>39</v>
      </c>
      <c r="J501" t="s">
        <v>28</v>
      </c>
      <c r="K501" s="2" t="str">
        <f t="shared" ca="1" si="7"/>
        <v>6 Years</v>
      </c>
      <c r="L501" s="3" cm="1">
        <f t="array" ref="L501">_xlfn.SWITCH(Table13_2[[#This Row],[Performance Score]],"A",6,"B",5,"C",4,"D",3,"E",2,"F",1)</f>
        <v>1</v>
      </c>
    </row>
    <row r="502" spans="1:12" x14ac:dyDescent="0.3">
      <c r="A502" t="s">
        <v>46</v>
      </c>
      <c r="B502">
        <v>36</v>
      </c>
      <c r="C502" s="1">
        <v>50000</v>
      </c>
      <c r="D502" t="s">
        <v>12</v>
      </c>
      <c r="E502" t="s">
        <v>26</v>
      </c>
      <c r="F502" t="s">
        <v>40</v>
      </c>
      <c r="G502" s="2">
        <v>43881</v>
      </c>
      <c r="H502" t="s">
        <v>22</v>
      </c>
      <c r="I502" t="s">
        <v>32</v>
      </c>
      <c r="J502" t="s">
        <v>24</v>
      </c>
      <c r="K502" s="2" t="str">
        <f t="shared" ca="1" si="7"/>
        <v>5 Years</v>
      </c>
      <c r="L502" s="3" cm="1">
        <f t="array" ref="L502">_xlfn.SWITCH(Table13_2[[#This Row],[Performance Score]],"A",6,"B",5,"C",4,"D",3,"E",2,"F",1)</f>
        <v>1</v>
      </c>
    </row>
    <row r="503" spans="1:12" x14ac:dyDescent="0.3">
      <c r="A503" t="s">
        <v>45</v>
      </c>
      <c r="B503">
        <v>30</v>
      </c>
      <c r="C503" s="1">
        <v>50000</v>
      </c>
      <c r="D503" t="s">
        <v>34</v>
      </c>
      <c r="E503" t="s">
        <v>35</v>
      </c>
      <c r="F503" t="s">
        <v>41</v>
      </c>
      <c r="G503" s="2">
        <v>43195</v>
      </c>
      <c r="H503" t="s">
        <v>22</v>
      </c>
      <c r="I503" t="s">
        <v>16</v>
      </c>
      <c r="J503" t="s">
        <v>42</v>
      </c>
      <c r="K503" s="2" t="str">
        <f t="shared" ca="1" si="7"/>
        <v>7 Years</v>
      </c>
      <c r="L503" s="3" cm="1">
        <f t="array" ref="L503">_xlfn.SWITCH(Table13_2[[#This Row],[Performance Score]],"A",6,"B",5,"C",4,"D",3,"E",2,"F",1)</f>
        <v>1</v>
      </c>
    </row>
    <row r="504" spans="1:12" x14ac:dyDescent="0.3">
      <c r="A504" t="s">
        <v>45</v>
      </c>
      <c r="B504">
        <v>25</v>
      </c>
      <c r="C504" s="1">
        <v>50000</v>
      </c>
      <c r="D504" t="s">
        <v>19</v>
      </c>
      <c r="E504" t="s">
        <v>26</v>
      </c>
      <c r="F504" t="s">
        <v>41</v>
      </c>
      <c r="G504" s="2">
        <v>43845</v>
      </c>
      <c r="H504" t="s">
        <v>38</v>
      </c>
      <c r="I504" t="s">
        <v>16</v>
      </c>
      <c r="J504" t="s">
        <v>28</v>
      </c>
      <c r="K504" s="2" t="str">
        <f t="shared" ca="1" si="7"/>
        <v>5 Years</v>
      </c>
      <c r="L504" s="3" cm="1">
        <f t="array" ref="L504">_xlfn.SWITCH(Table13_2[[#This Row],[Performance Score]],"A",6,"B",5,"C",4,"D",3,"E",2,"F",1)</f>
        <v>5</v>
      </c>
    </row>
    <row r="505" spans="1:12" x14ac:dyDescent="0.3">
      <c r="A505" t="s">
        <v>18</v>
      </c>
      <c r="B505">
        <v>25</v>
      </c>
      <c r="C505" s="1">
        <v>55000</v>
      </c>
      <c r="D505" t="s">
        <v>12</v>
      </c>
      <c r="E505" t="s">
        <v>20</v>
      </c>
      <c r="F505" t="s">
        <v>21</v>
      </c>
      <c r="G505" s="2">
        <v>43195</v>
      </c>
      <c r="H505" t="s">
        <v>15</v>
      </c>
      <c r="I505" t="s">
        <v>23</v>
      </c>
      <c r="J505" t="s">
        <v>24</v>
      </c>
      <c r="K505" s="2" t="str">
        <f t="shared" ca="1" si="7"/>
        <v>7 Years</v>
      </c>
      <c r="L505" s="3" cm="1">
        <f t="array" ref="L505">_xlfn.SWITCH(Table13_2[[#This Row],[Performance Score]],"A",6,"B",5,"C",4,"D",3,"E",2,"F",1)</f>
        <v>3</v>
      </c>
    </row>
    <row r="506" spans="1:12" x14ac:dyDescent="0.3">
      <c r="A506" t="s">
        <v>46</v>
      </c>
      <c r="B506">
        <v>40</v>
      </c>
      <c r="C506" s="1">
        <v>65000</v>
      </c>
      <c r="D506" t="s">
        <v>12</v>
      </c>
      <c r="E506" t="s">
        <v>35</v>
      </c>
      <c r="F506" t="s">
        <v>40</v>
      </c>
      <c r="G506" s="2">
        <v>43881</v>
      </c>
      <c r="H506" t="s">
        <v>38</v>
      </c>
      <c r="I506" t="s">
        <v>39</v>
      </c>
      <c r="J506" t="s">
        <v>24</v>
      </c>
      <c r="K506" s="2" t="str">
        <f t="shared" ca="1" si="7"/>
        <v>5 Years</v>
      </c>
      <c r="L506" s="3" cm="1">
        <f t="array" ref="L506">_xlfn.SWITCH(Table13_2[[#This Row],[Performance Score]],"A",6,"B",5,"C",4,"D",3,"E",2,"F",1)</f>
        <v>5</v>
      </c>
    </row>
    <row r="507" spans="1:12" x14ac:dyDescent="0.3">
      <c r="A507" t="s">
        <v>43</v>
      </c>
      <c r="B507">
        <v>35</v>
      </c>
      <c r="C507" s="1">
        <v>70000</v>
      </c>
      <c r="D507" t="s">
        <v>19</v>
      </c>
      <c r="E507" t="s">
        <v>35</v>
      </c>
      <c r="F507" t="s">
        <v>21</v>
      </c>
      <c r="G507" s="2">
        <v>43549</v>
      </c>
      <c r="H507" t="s">
        <v>22</v>
      </c>
      <c r="I507" t="s">
        <v>32</v>
      </c>
      <c r="J507" t="s">
        <v>24</v>
      </c>
      <c r="K507" s="2" t="str">
        <f t="shared" ca="1" si="7"/>
        <v>6 Years</v>
      </c>
      <c r="L507" s="3" cm="1">
        <f t="array" ref="L507">_xlfn.SWITCH(Table13_2[[#This Row],[Performance Score]],"A",6,"B",5,"C",4,"D",3,"E",2,"F",1)</f>
        <v>1</v>
      </c>
    </row>
    <row r="508" spans="1:12" x14ac:dyDescent="0.3">
      <c r="A508" t="s">
        <v>36</v>
      </c>
      <c r="B508">
        <v>35</v>
      </c>
      <c r="C508" s="1">
        <v>50000</v>
      </c>
      <c r="D508" t="s">
        <v>34</v>
      </c>
      <c r="E508" t="s">
        <v>13</v>
      </c>
      <c r="F508" t="s">
        <v>37</v>
      </c>
      <c r="G508" s="2">
        <v>43845</v>
      </c>
      <c r="H508" t="s">
        <v>27</v>
      </c>
      <c r="I508" t="s">
        <v>39</v>
      </c>
      <c r="J508" t="s">
        <v>28</v>
      </c>
      <c r="K508" s="2" t="str">
        <f t="shared" ca="1" si="7"/>
        <v>5 Years</v>
      </c>
      <c r="L508" s="3" cm="1">
        <f t="array" ref="L508">_xlfn.SWITCH(Table13_2[[#This Row],[Performance Score]],"A",6,"B",5,"C",4,"D",3,"E",2,"F",1)</f>
        <v>4</v>
      </c>
    </row>
    <row r="509" spans="1:12" x14ac:dyDescent="0.3">
      <c r="A509" t="s">
        <v>45</v>
      </c>
      <c r="B509">
        <v>30</v>
      </c>
      <c r="C509" s="1">
        <v>55000</v>
      </c>
      <c r="D509" t="s">
        <v>12</v>
      </c>
      <c r="E509" t="s">
        <v>20</v>
      </c>
      <c r="F509" t="s">
        <v>41</v>
      </c>
      <c r="G509" s="2">
        <v>43845</v>
      </c>
      <c r="H509" t="s">
        <v>31</v>
      </c>
      <c r="I509" t="s">
        <v>23</v>
      </c>
      <c r="J509" t="s">
        <v>42</v>
      </c>
      <c r="K509" s="2" t="str">
        <f t="shared" ca="1" si="7"/>
        <v>5 Years</v>
      </c>
      <c r="L509" s="3" cm="1">
        <f t="array" ref="L509">_xlfn.SWITCH(Table13_2[[#This Row],[Performance Score]],"A",6,"B",5,"C",4,"D",3,"E",2,"F",1)</f>
        <v>6</v>
      </c>
    </row>
    <row r="510" spans="1:12" x14ac:dyDescent="0.3">
      <c r="A510" t="s">
        <v>18</v>
      </c>
      <c r="B510">
        <v>36</v>
      </c>
      <c r="C510" s="1">
        <v>55000</v>
      </c>
      <c r="D510" t="s">
        <v>34</v>
      </c>
      <c r="E510" t="s">
        <v>30</v>
      </c>
      <c r="F510" t="s">
        <v>21</v>
      </c>
      <c r="G510" s="2">
        <v>43549</v>
      </c>
      <c r="H510" t="s">
        <v>22</v>
      </c>
      <c r="I510" t="s">
        <v>39</v>
      </c>
      <c r="J510" t="s">
        <v>42</v>
      </c>
      <c r="K510" s="2" t="str">
        <f t="shared" ca="1" si="7"/>
        <v>6 Years</v>
      </c>
      <c r="L510" s="3" cm="1">
        <f t="array" ref="L510">_xlfn.SWITCH(Table13_2[[#This Row],[Performance Score]],"A",6,"B",5,"C",4,"D",3,"E",2,"F",1)</f>
        <v>1</v>
      </c>
    </row>
    <row r="511" spans="1:12" x14ac:dyDescent="0.3">
      <c r="A511" t="s">
        <v>46</v>
      </c>
      <c r="B511">
        <v>50</v>
      </c>
      <c r="C511" s="1">
        <v>55000</v>
      </c>
      <c r="D511" t="s">
        <v>34</v>
      </c>
      <c r="E511" t="s">
        <v>13</v>
      </c>
      <c r="F511" t="s">
        <v>37</v>
      </c>
      <c r="G511" s="2">
        <v>43195</v>
      </c>
      <c r="H511" t="s">
        <v>27</v>
      </c>
      <c r="I511" t="s">
        <v>16</v>
      </c>
      <c r="J511" t="s">
        <v>24</v>
      </c>
      <c r="K511" s="2" t="str">
        <f t="shared" ca="1" si="7"/>
        <v>7 Years</v>
      </c>
      <c r="L511" s="3" cm="1">
        <f t="array" ref="L511">_xlfn.SWITCH(Table13_2[[#This Row],[Performance Score]],"A",6,"B",5,"C",4,"D",3,"E",2,"F",1)</f>
        <v>4</v>
      </c>
    </row>
    <row r="512" spans="1:12" x14ac:dyDescent="0.3">
      <c r="A512" t="s">
        <v>36</v>
      </c>
      <c r="B512">
        <v>35</v>
      </c>
      <c r="C512" s="1">
        <v>65000</v>
      </c>
      <c r="D512" t="s">
        <v>34</v>
      </c>
      <c r="E512" t="s">
        <v>13</v>
      </c>
      <c r="F512" t="s">
        <v>21</v>
      </c>
      <c r="G512" s="2">
        <v>43800</v>
      </c>
      <c r="H512" t="s">
        <v>15</v>
      </c>
      <c r="I512" t="s">
        <v>32</v>
      </c>
      <c r="J512" t="s">
        <v>28</v>
      </c>
      <c r="K512" s="2" t="str">
        <f t="shared" ca="1" si="7"/>
        <v>6 Years</v>
      </c>
      <c r="L512" s="3" cm="1">
        <f t="array" ref="L512">_xlfn.SWITCH(Table13_2[[#This Row],[Performance Score]],"A",6,"B",5,"C",4,"D",3,"E",2,"F",1)</f>
        <v>3</v>
      </c>
    </row>
    <row r="513" spans="1:12" x14ac:dyDescent="0.3">
      <c r="A513" t="s">
        <v>46</v>
      </c>
      <c r="B513">
        <v>40</v>
      </c>
      <c r="C513" s="1">
        <v>70000</v>
      </c>
      <c r="D513" t="s">
        <v>12</v>
      </c>
      <c r="E513" t="s">
        <v>26</v>
      </c>
      <c r="F513" t="s">
        <v>40</v>
      </c>
      <c r="G513" s="2">
        <v>43195</v>
      </c>
      <c r="H513" t="s">
        <v>22</v>
      </c>
      <c r="I513" t="s">
        <v>39</v>
      </c>
      <c r="J513" t="s">
        <v>24</v>
      </c>
      <c r="K513" s="2" t="str">
        <f t="shared" ca="1" si="7"/>
        <v>7 Years</v>
      </c>
      <c r="L513" s="3" cm="1">
        <f t="array" ref="L513">_xlfn.SWITCH(Table13_2[[#This Row],[Performance Score]],"A",6,"B",5,"C",4,"D",3,"E",2,"F",1)</f>
        <v>1</v>
      </c>
    </row>
    <row r="514" spans="1:12" x14ac:dyDescent="0.3">
      <c r="A514" t="s">
        <v>11</v>
      </c>
      <c r="B514">
        <v>30</v>
      </c>
      <c r="C514" s="1">
        <v>65000</v>
      </c>
      <c r="D514" t="s">
        <v>34</v>
      </c>
      <c r="E514" t="s">
        <v>26</v>
      </c>
      <c r="F514" t="s">
        <v>40</v>
      </c>
      <c r="G514" s="2">
        <v>43881</v>
      </c>
      <c r="H514" t="s">
        <v>27</v>
      </c>
      <c r="I514" t="s">
        <v>23</v>
      </c>
      <c r="J514" t="s">
        <v>17</v>
      </c>
      <c r="K514" s="2" t="str">
        <f t="shared" ca="1" si="7"/>
        <v>5 Years</v>
      </c>
      <c r="L514" s="3" cm="1">
        <f t="array" ref="L514">_xlfn.SWITCH(Table13_2[[#This Row],[Performance Score]],"A",6,"B",5,"C",4,"D",3,"E",2,"F",1)</f>
        <v>4</v>
      </c>
    </row>
    <row r="515" spans="1:12" x14ac:dyDescent="0.3">
      <c r="A515" t="s">
        <v>18</v>
      </c>
      <c r="B515">
        <v>30</v>
      </c>
      <c r="C515" s="1">
        <v>60000</v>
      </c>
      <c r="D515" t="s">
        <v>12</v>
      </c>
      <c r="E515" t="s">
        <v>26</v>
      </c>
      <c r="F515" t="s">
        <v>40</v>
      </c>
      <c r="G515" s="2">
        <v>43800</v>
      </c>
      <c r="H515" t="s">
        <v>22</v>
      </c>
      <c r="I515" t="s">
        <v>39</v>
      </c>
      <c r="J515" t="s">
        <v>42</v>
      </c>
      <c r="K515" s="2" t="str">
        <f t="shared" ref="K515:K578" ca="1" si="8">DATEDIF(G515,TODAY(),"Y") &amp; " Years"</f>
        <v>6 Years</v>
      </c>
      <c r="L515" s="3" cm="1">
        <f t="array" ref="L515">_xlfn.SWITCH(Table13_2[[#This Row],[Performance Score]],"A",6,"B",5,"C",4,"D",3,"E",2,"F",1)</f>
        <v>1</v>
      </c>
    </row>
    <row r="516" spans="1:12" x14ac:dyDescent="0.3">
      <c r="A516" t="s">
        <v>36</v>
      </c>
      <c r="B516">
        <v>50</v>
      </c>
      <c r="C516" s="1">
        <v>55000</v>
      </c>
      <c r="D516" t="s">
        <v>34</v>
      </c>
      <c r="E516" t="s">
        <v>13</v>
      </c>
      <c r="F516" t="s">
        <v>40</v>
      </c>
      <c r="G516" s="2">
        <v>43195</v>
      </c>
      <c r="H516" t="s">
        <v>38</v>
      </c>
      <c r="I516" t="s">
        <v>16</v>
      </c>
      <c r="J516" t="s">
        <v>17</v>
      </c>
      <c r="K516" s="2" t="str">
        <f t="shared" ca="1" si="8"/>
        <v>7 Years</v>
      </c>
      <c r="L516" s="3" cm="1">
        <f t="array" ref="L516">_xlfn.SWITCH(Table13_2[[#This Row],[Performance Score]],"A",6,"B",5,"C",4,"D",3,"E",2,"F",1)</f>
        <v>5</v>
      </c>
    </row>
    <row r="517" spans="1:12" x14ac:dyDescent="0.3">
      <c r="A517" t="s">
        <v>33</v>
      </c>
      <c r="B517">
        <v>40</v>
      </c>
      <c r="C517" s="1">
        <v>60000</v>
      </c>
      <c r="D517" t="s">
        <v>12</v>
      </c>
      <c r="E517" t="s">
        <v>30</v>
      </c>
      <c r="F517" t="s">
        <v>14</v>
      </c>
      <c r="G517" s="2">
        <v>43549</v>
      </c>
      <c r="H517" t="s">
        <v>27</v>
      </c>
      <c r="I517" t="s">
        <v>32</v>
      </c>
      <c r="J517" t="s">
        <v>24</v>
      </c>
      <c r="K517" s="2" t="str">
        <f t="shared" ca="1" si="8"/>
        <v>6 Years</v>
      </c>
      <c r="L517" s="3" cm="1">
        <f t="array" ref="L517">_xlfn.SWITCH(Table13_2[[#This Row],[Performance Score]],"A",6,"B",5,"C",4,"D",3,"E",2,"F",1)</f>
        <v>4</v>
      </c>
    </row>
    <row r="518" spans="1:12" x14ac:dyDescent="0.3">
      <c r="A518" t="s">
        <v>29</v>
      </c>
      <c r="B518">
        <v>36</v>
      </c>
      <c r="C518" s="1">
        <v>49144.385026737968</v>
      </c>
      <c r="D518" t="s">
        <v>34</v>
      </c>
      <c r="E518" t="s">
        <v>35</v>
      </c>
      <c r="F518" t="s">
        <v>37</v>
      </c>
      <c r="G518" s="2">
        <v>43881</v>
      </c>
      <c r="H518" t="s">
        <v>38</v>
      </c>
      <c r="I518" t="s">
        <v>39</v>
      </c>
      <c r="J518" t="s">
        <v>17</v>
      </c>
      <c r="K518" s="2" t="str">
        <f t="shared" ca="1" si="8"/>
        <v>5 Years</v>
      </c>
      <c r="L518" s="3" cm="1">
        <f t="array" ref="L518">_xlfn.SWITCH(Table13_2[[#This Row],[Performance Score]],"A",6,"B",5,"C",4,"D",3,"E",2,"F",1)</f>
        <v>5</v>
      </c>
    </row>
    <row r="519" spans="1:12" x14ac:dyDescent="0.3">
      <c r="A519" t="s">
        <v>29</v>
      </c>
      <c r="B519">
        <v>40</v>
      </c>
      <c r="C519" s="1">
        <v>50000</v>
      </c>
      <c r="D519" t="s">
        <v>19</v>
      </c>
      <c r="E519" t="s">
        <v>26</v>
      </c>
      <c r="F519" t="s">
        <v>37</v>
      </c>
      <c r="G519" s="2">
        <v>43881</v>
      </c>
      <c r="H519" t="s">
        <v>38</v>
      </c>
      <c r="I519" t="s">
        <v>39</v>
      </c>
      <c r="J519" t="s">
        <v>42</v>
      </c>
      <c r="K519" s="2" t="str">
        <f t="shared" ca="1" si="8"/>
        <v>5 Years</v>
      </c>
      <c r="L519" s="3" cm="1">
        <f t="array" ref="L519">_xlfn.SWITCH(Table13_2[[#This Row],[Performance Score]],"A",6,"B",5,"C",4,"D",3,"E",2,"F",1)</f>
        <v>5</v>
      </c>
    </row>
    <row r="520" spans="1:12" x14ac:dyDescent="0.3">
      <c r="A520" t="s">
        <v>36</v>
      </c>
      <c r="B520">
        <v>36</v>
      </c>
      <c r="C520" s="1">
        <v>50000</v>
      </c>
      <c r="D520" t="s">
        <v>34</v>
      </c>
      <c r="E520" t="s">
        <v>30</v>
      </c>
      <c r="F520" t="s">
        <v>40</v>
      </c>
      <c r="G520" s="2">
        <v>43881</v>
      </c>
      <c r="H520" t="s">
        <v>27</v>
      </c>
      <c r="I520" t="s">
        <v>16</v>
      </c>
      <c r="J520" t="s">
        <v>28</v>
      </c>
      <c r="K520" s="2" t="str">
        <f t="shared" ca="1" si="8"/>
        <v>5 Years</v>
      </c>
      <c r="L520" s="3" cm="1">
        <f t="array" ref="L520">_xlfn.SWITCH(Table13_2[[#This Row],[Performance Score]],"A",6,"B",5,"C",4,"D",3,"E",2,"F",1)</f>
        <v>4</v>
      </c>
    </row>
    <row r="521" spans="1:12" x14ac:dyDescent="0.3">
      <c r="A521" t="s">
        <v>46</v>
      </c>
      <c r="B521">
        <v>40</v>
      </c>
      <c r="C521" s="1">
        <v>65000</v>
      </c>
      <c r="D521" t="s">
        <v>34</v>
      </c>
      <c r="E521" t="s">
        <v>20</v>
      </c>
      <c r="F521" t="s">
        <v>14</v>
      </c>
      <c r="G521" s="2">
        <v>43800</v>
      </c>
      <c r="H521" t="s">
        <v>31</v>
      </c>
      <c r="I521" t="s">
        <v>39</v>
      </c>
      <c r="J521" t="s">
        <v>42</v>
      </c>
      <c r="K521" s="2" t="str">
        <f t="shared" ca="1" si="8"/>
        <v>6 Years</v>
      </c>
      <c r="L521" s="3" cm="1">
        <f t="array" ref="L521">_xlfn.SWITCH(Table13_2[[#This Row],[Performance Score]],"A",6,"B",5,"C",4,"D",3,"E",2,"F",1)</f>
        <v>6</v>
      </c>
    </row>
    <row r="522" spans="1:12" x14ac:dyDescent="0.3">
      <c r="A522" t="s">
        <v>18</v>
      </c>
      <c r="B522">
        <v>40</v>
      </c>
      <c r="C522" s="1">
        <v>70000</v>
      </c>
      <c r="D522" t="s">
        <v>12</v>
      </c>
      <c r="E522" t="s">
        <v>26</v>
      </c>
      <c r="F522" t="s">
        <v>40</v>
      </c>
      <c r="G522" s="2">
        <v>43845</v>
      </c>
      <c r="H522" t="s">
        <v>27</v>
      </c>
      <c r="I522" t="s">
        <v>23</v>
      </c>
      <c r="J522" t="s">
        <v>28</v>
      </c>
      <c r="K522" s="2" t="str">
        <f t="shared" ca="1" si="8"/>
        <v>5 Years</v>
      </c>
      <c r="L522" s="3" cm="1">
        <f t="array" ref="L522">_xlfn.SWITCH(Table13_2[[#This Row],[Performance Score]],"A",6,"B",5,"C",4,"D",3,"E",2,"F",1)</f>
        <v>4</v>
      </c>
    </row>
    <row r="523" spans="1:12" x14ac:dyDescent="0.3">
      <c r="A523" t="s">
        <v>29</v>
      </c>
      <c r="B523">
        <v>25</v>
      </c>
      <c r="C523" s="1">
        <v>60000</v>
      </c>
      <c r="D523" t="s">
        <v>12</v>
      </c>
      <c r="E523" t="s">
        <v>35</v>
      </c>
      <c r="F523" t="s">
        <v>14</v>
      </c>
      <c r="G523" s="2">
        <v>43800</v>
      </c>
      <c r="H523" t="s">
        <v>31</v>
      </c>
      <c r="I523" t="s">
        <v>39</v>
      </c>
      <c r="J523" t="s">
        <v>28</v>
      </c>
      <c r="K523" s="2" t="str">
        <f t="shared" ca="1" si="8"/>
        <v>6 Years</v>
      </c>
      <c r="L523" s="3" cm="1">
        <f t="array" ref="L523">_xlfn.SWITCH(Table13_2[[#This Row],[Performance Score]],"A",6,"B",5,"C",4,"D",3,"E",2,"F",1)</f>
        <v>6</v>
      </c>
    </row>
    <row r="524" spans="1:12" x14ac:dyDescent="0.3">
      <c r="A524" t="s">
        <v>18</v>
      </c>
      <c r="B524">
        <v>30</v>
      </c>
      <c r="C524" s="1">
        <v>70000</v>
      </c>
      <c r="D524" t="s">
        <v>34</v>
      </c>
      <c r="E524" t="s">
        <v>20</v>
      </c>
      <c r="F524" t="s">
        <v>40</v>
      </c>
      <c r="G524" s="2">
        <v>43195</v>
      </c>
      <c r="H524" t="s">
        <v>22</v>
      </c>
      <c r="I524" t="s">
        <v>39</v>
      </c>
      <c r="J524" t="s">
        <v>24</v>
      </c>
      <c r="K524" s="2" t="str">
        <f t="shared" ca="1" si="8"/>
        <v>7 Years</v>
      </c>
      <c r="L524" s="3" cm="1">
        <f t="array" ref="L524">_xlfn.SWITCH(Table13_2[[#This Row],[Performance Score]],"A",6,"B",5,"C",4,"D",3,"E",2,"F",1)</f>
        <v>1</v>
      </c>
    </row>
    <row r="525" spans="1:12" x14ac:dyDescent="0.3">
      <c r="A525" t="s">
        <v>29</v>
      </c>
      <c r="B525">
        <v>40</v>
      </c>
      <c r="C525" s="1">
        <v>65000</v>
      </c>
      <c r="D525" t="s">
        <v>19</v>
      </c>
      <c r="E525" t="s">
        <v>20</v>
      </c>
      <c r="F525" t="s">
        <v>41</v>
      </c>
      <c r="G525" s="2">
        <v>43845</v>
      </c>
      <c r="H525" t="s">
        <v>22</v>
      </c>
      <c r="I525" t="s">
        <v>39</v>
      </c>
      <c r="J525" t="s">
        <v>24</v>
      </c>
      <c r="K525" s="2" t="str">
        <f t="shared" ca="1" si="8"/>
        <v>5 Years</v>
      </c>
      <c r="L525" s="3" cm="1">
        <f t="array" ref="L525">_xlfn.SWITCH(Table13_2[[#This Row],[Performance Score]],"A",6,"B",5,"C",4,"D",3,"E",2,"F",1)</f>
        <v>1</v>
      </c>
    </row>
    <row r="526" spans="1:12" x14ac:dyDescent="0.3">
      <c r="A526" t="s">
        <v>11</v>
      </c>
      <c r="B526">
        <v>50</v>
      </c>
      <c r="C526" s="1">
        <v>50000</v>
      </c>
      <c r="D526" t="s">
        <v>19</v>
      </c>
      <c r="E526" t="s">
        <v>35</v>
      </c>
      <c r="F526" t="s">
        <v>41</v>
      </c>
      <c r="G526" s="2">
        <v>43195</v>
      </c>
      <c r="H526" t="s">
        <v>27</v>
      </c>
      <c r="I526" t="s">
        <v>16</v>
      </c>
      <c r="J526" t="s">
        <v>42</v>
      </c>
      <c r="K526" s="2" t="str">
        <f t="shared" ca="1" si="8"/>
        <v>7 Years</v>
      </c>
      <c r="L526" s="3" cm="1">
        <f t="array" ref="L526">_xlfn.SWITCH(Table13_2[[#This Row],[Performance Score]],"A",6,"B",5,"C",4,"D",3,"E",2,"F",1)</f>
        <v>4</v>
      </c>
    </row>
    <row r="527" spans="1:12" x14ac:dyDescent="0.3">
      <c r="A527" t="s">
        <v>46</v>
      </c>
      <c r="B527">
        <v>40</v>
      </c>
      <c r="C527" s="1">
        <v>70000</v>
      </c>
      <c r="D527" t="s">
        <v>12</v>
      </c>
      <c r="E527" t="s">
        <v>26</v>
      </c>
      <c r="F527" t="s">
        <v>21</v>
      </c>
      <c r="G527" s="2">
        <v>43845</v>
      </c>
      <c r="H527" t="s">
        <v>22</v>
      </c>
      <c r="I527" t="s">
        <v>16</v>
      </c>
      <c r="J527" t="s">
        <v>17</v>
      </c>
      <c r="K527" s="2" t="str">
        <f t="shared" ca="1" si="8"/>
        <v>5 Years</v>
      </c>
      <c r="L527" s="3" cm="1">
        <f t="array" ref="L527">_xlfn.SWITCH(Table13_2[[#This Row],[Performance Score]],"A",6,"B",5,"C",4,"D",3,"E",2,"F",1)</f>
        <v>1</v>
      </c>
    </row>
    <row r="528" spans="1:12" x14ac:dyDescent="0.3">
      <c r="A528" t="s">
        <v>11</v>
      </c>
      <c r="B528">
        <v>35</v>
      </c>
      <c r="C528" s="1">
        <v>70000</v>
      </c>
      <c r="D528" t="s">
        <v>19</v>
      </c>
      <c r="E528" t="s">
        <v>13</v>
      </c>
      <c r="F528" t="s">
        <v>40</v>
      </c>
      <c r="G528" s="2">
        <v>43800</v>
      </c>
      <c r="H528" t="s">
        <v>15</v>
      </c>
      <c r="I528" t="s">
        <v>23</v>
      </c>
      <c r="J528" t="s">
        <v>42</v>
      </c>
      <c r="K528" s="2" t="str">
        <f t="shared" ca="1" si="8"/>
        <v>6 Years</v>
      </c>
      <c r="L528" s="3" cm="1">
        <f t="array" ref="L528">_xlfn.SWITCH(Table13_2[[#This Row],[Performance Score]],"A",6,"B",5,"C",4,"D",3,"E",2,"F",1)</f>
        <v>3</v>
      </c>
    </row>
    <row r="529" spans="1:12" x14ac:dyDescent="0.3">
      <c r="A529" t="s">
        <v>29</v>
      </c>
      <c r="B529">
        <v>30</v>
      </c>
      <c r="C529" s="1">
        <v>50000</v>
      </c>
      <c r="D529" t="s">
        <v>34</v>
      </c>
      <c r="E529" t="s">
        <v>35</v>
      </c>
      <c r="F529" t="s">
        <v>37</v>
      </c>
      <c r="G529" s="2">
        <v>43881</v>
      </c>
      <c r="H529" t="s">
        <v>38</v>
      </c>
      <c r="I529" t="s">
        <v>39</v>
      </c>
      <c r="J529" t="s">
        <v>17</v>
      </c>
      <c r="K529" s="2" t="str">
        <f t="shared" ca="1" si="8"/>
        <v>5 Years</v>
      </c>
      <c r="L529" s="3" cm="1">
        <f t="array" ref="L529">_xlfn.SWITCH(Table13_2[[#This Row],[Performance Score]],"A",6,"B",5,"C",4,"D",3,"E",2,"F",1)</f>
        <v>5</v>
      </c>
    </row>
    <row r="530" spans="1:12" x14ac:dyDescent="0.3">
      <c r="A530" t="s">
        <v>33</v>
      </c>
      <c r="B530">
        <v>35</v>
      </c>
      <c r="C530" s="1">
        <v>60000</v>
      </c>
      <c r="D530" t="s">
        <v>12</v>
      </c>
      <c r="E530" t="s">
        <v>35</v>
      </c>
      <c r="F530" t="s">
        <v>21</v>
      </c>
      <c r="G530" s="2">
        <v>43549</v>
      </c>
      <c r="H530" t="s">
        <v>38</v>
      </c>
      <c r="I530" t="s">
        <v>16</v>
      </c>
      <c r="J530" t="s">
        <v>28</v>
      </c>
      <c r="K530" s="2" t="str">
        <f t="shared" ca="1" si="8"/>
        <v>6 Years</v>
      </c>
      <c r="L530" s="3" cm="1">
        <f t="array" ref="L530">_xlfn.SWITCH(Table13_2[[#This Row],[Performance Score]],"A",6,"B",5,"C",4,"D",3,"E",2,"F",1)</f>
        <v>5</v>
      </c>
    </row>
    <row r="531" spans="1:12" x14ac:dyDescent="0.3">
      <c r="A531" t="s">
        <v>33</v>
      </c>
      <c r="B531">
        <v>30</v>
      </c>
      <c r="C531" s="1">
        <v>50000</v>
      </c>
      <c r="D531" t="s">
        <v>34</v>
      </c>
      <c r="E531" t="s">
        <v>35</v>
      </c>
      <c r="F531" t="s">
        <v>41</v>
      </c>
      <c r="G531" s="2">
        <v>43881</v>
      </c>
      <c r="H531" t="s">
        <v>31</v>
      </c>
      <c r="I531" t="s">
        <v>23</v>
      </c>
      <c r="J531" t="s">
        <v>28</v>
      </c>
      <c r="K531" s="2" t="str">
        <f t="shared" ca="1" si="8"/>
        <v>5 Years</v>
      </c>
      <c r="L531" s="3" cm="1">
        <f t="array" ref="L531">_xlfn.SWITCH(Table13_2[[#This Row],[Performance Score]],"A",6,"B",5,"C",4,"D",3,"E",2,"F",1)</f>
        <v>6</v>
      </c>
    </row>
    <row r="532" spans="1:12" x14ac:dyDescent="0.3">
      <c r="A532" t="s">
        <v>11</v>
      </c>
      <c r="B532">
        <v>35</v>
      </c>
      <c r="C532" s="1">
        <v>70000</v>
      </c>
      <c r="D532" t="s">
        <v>12</v>
      </c>
      <c r="E532" t="s">
        <v>20</v>
      </c>
      <c r="F532" t="s">
        <v>40</v>
      </c>
      <c r="G532" s="2">
        <v>43800</v>
      </c>
      <c r="H532" t="s">
        <v>22</v>
      </c>
      <c r="I532" t="s">
        <v>23</v>
      </c>
      <c r="J532" t="s">
        <v>24</v>
      </c>
      <c r="K532" s="2" t="str">
        <f t="shared" ca="1" si="8"/>
        <v>6 Years</v>
      </c>
      <c r="L532" s="3" cm="1">
        <f t="array" ref="L532">_xlfn.SWITCH(Table13_2[[#This Row],[Performance Score]],"A",6,"B",5,"C",4,"D",3,"E",2,"F",1)</f>
        <v>1</v>
      </c>
    </row>
    <row r="533" spans="1:12" x14ac:dyDescent="0.3">
      <c r="A533" t="s">
        <v>33</v>
      </c>
      <c r="B533">
        <v>40</v>
      </c>
      <c r="C533" s="1">
        <v>60000</v>
      </c>
      <c r="D533" t="s">
        <v>12</v>
      </c>
      <c r="E533" t="s">
        <v>30</v>
      </c>
      <c r="F533" t="s">
        <v>21</v>
      </c>
      <c r="G533" s="2">
        <v>43845</v>
      </c>
      <c r="H533" t="s">
        <v>31</v>
      </c>
      <c r="I533" t="s">
        <v>39</v>
      </c>
      <c r="J533" t="s">
        <v>17</v>
      </c>
      <c r="K533" s="2" t="str">
        <f t="shared" ca="1" si="8"/>
        <v>5 Years</v>
      </c>
      <c r="L533" s="3" cm="1">
        <f t="array" ref="L533">_xlfn.SWITCH(Table13_2[[#This Row],[Performance Score]],"A",6,"B",5,"C",4,"D",3,"E",2,"F",1)</f>
        <v>6</v>
      </c>
    </row>
    <row r="534" spans="1:12" x14ac:dyDescent="0.3">
      <c r="A534" t="s">
        <v>29</v>
      </c>
      <c r="B534">
        <v>40</v>
      </c>
      <c r="C534" s="1">
        <v>60000</v>
      </c>
      <c r="D534" t="s">
        <v>12</v>
      </c>
      <c r="E534" t="s">
        <v>13</v>
      </c>
      <c r="F534" t="s">
        <v>40</v>
      </c>
      <c r="G534" s="2">
        <v>43881</v>
      </c>
      <c r="H534" t="s">
        <v>38</v>
      </c>
      <c r="I534" t="s">
        <v>32</v>
      </c>
      <c r="J534" t="s">
        <v>24</v>
      </c>
      <c r="K534" s="2" t="str">
        <f t="shared" ca="1" si="8"/>
        <v>5 Years</v>
      </c>
      <c r="L534" s="3" cm="1">
        <f t="array" ref="L534">_xlfn.SWITCH(Table13_2[[#This Row],[Performance Score]],"A",6,"B",5,"C",4,"D",3,"E",2,"F",1)</f>
        <v>5</v>
      </c>
    </row>
    <row r="535" spans="1:12" x14ac:dyDescent="0.3">
      <c r="A535" t="s">
        <v>36</v>
      </c>
      <c r="B535">
        <v>25</v>
      </c>
      <c r="C535" s="1">
        <v>50000</v>
      </c>
      <c r="D535" t="s">
        <v>12</v>
      </c>
      <c r="E535" t="s">
        <v>26</v>
      </c>
      <c r="F535" t="s">
        <v>41</v>
      </c>
      <c r="G535" s="2">
        <v>43800</v>
      </c>
      <c r="H535" t="s">
        <v>38</v>
      </c>
      <c r="I535" t="s">
        <v>39</v>
      </c>
      <c r="J535" t="s">
        <v>17</v>
      </c>
      <c r="K535" s="2" t="str">
        <f t="shared" ca="1" si="8"/>
        <v>6 Years</v>
      </c>
      <c r="L535" s="3" cm="1">
        <f t="array" ref="L535">_xlfn.SWITCH(Table13_2[[#This Row],[Performance Score]],"A",6,"B",5,"C",4,"D",3,"E",2,"F",1)</f>
        <v>5</v>
      </c>
    </row>
    <row r="536" spans="1:12" x14ac:dyDescent="0.3">
      <c r="A536" t="s">
        <v>11</v>
      </c>
      <c r="B536">
        <v>50</v>
      </c>
      <c r="C536" s="1">
        <v>70000</v>
      </c>
      <c r="D536" t="s">
        <v>19</v>
      </c>
      <c r="E536" t="s">
        <v>26</v>
      </c>
      <c r="F536" t="s">
        <v>21</v>
      </c>
      <c r="G536" s="2">
        <v>43195</v>
      </c>
      <c r="H536" t="s">
        <v>22</v>
      </c>
      <c r="I536" t="s">
        <v>32</v>
      </c>
      <c r="J536" t="s">
        <v>42</v>
      </c>
      <c r="K536" s="2" t="str">
        <f t="shared" ca="1" si="8"/>
        <v>7 Years</v>
      </c>
      <c r="L536" s="3" cm="1">
        <f t="array" ref="L536">_xlfn.SWITCH(Table13_2[[#This Row],[Performance Score]],"A",6,"B",5,"C",4,"D",3,"E",2,"F",1)</f>
        <v>1</v>
      </c>
    </row>
    <row r="537" spans="1:12" x14ac:dyDescent="0.3">
      <c r="A537" t="s">
        <v>44</v>
      </c>
      <c r="B537">
        <v>35</v>
      </c>
      <c r="C537" s="1">
        <v>65000</v>
      </c>
      <c r="D537" t="s">
        <v>34</v>
      </c>
      <c r="E537" t="s">
        <v>30</v>
      </c>
      <c r="F537" t="s">
        <v>41</v>
      </c>
      <c r="G537" s="2">
        <v>43549</v>
      </c>
      <c r="H537" t="s">
        <v>15</v>
      </c>
      <c r="I537" t="s">
        <v>23</v>
      </c>
      <c r="J537" t="s">
        <v>42</v>
      </c>
      <c r="K537" s="2" t="str">
        <f t="shared" ca="1" si="8"/>
        <v>6 Years</v>
      </c>
      <c r="L537" s="3" cm="1">
        <f t="array" ref="L537">_xlfn.SWITCH(Table13_2[[#This Row],[Performance Score]],"A",6,"B",5,"C",4,"D",3,"E",2,"F",1)</f>
        <v>3</v>
      </c>
    </row>
    <row r="538" spans="1:12" x14ac:dyDescent="0.3">
      <c r="A538" t="s">
        <v>46</v>
      </c>
      <c r="B538">
        <v>36</v>
      </c>
      <c r="C538" s="1">
        <v>70000</v>
      </c>
      <c r="D538" t="s">
        <v>34</v>
      </c>
      <c r="E538" t="s">
        <v>35</v>
      </c>
      <c r="F538" t="s">
        <v>14</v>
      </c>
      <c r="G538" s="2">
        <v>43881</v>
      </c>
      <c r="H538" t="s">
        <v>15</v>
      </c>
      <c r="I538" t="s">
        <v>16</v>
      </c>
      <c r="J538" t="s">
        <v>17</v>
      </c>
      <c r="K538" s="2" t="str">
        <f t="shared" ca="1" si="8"/>
        <v>5 Years</v>
      </c>
      <c r="L538" s="3" cm="1">
        <f t="array" ref="L538">_xlfn.SWITCH(Table13_2[[#This Row],[Performance Score]],"A",6,"B",5,"C",4,"D",3,"E",2,"F",1)</f>
        <v>3</v>
      </c>
    </row>
    <row r="539" spans="1:12" x14ac:dyDescent="0.3">
      <c r="A539" t="s">
        <v>33</v>
      </c>
      <c r="B539">
        <v>25</v>
      </c>
      <c r="C539" s="1">
        <v>55000</v>
      </c>
      <c r="D539" t="s">
        <v>34</v>
      </c>
      <c r="E539" t="s">
        <v>13</v>
      </c>
      <c r="F539" t="s">
        <v>41</v>
      </c>
      <c r="G539" s="2">
        <v>43845</v>
      </c>
      <c r="H539" t="s">
        <v>22</v>
      </c>
      <c r="I539" t="s">
        <v>39</v>
      </c>
      <c r="J539" t="s">
        <v>24</v>
      </c>
      <c r="K539" s="2" t="str">
        <f t="shared" ca="1" si="8"/>
        <v>5 Years</v>
      </c>
      <c r="L539" s="3" cm="1">
        <f t="array" ref="L539">_xlfn.SWITCH(Table13_2[[#This Row],[Performance Score]],"A",6,"B",5,"C",4,"D",3,"E",2,"F",1)</f>
        <v>1</v>
      </c>
    </row>
    <row r="540" spans="1:12" x14ac:dyDescent="0.3">
      <c r="A540" t="s">
        <v>33</v>
      </c>
      <c r="B540">
        <v>35</v>
      </c>
      <c r="C540" s="1">
        <v>50742.574257425746</v>
      </c>
      <c r="D540" t="s">
        <v>12</v>
      </c>
      <c r="E540" t="s">
        <v>26</v>
      </c>
      <c r="F540" t="s">
        <v>40</v>
      </c>
      <c r="G540" s="2">
        <v>43195</v>
      </c>
      <c r="H540" t="s">
        <v>22</v>
      </c>
      <c r="I540" t="s">
        <v>23</v>
      </c>
      <c r="J540" t="s">
        <v>24</v>
      </c>
      <c r="K540" s="2" t="str">
        <f t="shared" ca="1" si="8"/>
        <v>7 Years</v>
      </c>
      <c r="L540" s="3" cm="1">
        <f t="array" ref="L540">_xlfn.SWITCH(Table13_2[[#This Row],[Performance Score]],"A",6,"B",5,"C",4,"D",3,"E",2,"F",1)</f>
        <v>1</v>
      </c>
    </row>
    <row r="541" spans="1:12" x14ac:dyDescent="0.3">
      <c r="A541" t="s">
        <v>45</v>
      </c>
      <c r="B541">
        <v>35</v>
      </c>
      <c r="C541" s="1">
        <v>65000</v>
      </c>
      <c r="D541" t="s">
        <v>19</v>
      </c>
      <c r="E541" t="s">
        <v>26</v>
      </c>
      <c r="F541" t="s">
        <v>37</v>
      </c>
      <c r="G541" s="2">
        <v>43800</v>
      </c>
      <c r="H541" t="s">
        <v>31</v>
      </c>
      <c r="I541" t="s">
        <v>16</v>
      </c>
      <c r="J541" t="s">
        <v>17</v>
      </c>
      <c r="K541" s="2" t="str">
        <f t="shared" ca="1" si="8"/>
        <v>6 Years</v>
      </c>
      <c r="L541" s="3" cm="1">
        <f t="array" ref="L541">_xlfn.SWITCH(Table13_2[[#This Row],[Performance Score]],"A",6,"B",5,"C",4,"D",3,"E",2,"F",1)</f>
        <v>6</v>
      </c>
    </row>
    <row r="542" spans="1:12" x14ac:dyDescent="0.3">
      <c r="A542" t="s">
        <v>43</v>
      </c>
      <c r="B542">
        <v>25</v>
      </c>
      <c r="C542" s="1">
        <v>60000</v>
      </c>
      <c r="D542" t="s">
        <v>34</v>
      </c>
      <c r="E542" t="s">
        <v>35</v>
      </c>
      <c r="F542" t="s">
        <v>41</v>
      </c>
      <c r="G542" s="2">
        <v>43549</v>
      </c>
      <c r="H542" t="s">
        <v>22</v>
      </c>
      <c r="I542" t="s">
        <v>23</v>
      </c>
      <c r="J542" t="s">
        <v>42</v>
      </c>
      <c r="K542" s="2" t="str">
        <f t="shared" ca="1" si="8"/>
        <v>6 Years</v>
      </c>
      <c r="L542" s="3" cm="1">
        <f t="array" ref="L542">_xlfn.SWITCH(Table13_2[[#This Row],[Performance Score]],"A",6,"B",5,"C",4,"D",3,"E",2,"F",1)</f>
        <v>1</v>
      </c>
    </row>
    <row r="543" spans="1:12" x14ac:dyDescent="0.3">
      <c r="A543" t="s">
        <v>11</v>
      </c>
      <c r="B543">
        <v>40</v>
      </c>
      <c r="C543" s="1">
        <v>65000</v>
      </c>
      <c r="D543" t="s">
        <v>19</v>
      </c>
      <c r="E543" t="s">
        <v>30</v>
      </c>
      <c r="F543" t="s">
        <v>37</v>
      </c>
      <c r="G543" s="2">
        <v>43845</v>
      </c>
      <c r="H543" t="s">
        <v>15</v>
      </c>
      <c r="I543" t="s">
        <v>39</v>
      </c>
      <c r="J543" t="s">
        <v>24</v>
      </c>
      <c r="K543" s="2" t="str">
        <f t="shared" ca="1" si="8"/>
        <v>5 Years</v>
      </c>
      <c r="L543" s="3" cm="1">
        <f t="array" ref="L543">_xlfn.SWITCH(Table13_2[[#This Row],[Performance Score]],"A",6,"B",5,"C",4,"D",3,"E",2,"F",1)</f>
        <v>3</v>
      </c>
    </row>
    <row r="544" spans="1:12" x14ac:dyDescent="0.3">
      <c r="A544" t="s">
        <v>25</v>
      </c>
      <c r="B544">
        <v>35</v>
      </c>
      <c r="C544" s="1">
        <v>60000</v>
      </c>
      <c r="D544" t="s">
        <v>12</v>
      </c>
      <c r="E544" t="s">
        <v>13</v>
      </c>
      <c r="F544" t="s">
        <v>14</v>
      </c>
      <c r="G544" s="2">
        <v>43800</v>
      </c>
      <c r="H544" t="s">
        <v>22</v>
      </c>
      <c r="I544" t="s">
        <v>32</v>
      </c>
      <c r="J544" t="s">
        <v>17</v>
      </c>
      <c r="K544" s="2" t="str">
        <f t="shared" ca="1" si="8"/>
        <v>6 Years</v>
      </c>
      <c r="L544" s="3" cm="1">
        <f t="array" ref="L544">_xlfn.SWITCH(Table13_2[[#This Row],[Performance Score]],"A",6,"B",5,"C",4,"D",3,"E",2,"F",1)</f>
        <v>1</v>
      </c>
    </row>
    <row r="545" spans="1:12" x14ac:dyDescent="0.3">
      <c r="A545" t="s">
        <v>33</v>
      </c>
      <c r="B545">
        <v>40</v>
      </c>
      <c r="C545" s="1">
        <v>60000</v>
      </c>
      <c r="D545" t="s">
        <v>34</v>
      </c>
      <c r="E545" t="s">
        <v>30</v>
      </c>
      <c r="F545" t="s">
        <v>21</v>
      </c>
      <c r="G545" s="2">
        <v>43800</v>
      </c>
      <c r="H545" t="s">
        <v>31</v>
      </c>
      <c r="I545" t="s">
        <v>23</v>
      </c>
      <c r="J545" t="s">
        <v>42</v>
      </c>
      <c r="K545" s="2" t="str">
        <f t="shared" ca="1" si="8"/>
        <v>6 Years</v>
      </c>
      <c r="L545" s="3" cm="1">
        <f t="array" ref="L545">_xlfn.SWITCH(Table13_2[[#This Row],[Performance Score]],"A",6,"B",5,"C",4,"D",3,"E",2,"F",1)</f>
        <v>6</v>
      </c>
    </row>
    <row r="546" spans="1:12" x14ac:dyDescent="0.3">
      <c r="A546" t="s">
        <v>46</v>
      </c>
      <c r="B546">
        <v>25</v>
      </c>
      <c r="C546" s="1">
        <v>65000</v>
      </c>
      <c r="D546" t="s">
        <v>19</v>
      </c>
      <c r="E546" t="s">
        <v>30</v>
      </c>
      <c r="F546" t="s">
        <v>21</v>
      </c>
      <c r="G546" s="2">
        <v>43881</v>
      </c>
      <c r="H546" t="s">
        <v>31</v>
      </c>
      <c r="I546" t="s">
        <v>16</v>
      </c>
      <c r="J546" t="s">
        <v>17</v>
      </c>
      <c r="K546" s="2" t="str">
        <f t="shared" ca="1" si="8"/>
        <v>5 Years</v>
      </c>
      <c r="L546" s="3" cm="1">
        <f t="array" ref="L546">_xlfn.SWITCH(Table13_2[[#This Row],[Performance Score]],"A",6,"B",5,"C",4,"D",3,"E",2,"F",1)</f>
        <v>6</v>
      </c>
    </row>
    <row r="547" spans="1:12" x14ac:dyDescent="0.3">
      <c r="A547" t="s">
        <v>44</v>
      </c>
      <c r="B547">
        <v>40</v>
      </c>
      <c r="C547" s="1">
        <v>60000</v>
      </c>
      <c r="D547" t="s">
        <v>12</v>
      </c>
      <c r="E547" t="s">
        <v>13</v>
      </c>
      <c r="F547" t="s">
        <v>37</v>
      </c>
      <c r="G547" s="2">
        <v>43881</v>
      </c>
      <c r="H547" t="s">
        <v>31</v>
      </c>
      <c r="I547" t="s">
        <v>39</v>
      </c>
      <c r="J547" t="s">
        <v>17</v>
      </c>
      <c r="K547" s="2" t="str">
        <f t="shared" ca="1" si="8"/>
        <v>5 Years</v>
      </c>
      <c r="L547" s="3" cm="1">
        <f t="array" ref="L547">_xlfn.SWITCH(Table13_2[[#This Row],[Performance Score]],"A",6,"B",5,"C",4,"D",3,"E",2,"F",1)</f>
        <v>6</v>
      </c>
    </row>
    <row r="548" spans="1:12" x14ac:dyDescent="0.3">
      <c r="A548" t="s">
        <v>33</v>
      </c>
      <c r="B548">
        <v>30</v>
      </c>
      <c r="C548" s="1">
        <v>60000</v>
      </c>
      <c r="D548" t="s">
        <v>19</v>
      </c>
      <c r="E548" t="s">
        <v>13</v>
      </c>
      <c r="F548" t="s">
        <v>21</v>
      </c>
      <c r="G548" s="2">
        <v>43845</v>
      </c>
      <c r="H548" t="s">
        <v>31</v>
      </c>
      <c r="I548" t="s">
        <v>39</v>
      </c>
      <c r="J548" t="s">
        <v>28</v>
      </c>
      <c r="K548" s="2" t="str">
        <f t="shared" ca="1" si="8"/>
        <v>5 Years</v>
      </c>
      <c r="L548" s="3" cm="1">
        <f t="array" ref="L548">_xlfn.SWITCH(Table13_2[[#This Row],[Performance Score]],"A",6,"B",5,"C",4,"D",3,"E",2,"F",1)</f>
        <v>6</v>
      </c>
    </row>
    <row r="549" spans="1:12" x14ac:dyDescent="0.3">
      <c r="A549" t="s">
        <v>44</v>
      </c>
      <c r="B549">
        <v>36</v>
      </c>
      <c r="C549" s="1">
        <v>55000</v>
      </c>
      <c r="D549" t="s">
        <v>34</v>
      </c>
      <c r="E549" t="s">
        <v>26</v>
      </c>
      <c r="F549" t="s">
        <v>41</v>
      </c>
      <c r="G549" s="2">
        <v>43800</v>
      </c>
      <c r="H549" t="s">
        <v>27</v>
      </c>
      <c r="I549" t="s">
        <v>39</v>
      </c>
      <c r="J549" t="s">
        <v>17</v>
      </c>
      <c r="K549" s="2" t="str">
        <f t="shared" ca="1" si="8"/>
        <v>6 Years</v>
      </c>
      <c r="L549" s="3" cm="1">
        <f t="array" ref="L549">_xlfn.SWITCH(Table13_2[[#This Row],[Performance Score]],"A",6,"B",5,"C",4,"D",3,"E",2,"F",1)</f>
        <v>4</v>
      </c>
    </row>
    <row r="550" spans="1:12" x14ac:dyDescent="0.3">
      <c r="A550" t="s">
        <v>29</v>
      </c>
      <c r="B550">
        <v>35</v>
      </c>
      <c r="C550" s="1">
        <v>70000</v>
      </c>
      <c r="D550" t="s">
        <v>34</v>
      </c>
      <c r="E550" t="s">
        <v>26</v>
      </c>
      <c r="F550" t="s">
        <v>37</v>
      </c>
      <c r="G550" s="2">
        <v>43881</v>
      </c>
      <c r="H550" t="s">
        <v>22</v>
      </c>
      <c r="I550" t="s">
        <v>32</v>
      </c>
      <c r="J550" t="s">
        <v>17</v>
      </c>
      <c r="K550" s="2" t="str">
        <f t="shared" ca="1" si="8"/>
        <v>5 Years</v>
      </c>
      <c r="L550" s="3" cm="1">
        <f t="array" ref="L550">_xlfn.SWITCH(Table13_2[[#This Row],[Performance Score]],"A",6,"B",5,"C",4,"D",3,"E",2,"F",1)</f>
        <v>1</v>
      </c>
    </row>
    <row r="551" spans="1:12" x14ac:dyDescent="0.3">
      <c r="A551" t="s">
        <v>29</v>
      </c>
      <c r="B551">
        <v>50</v>
      </c>
      <c r="C551" s="1">
        <v>70000</v>
      </c>
      <c r="D551" t="s">
        <v>12</v>
      </c>
      <c r="E551" t="s">
        <v>13</v>
      </c>
      <c r="F551" t="s">
        <v>40</v>
      </c>
      <c r="G551" s="2">
        <v>43549</v>
      </c>
      <c r="H551" t="s">
        <v>38</v>
      </c>
      <c r="I551" t="s">
        <v>39</v>
      </c>
      <c r="J551" t="s">
        <v>24</v>
      </c>
      <c r="K551" s="2" t="str">
        <f t="shared" ca="1" si="8"/>
        <v>6 Years</v>
      </c>
      <c r="L551" s="3" cm="1">
        <f t="array" ref="L551">_xlfn.SWITCH(Table13_2[[#This Row],[Performance Score]],"A",6,"B",5,"C",4,"D",3,"E",2,"F",1)</f>
        <v>5</v>
      </c>
    </row>
    <row r="552" spans="1:12" x14ac:dyDescent="0.3">
      <c r="A552" t="s">
        <v>43</v>
      </c>
      <c r="B552">
        <v>36</v>
      </c>
      <c r="C552" s="1">
        <v>48417.431192660551</v>
      </c>
      <c r="D552" t="s">
        <v>12</v>
      </c>
      <c r="E552" t="s">
        <v>20</v>
      </c>
      <c r="F552" t="s">
        <v>41</v>
      </c>
      <c r="G552" s="2">
        <v>43549</v>
      </c>
      <c r="H552" t="s">
        <v>22</v>
      </c>
      <c r="I552" t="s">
        <v>39</v>
      </c>
      <c r="J552" t="s">
        <v>28</v>
      </c>
      <c r="K552" s="2" t="str">
        <f t="shared" ca="1" si="8"/>
        <v>6 Years</v>
      </c>
      <c r="L552" s="3" cm="1">
        <f t="array" ref="L552">_xlfn.SWITCH(Table13_2[[#This Row],[Performance Score]],"A",6,"B",5,"C",4,"D",3,"E",2,"F",1)</f>
        <v>1</v>
      </c>
    </row>
    <row r="553" spans="1:12" x14ac:dyDescent="0.3">
      <c r="A553" t="s">
        <v>36</v>
      </c>
      <c r="B553">
        <v>40</v>
      </c>
      <c r="C553" s="1">
        <v>50742.574257425746</v>
      </c>
      <c r="D553" t="s">
        <v>12</v>
      </c>
      <c r="E553" t="s">
        <v>26</v>
      </c>
      <c r="F553" t="s">
        <v>41</v>
      </c>
      <c r="G553" s="2">
        <v>43800</v>
      </c>
      <c r="H553" t="s">
        <v>27</v>
      </c>
      <c r="I553" t="s">
        <v>16</v>
      </c>
      <c r="J553" t="s">
        <v>17</v>
      </c>
      <c r="K553" s="2" t="str">
        <f t="shared" ca="1" si="8"/>
        <v>6 Years</v>
      </c>
      <c r="L553" s="3" cm="1">
        <f t="array" ref="L553">_xlfn.SWITCH(Table13_2[[#This Row],[Performance Score]],"A",6,"B",5,"C",4,"D",3,"E",2,"F",1)</f>
        <v>4</v>
      </c>
    </row>
    <row r="554" spans="1:12" x14ac:dyDescent="0.3">
      <c r="A554" t="s">
        <v>25</v>
      </c>
      <c r="B554">
        <v>35</v>
      </c>
      <c r="C554" s="1">
        <v>55000</v>
      </c>
      <c r="D554" t="s">
        <v>19</v>
      </c>
      <c r="E554" t="s">
        <v>20</v>
      </c>
      <c r="F554" t="s">
        <v>41</v>
      </c>
      <c r="G554" s="2">
        <v>43881</v>
      </c>
      <c r="H554" t="s">
        <v>31</v>
      </c>
      <c r="I554" t="s">
        <v>23</v>
      </c>
      <c r="J554" t="s">
        <v>24</v>
      </c>
      <c r="K554" s="2" t="str">
        <f t="shared" ca="1" si="8"/>
        <v>5 Years</v>
      </c>
      <c r="L554" s="3" cm="1">
        <f t="array" ref="L554">_xlfn.SWITCH(Table13_2[[#This Row],[Performance Score]],"A",6,"B",5,"C",4,"D",3,"E",2,"F",1)</f>
        <v>6</v>
      </c>
    </row>
    <row r="555" spans="1:12" x14ac:dyDescent="0.3">
      <c r="A555" t="s">
        <v>45</v>
      </c>
      <c r="B555">
        <v>40</v>
      </c>
      <c r="C555" s="1">
        <v>51825</v>
      </c>
      <c r="D555" t="s">
        <v>19</v>
      </c>
      <c r="E555" t="s">
        <v>13</v>
      </c>
      <c r="F555" t="s">
        <v>40</v>
      </c>
      <c r="G555" s="2">
        <v>43845</v>
      </c>
      <c r="H555" t="s">
        <v>27</v>
      </c>
      <c r="I555" t="s">
        <v>32</v>
      </c>
      <c r="J555" t="s">
        <v>28</v>
      </c>
      <c r="K555" s="2" t="str">
        <f t="shared" ca="1" si="8"/>
        <v>5 Years</v>
      </c>
      <c r="L555" s="3" cm="1">
        <f t="array" ref="L555">_xlfn.SWITCH(Table13_2[[#This Row],[Performance Score]],"A",6,"B",5,"C",4,"D",3,"E",2,"F",1)</f>
        <v>4</v>
      </c>
    </row>
    <row r="556" spans="1:12" x14ac:dyDescent="0.3">
      <c r="A556" t="s">
        <v>43</v>
      </c>
      <c r="B556">
        <v>30</v>
      </c>
      <c r="C556" s="1">
        <v>65000</v>
      </c>
      <c r="D556" t="s">
        <v>19</v>
      </c>
      <c r="E556" t="s">
        <v>26</v>
      </c>
      <c r="F556" t="s">
        <v>14</v>
      </c>
      <c r="G556" s="2">
        <v>43845</v>
      </c>
      <c r="H556" t="s">
        <v>15</v>
      </c>
      <c r="I556" t="s">
        <v>39</v>
      </c>
      <c r="J556" t="s">
        <v>42</v>
      </c>
      <c r="K556" s="2" t="str">
        <f t="shared" ca="1" si="8"/>
        <v>5 Years</v>
      </c>
      <c r="L556" s="3" cm="1">
        <f t="array" ref="L556">_xlfn.SWITCH(Table13_2[[#This Row],[Performance Score]],"A",6,"B",5,"C",4,"D",3,"E",2,"F",1)</f>
        <v>3</v>
      </c>
    </row>
    <row r="557" spans="1:12" x14ac:dyDescent="0.3">
      <c r="A557" t="s">
        <v>18</v>
      </c>
      <c r="B557">
        <v>25</v>
      </c>
      <c r="C557" s="1">
        <v>50000</v>
      </c>
      <c r="D557" t="s">
        <v>12</v>
      </c>
      <c r="E557" t="s">
        <v>30</v>
      </c>
      <c r="F557" t="s">
        <v>21</v>
      </c>
      <c r="G557" s="2">
        <v>43845</v>
      </c>
      <c r="H557" t="s">
        <v>15</v>
      </c>
      <c r="I557" t="s">
        <v>32</v>
      </c>
      <c r="J557" t="s">
        <v>24</v>
      </c>
      <c r="K557" s="2" t="str">
        <f t="shared" ca="1" si="8"/>
        <v>5 Years</v>
      </c>
      <c r="L557" s="3" cm="1">
        <f t="array" ref="L557">_xlfn.SWITCH(Table13_2[[#This Row],[Performance Score]],"A",6,"B",5,"C",4,"D",3,"E",2,"F",1)</f>
        <v>3</v>
      </c>
    </row>
    <row r="558" spans="1:12" x14ac:dyDescent="0.3">
      <c r="A558" t="s">
        <v>45</v>
      </c>
      <c r="B558">
        <v>35</v>
      </c>
      <c r="C558" s="1">
        <v>50000</v>
      </c>
      <c r="D558" t="s">
        <v>34</v>
      </c>
      <c r="E558" t="s">
        <v>13</v>
      </c>
      <c r="F558" t="s">
        <v>37</v>
      </c>
      <c r="G558" s="2">
        <v>43549</v>
      </c>
      <c r="H558" t="s">
        <v>22</v>
      </c>
      <c r="I558" t="s">
        <v>39</v>
      </c>
      <c r="J558" t="s">
        <v>17</v>
      </c>
      <c r="K558" s="2" t="str">
        <f t="shared" ca="1" si="8"/>
        <v>6 Years</v>
      </c>
      <c r="L558" s="3" cm="1">
        <f t="array" ref="L558">_xlfn.SWITCH(Table13_2[[#This Row],[Performance Score]],"A",6,"B",5,"C",4,"D",3,"E",2,"F",1)</f>
        <v>1</v>
      </c>
    </row>
    <row r="559" spans="1:12" x14ac:dyDescent="0.3">
      <c r="A559" t="s">
        <v>11</v>
      </c>
      <c r="B559">
        <v>30</v>
      </c>
      <c r="C559" s="1">
        <v>50000</v>
      </c>
      <c r="D559" t="s">
        <v>34</v>
      </c>
      <c r="E559" t="s">
        <v>35</v>
      </c>
      <c r="F559" t="s">
        <v>14</v>
      </c>
      <c r="G559" s="2">
        <v>43881</v>
      </c>
      <c r="H559" t="s">
        <v>22</v>
      </c>
      <c r="I559" t="s">
        <v>32</v>
      </c>
      <c r="J559" t="s">
        <v>17</v>
      </c>
      <c r="K559" s="2" t="str">
        <f t="shared" ca="1" si="8"/>
        <v>5 Years</v>
      </c>
      <c r="L559" s="3" cm="1">
        <f t="array" ref="L559">_xlfn.SWITCH(Table13_2[[#This Row],[Performance Score]],"A",6,"B",5,"C",4,"D",3,"E",2,"F",1)</f>
        <v>1</v>
      </c>
    </row>
    <row r="560" spans="1:12" x14ac:dyDescent="0.3">
      <c r="A560" t="s">
        <v>46</v>
      </c>
      <c r="B560">
        <v>30</v>
      </c>
      <c r="C560" s="1">
        <v>55000</v>
      </c>
      <c r="D560" t="s">
        <v>19</v>
      </c>
      <c r="E560" t="s">
        <v>20</v>
      </c>
      <c r="F560" t="s">
        <v>37</v>
      </c>
      <c r="G560" s="2">
        <v>43881</v>
      </c>
      <c r="H560" t="s">
        <v>38</v>
      </c>
      <c r="I560" t="s">
        <v>39</v>
      </c>
      <c r="J560" t="s">
        <v>28</v>
      </c>
      <c r="K560" s="2" t="str">
        <f t="shared" ca="1" si="8"/>
        <v>5 Years</v>
      </c>
      <c r="L560" s="3" cm="1">
        <f t="array" ref="L560">_xlfn.SWITCH(Table13_2[[#This Row],[Performance Score]],"A",6,"B",5,"C",4,"D",3,"E",2,"F",1)</f>
        <v>5</v>
      </c>
    </row>
    <row r="561" spans="1:12" x14ac:dyDescent="0.3">
      <c r="A561" t="s">
        <v>18</v>
      </c>
      <c r="B561">
        <v>35</v>
      </c>
      <c r="C561" s="1">
        <v>55000</v>
      </c>
      <c r="D561" t="s">
        <v>19</v>
      </c>
      <c r="E561" t="s">
        <v>13</v>
      </c>
      <c r="F561" t="s">
        <v>21</v>
      </c>
      <c r="G561" s="2">
        <v>43549</v>
      </c>
      <c r="H561" t="s">
        <v>38</v>
      </c>
      <c r="I561" t="s">
        <v>23</v>
      </c>
      <c r="J561" t="s">
        <v>24</v>
      </c>
      <c r="K561" s="2" t="str">
        <f t="shared" ca="1" si="8"/>
        <v>6 Years</v>
      </c>
      <c r="L561" s="3" cm="1">
        <f t="array" ref="L561">_xlfn.SWITCH(Table13_2[[#This Row],[Performance Score]],"A",6,"B",5,"C",4,"D",3,"E",2,"F",1)</f>
        <v>5</v>
      </c>
    </row>
    <row r="562" spans="1:12" x14ac:dyDescent="0.3">
      <c r="A562" t="s">
        <v>18</v>
      </c>
      <c r="B562">
        <v>40</v>
      </c>
      <c r="C562" s="1">
        <v>60000</v>
      </c>
      <c r="D562" t="s">
        <v>34</v>
      </c>
      <c r="E562" t="s">
        <v>13</v>
      </c>
      <c r="F562" t="s">
        <v>40</v>
      </c>
      <c r="G562" s="2">
        <v>43845</v>
      </c>
      <c r="H562" t="s">
        <v>15</v>
      </c>
      <c r="I562" t="s">
        <v>23</v>
      </c>
      <c r="J562" t="s">
        <v>42</v>
      </c>
      <c r="K562" s="2" t="str">
        <f t="shared" ca="1" si="8"/>
        <v>5 Years</v>
      </c>
      <c r="L562" s="3" cm="1">
        <f t="array" ref="L562">_xlfn.SWITCH(Table13_2[[#This Row],[Performance Score]],"A",6,"B",5,"C",4,"D",3,"E",2,"F",1)</f>
        <v>3</v>
      </c>
    </row>
    <row r="563" spans="1:12" x14ac:dyDescent="0.3">
      <c r="A563" t="s">
        <v>43</v>
      </c>
      <c r="B563">
        <v>50</v>
      </c>
      <c r="C563" s="1">
        <v>50000</v>
      </c>
      <c r="D563" t="s">
        <v>34</v>
      </c>
      <c r="E563" t="s">
        <v>26</v>
      </c>
      <c r="F563" t="s">
        <v>41</v>
      </c>
      <c r="G563" s="2">
        <v>43845</v>
      </c>
      <c r="H563" t="s">
        <v>31</v>
      </c>
      <c r="I563" t="s">
        <v>32</v>
      </c>
      <c r="J563" t="s">
        <v>17</v>
      </c>
      <c r="K563" s="2" t="str">
        <f t="shared" ca="1" si="8"/>
        <v>5 Years</v>
      </c>
      <c r="L563" s="3" cm="1">
        <f t="array" ref="L563">_xlfn.SWITCH(Table13_2[[#This Row],[Performance Score]],"A",6,"B",5,"C",4,"D",3,"E",2,"F",1)</f>
        <v>6</v>
      </c>
    </row>
    <row r="564" spans="1:12" x14ac:dyDescent="0.3">
      <c r="A564" t="s">
        <v>36</v>
      </c>
      <c r="B564">
        <v>30</v>
      </c>
      <c r="C564" s="1">
        <v>65000</v>
      </c>
      <c r="D564" t="s">
        <v>19</v>
      </c>
      <c r="E564" t="s">
        <v>26</v>
      </c>
      <c r="F564" t="s">
        <v>41</v>
      </c>
      <c r="G564" s="2">
        <v>43800</v>
      </c>
      <c r="H564" t="s">
        <v>27</v>
      </c>
      <c r="I564" t="s">
        <v>16</v>
      </c>
      <c r="J564" t="s">
        <v>17</v>
      </c>
      <c r="K564" s="2" t="str">
        <f t="shared" ca="1" si="8"/>
        <v>6 Years</v>
      </c>
      <c r="L564" s="3" cm="1">
        <f t="array" ref="L564">_xlfn.SWITCH(Table13_2[[#This Row],[Performance Score]],"A",6,"B",5,"C",4,"D",3,"E",2,"F",1)</f>
        <v>4</v>
      </c>
    </row>
    <row r="565" spans="1:12" x14ac:dyDescent="0.3">
      <c r="A565" t="s">
        <v>43</v>
      </c>
      <c r="B565">
        <v>36</v>
      </c>
      <c r="C565" s="1">
        <v>50742.574257425746</v>
      </c>
      <c r="D565" t="s">
        <v>19</v>
      </c>
      <c r="E565" t="s">
        <v>26</v>
      </c>
      <c r="F565" t="s">
        <v>40</v>
      </c>
      <c r="G565" s="2">
        <v>43195</v>
      </c>
      <c r="H565" t="s">
        <v>38</v>
      </c>
      <c r="I565" t="s">
        <v>32</v>
      </c>
      <c r="J565" t="s">
        <v>24</v>
      </c>
      <c r="K565" s="2" t="str">
        <f t="shared" ca="1" si="8"/>
        <v>7 Years</v>
      </c>
      <c r="L565" s="3" cm="1">
        <f t="array" ref="L565">_xlfn.SWITCH(Table13_2[[#This Row],[Performance Score]],"A",6,"B",5,"C",4,"D",3,"E",2,"F",1)</f>
        <v>5</v>
      </c>
    </row>
    <row r="566" spans="1:12" x14ac:dyDescent="0.3">
      <c r="A566" t="s">
        <v>11</v>
      </c>
      <c r="B566">
        <v>30</v>
      </c>
      <c r="C566" s="1">
        <v>65000</v>
      </c>
      <c r="D566" t="s">
        <v>34</v>
      </c>
      <c r="E566" t="s">
        <v>35</v>
      </c>
      <c r="F566" t="s">
        <v>14</v>
      </c>
      <c r="G566" s="2">
        <v>43881</v>
      </c>
      <c r="H566" t="s">
        <v>38</v>
      </c>
      <c r="I566" t="s">
        <v>39</v>
      </c>
      <c r="J566" t="s">
        <v>42</v>
      </c>
      <c r="K566" s="2" t="str">
        <f t="shared" ca="1" si="8"/>
        <v>5 Years</v>
      </c>
      <c r="L566" s="3" cm="1">
        <f t="array" ref="L566">_xlfn.SWITCH(Table13_2[[#This Row],[Performance Score]],"A",6,"B",5,"C",4,"D",3,"E",2,"F",1)</f>
        <v>5</v>
      </c>
    </row>
    <row r="567" spans="1:12" x14ac:dyDescent="0.3">
      <c r="A567" t="s">
        <v>33</v>
      </c>
      <c r="B567">
        <v>50</v>
      </c>
      <c r="C567" s="1">
        <v>50742.574257425746</v>
      </c>
      <c r="D567" t="s">
        <v>12</v>
      </c>
      <c r="E567" t="s">
        <v>26</v>
      </c>
      <c r="F567" t="s">
        <v>14</v>
      </c>
      <c r="G567" s="2">
        <v>43881</v>
      </c>
      <c r="H567" t="s">
        <v>31</v>
      </c>
      <c r="I567" t="s">
        <v>23</v>
      </c>
      <c r="J567" t="s">
        <v>28</v>
      </c>
      <c r="K567" s="2" t="str">
        <f t="shared" ca="1" si="8"/>
        <v>5 Years</v>
      </c>
      <c r="L567" s="3" cm="1">
        <f t="array" ref="L567">_xlfn.SWITCH(Table13_2[[#This Row],[Performance Score]],"A",6,"B",5,"C",4,"D",3,"E",2,"F",1)</f>
        <v>6</v>
      </c>
    </row>
    <row r="568" spans="1:12" x14ac:dyDescent="0.3">
      <c r="A568" t="s">
        <v>33</v>
      </c>
      <c r="B568">
        <v>40</v>
      </c>
      <c r="C568" s="1">
        <v>50000</v>
      </c>
      <c r="D568" t="s">
        <v>19</v>
      </c>
      <c r="E568" t="s">
        <v>13</v>
      </c>
      <c r="F568" t="s">
        <v>37</v>
      </c>
      <c r="G568" s="2">
        <v>43881</v>
      </c>
      <c r="H568" t="s">
        <v>31</v>
      </c>
      <c r="I568" t="s">
        <v>23</v>
      </c>
      <c r="J568" t="s">
        <v>24</v>
      </c>
      <c r="K568" s="2" t="str">
        <f t="shared" ca="1" si="8"/>
        <v>5 Years</v>
      </c>
      <c r="L568" s="3" cm="1">
        <f t="array" ref="L568">_xlfn.SWITCH(Table13_2[[#This Row],[Performance Score]],"A",6,"B",5,"C",4,"D",3,"E",2,"F",1)</f>
        <v>6</v>
      </c>
    </row>
    <row r="569" spans="1:12" x14ac:dyDescent="0.3">
      <c r="A569" t="s">
        <v>36</v>
      </c>
      <c r="B569">
        <v>40</v>
      </c>
      <c r="C569" s="1">
        <v>50000</v>
      </c>
      <c r="D569" t="s">
        <v>34</v>
      </c>
      <c r="E569" t="s">
        <v>26</v>
      </c>
      <c r="F569" t="s">
        <v>40</v>
      </c>
      <c r="G569" s="2">
        <v>43195</v>
      </c>
      <c r="H569" t="s">
        <v>22</v>
      </c>
      <c r="I569" t="s">
        <v>23</v>
      </c>
      <c r="J569" t="s">
        <v>28</v>
      </c>
      <c r="K569" s="2" t="str">
        <f t="shared" ca="1" si="8"/>
        <v>7 Years</v>
      </c>
      <c r="L569" s="3" cm="1">
        <f t="array" ref="L569">_xlfn.SWITCH(Table13_2[[#This Row],[Performance Score]],"A",6,"B",5,"C",4,"D",3,"E",2,"F",1)</f>
        <v>1</v>
      </c>
    </row>
    <row r="570" spans="1:12" x14ac:dyDescent="0.3">
      <c r="A570" t="s">
        <v>11</v>
      </c>
      <c r="B570">
        <v>36</v>
      </c>
      <c r="C570" s="1">
        <v>50000</v>
      </c>
      <c r="D570" t="s">
        <v>34</v>
      </c>
      <c r="E570" t="s">
        <v>30</v>
      </c>
      <c r="F570" t="s">
        <v>14</v>
      </c>
      <c r="G570" s="2">
        <v>43800</v>
      </c>
      <c r="H570" t="s">
        <v>27</v>
      </c>
      <c r="I570" t="s">
        <v>16</v>
      </c>
      <c r="J570" t="s">
        <v>17</v>
      </c>
      <c r="K570" s="2" t="str">
        <f t="shared" ca="1" si="8"/>
        <v>6 Years</v>
      </c>
      <c r="L570" s="3" cm="1">
        <f t="array" ref="L570">_xlfn.SWITCH(Table13_2[[#This Row],[Performance Score]],"A",6,"B",5,"C",4,"D",3,"E",2,"F",1)</f>
        <v>4</v>
      </c>
    </row>
    <row r="571" spans="1:12" x14ac:dyDescent="0.3">
      <c r="A571" t="s">
        <v>36</v>
      </c>
      <c r="B571">
        <v>30</v>
      </c>
      <c r="C571" s="1">
        <v>55000</v>
      </c>
      <c r="D571" t="s">
        <v>34</v>
      </c>
      <c r="E571" t="s">
        <v>26</v>
      </c>
      <c r="F571" t="s">
        <v>40</v>
      </c>
      <c r="G571" s="2">
        <v>43195</v>
      </c>
      <c r="H571" t="s">
        <v>31</v>
      </c>
      <c r="I571" t="s">
        <v>16</v>
      </c>
      <c r="J571" t="s">
        <v>28</v>
      </c>
      <c r="K571" s="2" t="str">
        <f t="shared" ca="1" si="8"/>
        <v>7 Years</v>
      </c>
      <c r="L571" s="3" cm="1">
        <f t="array" ref="L571">_xlfn.SWITCH(Table13_2[[#This Row],[Performance Score]],"A",6,"B",5,"C",4,"D",3,"E",2,"F",1)</f>
        <v>6</v>
      </c>
    </row>
    <row r="572" spans="1:12" x14ac:dyDescent="0.3">
      <c r="A572" t="s">
        <v>44</v>
      </c>
      <c r="B572">
        <v>40</v>
      </c>
      <c r="C572" s="1">
        <v>49144.385026737968</v>
      </c>
      <c r="D572" t="s">
        <v>34</v>
      </c>
      <c r="E572" t="s">
        <v>35</v>
      </c>
      <c r="F572" t="s">
        <v>21</v>
      </c>
      <c r="G572" s="2">
        <v>43845</v>
      </c>
      <c r="H572" t="s">
        <v>38</v>
      </c>
      <c r="I572" t="s">
        <v>39</v>
      </c>
      <c r="J572" t="s">
        <v>42</v>
      </c>
      <c r="K572" s="2" t="str">
        <f t="shared" ca="1" si="8"/>
        <v>5 Years</v>
      </c>
      <c r="L572" s="3" cm="1">
        <f t="array" ref="L572">_xlfn.SWITCH(Table13_2[[#This Row],[Performance Score]],"A",6,"B",5,"C",4,"D",3,"E",2,"F",1)</f>
        <v>5</v>
      </c>
    </row>
    <row r="573" spans="1:12" x14ac:dyDescent="0.3">
      <c r="A573" t="s">
        <v>33</v>
      </c>
      <c r="B573">
        <v>50</v>
      </c>
      <c r="C573" s="1">
        <v>55000</v>
      </c>
      <c r="D573" t="s">
        <v>12</v>
      </c>
      <c r="E573" t="s">
        <v>30</v>
      </c>
      <c r="F573" t="s">
        <v>41</v>
      </c>
      <c r="G573" s="2">
        <v>43845</v>
      </c>
      <c r="H573" t="s">
        <v>38</v>
      </c>
      <c r="I573" t="s">
        <v>32</v>
      </c>
      <c r="J573" t="s">
        <v>17</v>
      </c>
      <c r="K573" s="2" t="str">
        <f t="shared" ca="1" si="8"/>
        <v>5 Years</v>
      </c>
      <c r="L573" s="3" cm="1">
        <f t="array" ref="L573">_xlfn.SWITCH(Table13_2[[#This Row],[Performance Score]],"A",6,"B",5,"C",4,"D",3,"E",2,"F",1)</f>
        <v>5</v>
      </c>
    </row>
    <row r="574" spans="1:12" x14ac:dyDescent="0.3">
      <c r="A574" t="s">
        <v>18</v>
      </c>
      <c r="B574">
        <v>35</v>
      </c>
      <c r="C574" s="1">
        <v>55000</v>
      </c>
      <c r="D574" t="s">
        <v>34</v>
      </c>
      <c r="E574" t="s">
        <v>13</v>
      </c>
      <c r="F574" t="s">
        <v>41</v>
      </c>
      <c r="G574" s="2">
        <v>43881</v>
      </c>
      <c r="H574" t="s">
        <v>15</v>
      </c>
      <c r="I574" t="s">
        <v>32</v>
      </c>
      <c r="J574" t="s">
        <v>42</v>
      </c>
      <c r="K574" s="2" t="str">
        <f t="shared" ca="1" si="8"/>
        <v>5 Years</v>
      </c>
      <c r="L574" s="3" cm="1">
        <f t="array" ref="L574">_xlfn.SWITCH(Table13_2[[#This Row],[Performance Score]],"A",6,"B",5,"C",4,"D",3,"E",2,"F",1)</f>
        <v>3</v>
      </c>
    </row>
    <row r="575" spans="1:12" x14ac:dyDescent="0.3">
      <c r="A575" t="s">
        <v>25</v>
      </c>
      <c r="B575">
        <v>25</v>
      </c>
      <c r="C575" s="1">
        <v>70000</v>
      </c>
      <c r="D575" t="s">
        <v>19</v>
      </c>
      <c r="E575" t="s">
        <v>13</v>
      </c>
      <c r="F575" t="s">
        <v>41</v>
      </c>
      <c r="G575" s="2">
        <v>43549</v>
      </c>
      <c r="H575" t="s">
        <v>31</v>
      </c>
      <c r="I575" t="s">
        <v>39</v>
      </c>
      <c r="J575" t="s">
        <v>28</v>
      </c>
      <c r="K575" s="2" t="str">
        <f t="shared" ca="1" si="8"/>
        <v>6 Years</v>
      </c>
      <c r="L575" s="3" cm="1">
        <f t="array" ref="L575">_xlfn.SWITCH(Table13_2[[#This Row],[Performance Score]],"A",6,"B",5,"C",4,"D",3,"E",2,"F",1)</f>
        <v>6</v>
      </c>
    </row>
    <row r="576" spans="1:12" x14ac:dyDescent="0.3">
      <c r="A576" t="s">
        <v>46</v>
      </c>
      <c r="B576">
        <v>25</v>
      </c>
      <c r="C576" s="1">
        <v>65000</v>
      </c>
      <c r="D576" t="s">
        <v>12</v>
      </c>
      <c r="E576" t="s">
        <v>20</v>
      </c>
      <c r="F576" t="s">
        <v>40</v>
      </c>
      <c r="G576" s="2">
        <v>43881</v>
      </c>
      <c r="H576" t="s">
        <v>22</v>
      </c>
      <c r="I576" t="s">
        <v>23</v>
      </c>
      <c r="J576" t="s">
        <v>24</v>
      </c>
      <c r="K576" s="2" t="str">
        <f t="shared" ca="1" si="8"/>
        <v>5 Years</v>
      </c>
      <c r="L576" s="3" cm="1">
        <f t="array" ref="L576">_xlfn.SWITCH(Table13_2[[#This Row],[Performance Score]],"A",6,"B",5,"C",4,"D",3,"E",2,"F",1)</f>
        <v>1</v>
      </c>
    </row>
    <row r="577" spans="1:12" x14ac:dyDescent="0.3">
      <c r="A577" t="s">
        <v>11</v>
      </c>
      <c r="B577">
        <v>25</v>
      </c>
      <c r="C577" s="1">
        <v>65000</v>
      </c>
      <c r="D577" t="s">
        <v>34</v>
      </c>
      <c r="E577" t="s">
        <v>30</v>
      </c>
      <c r="F577" t="s">
        <v>40</v>
      </c>
      <c r="G577" s="2">
        <v>43549</v>
      </c>
      <c r="H577" t="s">
        <v>27</v>
      </c>
      <c r="I577" t="s">
        <v>16</v>
      </c>
      <c r="J577" t="s">
        <v>17</v>
      </c>
      <c r="K577" s="2" t="str">
        <f t="shared" ca="1" si="8"/>
        <v>6 Years</v>
      </c>
      <c r="L577" s="3" cm="1">
        <f t="array" ref="L577">_xlfn.SWITCH(Table13_2[[#This Row],[Performance Score]],"A",6,"B",5,"C",4,"D",3,"E",2,"F",1)</f>
        <v>4</v>
      </c>
    </row>
    <row r="578" spans="1:12" x14ac:dyDescent="0.3">
      <c r="A578" t="s">
        <v>45</v>
      </c>
      <c r="B578">
        <v>30</v>
      </c>
      <c r="C578" s="1">
        <v>60000</v>
      </c>
      <c r="D578" t="s">
        <v>12</v>
      </c>
      <c r="E578" t="s">
        <v>20</v>
      </c>
      <c r="F578" t="s">
        <v>37</v>
      </c>
      <c r="G578" s="2">
        <v>43195</v>
      </c>
      <c r="H578" t="s">
        <v>22</v>
      </c>
      <c r="I578" t="s">
        <v>39</v>
      </c>
      <c r="J578" t="s">
        <v>17</v>
      </c>
      <c r="K578" s="2" t="str">
        <f t="shared" ca="1" si="8"/>
        <v>7 Years</v>
      </c>
      <c r="L578" s="3" cm="1">
        <f t="array" ref="L578">_xlfn.SWITCH(Table13_2[[#This Row],[Performance Score]],"A",6,"B",5,"C",4,"D",3,"E",2,"F",1)</f>
        <v>1</v>
      </c>
    </row>
    <row r="579" spans="1:12" x14ac:dyDescent="0.3">
      <c r="A579" t="s">
        <v>36</v>
      </c>
      <c r="B579">
        <v>36</v>
      </c>
      <c r="C579" s="1">
        <v>55000</v>
      </c>
      <c r="D579" t="s">
        <v>19</v>
      </c>
      <c r="E579" t="s">
        <v>30</v>
      </c>
      <c r="F579" t="s">
        <v>41</v>
      </c>
      <c r="G579" s="2">
        <v>43845</v>
      </c>
      <c r="H579" t="s">
        <v>38</v>
      </c>
      <c r="I579" t="s">
        <v>39</v>
      </c>
      <c r="J579" t="s">
        <v>24</v>
      </c>
      <c r="K579" s="2" t="str">
        <f t="shared" ref="K579:K642" ca="1" si="9">DATEDIF(G579,TODAY(),"Y") &amp; " Years"</f>
        <v>5 Years</v>
      </c>
      <c r="L579" s="3" cm="1">
        <f t="array" ref="L579">_xlfn.SWITCH(Table13_2[[#This Row],[Performance Score]],"A",6,"B",5,"C",4,"D",3,"E",2,"F",1)</f>
        <v>5</v>
      </c>
    </row>
    <row r="580" spans="1:12" x14ac:dyDescent="0.3">
      <c r="A580" t="s">
        <v>46</v>
      </c>
      <c r="B580">
        <v>40</v>
      </c>
      <c r="C580" s="1">
        <v>50777.202072538857</v>
      </c>
      <c r="D580" t="s">
        <v>34</v>
      </c>
      <c r="E580" t="s">
        <v>30</v>
      </c>
      <c r="F580" t="s">
        <v>37</v>
      </c>
      <c r="G580" s="2">
        <v>43549</v>
      </c>
      <c r="H580" t="s">
        <v>22</v>
      </c>
      <c r="I580" t="s">
        <v>16</v>
      </c>
      <c r="J580" t="s">
        <v>24</v>
      </c>
      <c r="K580" s="2" t="str">
        <f t="shared" ca="1" si="9"/>
        <v>6 Years</v>
      </c>
      <c r="L580" s="3" cm="1">
        <f t="array" ref="L580">_xlfn.SWITCH(Table13_2[[#This Row],[Performance Score]],"A",6,"B",5,"C",4,"D",3,"E",2,"F",1)</f>
        <v>1</v>
      </c>
    </row>
    <row r="581" spans="1:12" x14ac:dyDescent="0.3">
      <c r="A581" t="s">
        <v>45</v>
      </c>
      <c r="B581">
        <v>35</v>
      </c>
      <c r="C581" s="1">
        <v>70000</v>
      </c>
      <c r="D581" t="s">
        <v>19</v>
      </c>
      <c r="E581" t="s">
        <v>35</v>
      </c>
      <c r="F581" t="s">
        <v>41</v>
      </c>
      <c r="G581" s="2">
        <v>43195</v>
      </c>
      <c r="H581" t="s">
        <v>38</v>
      </c>
      <c r="I581" t="s">
        <v>32</v>
      </c>
      <c r="J581" t="s">
        <v>42</v>
      </c>
      <c r="K581" s="2" t="str">
        <f t="shared" ca="1" si="9"/>
        <v>7 Years</v>
      </c>
      <c r="L581" s="3" cm="1">
        <f t="array" ref="L581">_xlfn.SWITCH(Table13_2[[#This Row],[Performance Score]],"A",6,"B",5,"C",4,"D",3,"E",2,"F",1)</f>
        <v>5</v>
      </c>
    </row>
    <row r="582" spans="1:12" x14ac:dyDescent="0.3">
      <c r="A582" t="s">
        <v>46</v>
      </c>
      <c r="B582">
        <v>50</v>
      </c>
      <c r="C582" s="1">
        <v>70000</v>
      </c>
      <c r="D582" t="s">
        <v>34</v>
      </c>
      <c r="E582" t="s">
        <v>20</v>
      </c>
      <c r="F582" t="s">
        <v>37</v>
      </c>
      <c r="G582" s="2">
        <v>43845</v>
      </c>
      <c r="H582" t="s">
        <v>38</v>
      </c>
      <c r="I582" t="s">
        <v>23</v>
      </c>
      <c r="J582" t="s">
        <v>28</v>
      </c>
      <c r="K582" s="2" t="str">
        <f t="shared" ca="1" si="9"/>
        <v>5 Years</v>
      </c>
      <c r="L582" s="3" cm="1">
        <f t="array" ref="L582">_xlfn.SWITCH(Table13_2[[#This Row],[Performance Score]],"A",6,"B",5,"C",4,"D",3,"E",2,"F",1)</f>
        <v>5</v>
      </c>
    </row>
    <row r="583" spans="1:12" x14ac:dyDescent="0.3">
      <c r="A583" t="s">
        <v>25</v>
      </c>
      <c r="B583">
        <v>35</v>
      </c>
      <c r="C583" s="1">
        <v>65000</v>
      </c>
      <c r="D583" t="s">
        <v>34</v>
      </c>
      <c r="E583" t="s">
        <v>35</v>
      </c>
      <c r="F583" t="s">
        <v>37</v>
      </c>
      <c r="G583" s="2">
        <v>43549</v>
      </c>
      <c r="H583" t="s">
        <v>38</v>
      </c>
      <c r="I583" t="s">
        <v>32</v>
      </c>
      <c r="J583" t="s">
        <v>42</v>
      </c>
      <c r="K583" s="2" t="str">
        <f t="shared" ca="1" si="9"/>
        <v>6 Years</v>
      </c>
      <c r="L583" s="3" cm="1">
        <f t="array" ref="L583">_xlfn.SWITCH(Table13_2[[#This Row],[Performance Score]],"A",6,"B",5,"C",4,"D",3,"E",2,"F",1)</f>
        <v>5</v>
      </c>
    </row>
    <row r="584" spans="1:12" x14ac:dyDescent="0.3">
      <c r="A584" t="s">
        <v>45</v>
      </c>
      <c r="B584">
        <v>50</v>
      </c>
      <c r="C584" s="1">
        <v>55000</v>
      </c>
      <c r="D584" t="s">
        <v>34</v>
      </c>
      <c r="E584" t="s">
        <v>30</v>
      </c>
      <c r="F584" t="s">
        <v>21</v>
      </c>
      <c r="G584" s="2">
        <v>43881</v>
      </c>
      <c r="H584" t="s">
        <v>38</v>
      </c>
      <c r="I584" t="s">
        <v>39</v>
      </c>
      <c r="J584" t="s">
        <v>28</v>
      </c>
      <c r="K584" s="2" t="str">
        <f t="shared" ca="1" si="9"/>
        <v>5 Years</v>
      </c>
      <c r="L584" s="3" cm="1">
        <f t="array" ref="L584">_xlfn.SWITCH(Table13_2[[#This Row],[Performance Score]],"A",6,"B",5,"C",4,"D",3,"E",2,"F",1)</f>
        <v>5</v>
      </c>
    </row>
    <row r="585" spans="1:12" x14ac:dyDescent="0.3">
      <c r="A585" t="s">
        <v>43</v>
      </c>
      <c r="B585">
        <v>30</v>
      </c>
      <c r="C585" s="1">
        <v>60000</v>
      </c>
      <c r="D585" t="s">
        <v>34</v>
      </c>
      <c r="E585" t="s">
        <v>13</v>
      </c>
      <c r="F585" t="s">
        <v>37</v>
      </c>
      <c r="G585" s="2">
        <v>43881</v>
      </c>
      <c r="H585" t="s">
        <v>38</v>
      </c>
      <c r="I585" t="s">
        <v>23</v>
      </c>
      <c r="J585" t="s">
        <v>42</v>
      </c>
      <c r="K585" s="2" t="str">
        <f t="shared" ca="1" si="9"/>
        <v>5 Years</v>
      </c>
      <c r="L585" s="3" cm="1">
        <f t="array" ref="L585">_xlfn.SWITCH(Table13_2[[#This Row],[Performance Score]],"A",6,"B",5,"C",4,"D",3,"E",2,"F",1)</f>
        <v>5</v>
      </c>
    </row>
    <row r="586" spans="1:12" x14ac:dyDescent="0.3">
      <c r="A586" t="s">
        <v>29</v>
      </c>
      <c r="B586">
        <v>25</v>
      </c>
      <c r="C586" s="1">
        <v>55000</v>
      </c>
      <c r="D586" t="s">
        <v>34</v>
      </c>
      <c r="E586" t="s">
        <v>30</v>
      </c>
      <c r="F586" t="s">
        <v>40</v>
      </c>
      <c r="G586" s="2">
        <v>43881</v>
      </c>
      <c r="H586" t="s">
        <v>15</v>
      </c>
      <c r="I586" t="s">
        <v>39</v>
      </c>
      <c r="J586" t="s">
        <v>24</v>
      </c>
      <c r="K586" s="2" t="str">
        <f t="shared" ca="1" si="9"/>
        <v>5 Years</v>
      </c>
      <c r="L586" s="3" cm="1">
        <f t="array" ref="L586">_xlfn.SWITCH(Table13_2[[#This Row],[Performance Score]],"A",6,"B",5,"C",4,"D",3,"E",2,"F",1)</f>
        <v>3</v>
      </c>
    </row>
    <row r="587" spans="1:12" x14ac:dyDescent="0.3">
      <c r="A587" t="s">
        <v>43</v>
      </c>
      <c r="B587">
        <v>30</v>
      </c>
      <c r="C587" s="1">
        <v>50000</v>
      </c>
      <c r="D587" t="s">
        <v>12</v>
      </c>
      <c r="E587" t="s">
        <v>35</v>
      </c>
      <c r="F587" t="s">
        <v>37</v>
      </c>
      <c r="G587" s="2">
        <v>43195</v>
      </c>
      <c r="H587" t="s">
        <v>22</v>
      </c>
      <c r="I587" t="s">
        <v>39</v>
      </c>
      <c r="J587" t="s">
        <v>17</v>
      </c>
      <c r="K587" s="2" t="str">
        <f t="shared" ca="1" si="9"/>
        <v>7 Years</v>
      </c>
      <c r="L587" s="3" cm="1">
        <f t="array" ref="L587">_xlfn.SWITCH(Table13_2[[#This Row],[Performance Score]],"A",6,"B",5,"C",4,"D",3,"E",2,"F",1)</f>
        <v>1</v>
      </c>
    </row>
    <row r="588" spans="1:12" x14ac:dyDescent="0.3">
      <c r="A588" t="s">
        <v>33</v>
      </c>
      <c r="B588">
        <v>36</v>
      </c>
      <c r="C588" s="1">
        <v>55000</v>
      </c>
      <c r="D588" t="s">
        <v>34</v>
      </c>
      <c r="E588" t="s">
        <v>20</v>
      </c>
      <c r="F588" t="s">
        <v>41</v>
      </c>
      <c r="G588" s="2">
        <v>43881</v>
      </c>
      <c r="H588" t="s">
        <v>15</v>
      </c>
      <c r="I588" t="s">
        <v>32</v>
      </c>
      <c r="J588" t="s">
        <v>28</v>
      </c>
      <c r="K588" s="2" t="str">
        <f t="shared" ca="1" si="9"/>
        <v>5 Years</v>
      </c>
      <c r="L588" s="3" cm="1">
        <f t="array" ref="L588">_xlfn.SWITCH(Table13_2[[#This Row],[Performance Score]],"A",6,"B",5,"C",4,"D",3,"E",2,"F",1)</f>
        <v>3</v>
      </c>
    </row>
    <row r="589" spans="1:12" x14ac:dyDescent="0.3">
      <c r="A589" t="s">
        <v>29</v>
      </c>
      <c r="B589">
        <v>36</v>
      </c>
      <c r="C589" s="1">
        <v>50000</v>
      </c>
      <c r="D589" t="s">
        <v>34</v>
      </c>
      <c r="E589" t="s">
        <v>20</v>
      </c>
      <c r="F589" t="s">
        <v>37</v>
      </c>
      <c r="G589" s="2">
        <v>43800</v>
      </c>
      <c r="H589" t="s">
        <v>15</v>
      </c>
      <c r="I589" t="s">
        <v>32</v>
      </c>
      <c r="J589" t="s">
        <v>17</v>
      </c>
      <c r="K589" s="2" t="str">
        <f t="shared" ca="1" si="9"/>
        <v>6 Years</v>
      </c>
      <c r="L589" s="3" cm="1">
        <f t="array" ref="L589">_xlfn.SWITCH(Table13_2[[#This Row],[Performance Score]],"A",6,"B",5,"C",4,"D",3,"E",2,"F",1)</f>
        <v>3</v>
      </c>
    </row>
    <row r="590" spans="1:12" x14ac:dyDescent="0.3">
      <c r="A590" t="s">
        <v>43</v>
      </c>
      <c r="B590">
        <v>50</v>
      </c>
      <c r="C590" s="1">
        <v>50000</v>
      </c>
      <c r="D590" t="s">
        <v>12</v>
      </c>
      <c r="E590" t="s">
        <v>35</v>
      </c>
      <c r="F590" t="s">
        <v>14</v>
      </c>
      <c r="G590" s="2">
        <v>43845</v>
      </c>
      <c r="H590" t="s">
        <v>31</v>
      </c>
      <c r="I590" t="s">
        <v>32</v>
      </c>
      <c r="J590" t="s">
        <v>17</v>
      </c>
      <c r="K590" s="2" t="str">
        <f t="shared" ca="1" si="9"/>
        <v>5 Years</v>
      </c>
      <c r="L590" s="3" cm="1">
        <f t="array" ref="L590">_xlfn.SWITCH(Table13_2[[#This Row],[Performance Score]],"A",6,"B",5,"C",4,"D",3,"E",2,"F",1)</f>
        <v>6</v>
      </c>
    </row>
    <row r="591" spans="1:12" x14ac:dyDescent="0.3">
      <c r="A591" t="s">
        <v>29</v>
      </c>
      <c r="B591">
        <v>40</v>
      </c>
      <c r="C591" s="1">
        <v>60000</v>
      </c>
      <c r="D591" t="s">
        <v>12</v>
      </c>
      <c r="E591" t="s">
        <v>20</v>
      </c>
      <c r="F591" t="s">
        <v>41</v>
      </c>
      <c r="G591" s="2">
        <v>43195</v>
      </c>
      <c r="H591" t="s">
        <v>31</v>
      </c>
      <c r="I591" t="s">
        <v>16</v>
      </c>
      <c r="J591" t="s">
        <v>24</v>
      </c>
      <c r="K591" s="2" t="str">
        <f t="shared" ca="1" si="9"/>
        <v>7 Years</v>
      </c>
      <c r="L591" s="3" cm="1">
        <f t="array" ref="L591">_xlfn.SWITCH(Table13_2[[#This Row],[Performance Score]],"A",6,"B",5,"C",4,"D",3,"E",2,"F",1)</f>
        <v>6</v>
      </c>
    </row>
    <row r="592" spans="1:12" x14ac:dyDescent="0.3">
      <c r="A592" t="s">
        <v>29</v>
      </c>
      <c r="B592">
        <v>40</v>
      </c>
      <c r="C592" s="1">
        <v>50742.574257425746</v>
      </c>
      <c r="D592" t="s">
        <v>12</v>
      </c>
      <c r="E592" t="s">
        <v>26</v>
      </c>
      <c r="F592" t="s">
        <v>14</v>
      </c>
      <c r="G592" s="2">
        <v>43881</v>
      </c>
      <c r="H592" t="s">
        <v>31</v>
      </c>
      <c r="I592" t="s">
        <v>39</v>
      </c>
      <c r="J592" t="s">
        <v>42</v>
      </c>
      <c r="K592" s="2" t="str">
        <f t="shared" ca="1" si="9"/>
        <v>5 Years</v>
      </c>
      <c r="L592" s="3" cm="1">
        <f t="array" ref="L592">_xlfn.SWITCH(Table13_2[[#This Row],[Performance Score]],"A",6,"B",5,"C",4,"D",3,"E",2,"F",1)</f>
        <v>6</v>
      </c>
    </row>
    <row r="593" spans="1:12" x14ac:dyDescent="0.3">
      <c r="A593" t="s">
        <v>18</v>
      </c>
      <c r="B593">
        <v>50</v>
      </c>
      <c r="C593" s="1">
        <v>65000</v>
      </c>
      <c r="D593" t="s">
        <v>12</v>
      </c>
      <c r="E593" t="s">
        <v>13</v>
      </c>
      <c r="F593" t="s">
        <v>41</v>
      </c>
      <c r="G593" s="2">
        <v>43845</v>
      </c>
      <c r="H593" t="s">
        <v>27</v>
      </c>
      <c r="I593" t="s">
        <v>23</v>
      </c>
      <c r="J593" t="s">
        <v>42</v>
      </c>
      <c r="K593" s="2" t="str">
        <f t="shared" ca="1" si="9"/>
        <v>5 Years</v>
      </c>
      <c r="L593" s="3" cm="1">
        <f t="array" ref="L593">_xlfn.SWITCH(Table13_2[[#This Row],[Performance Score]],"A",6,"B",5,"C",4,"D",3,"E",2,"F",1)</f>
        <v>4</v>
      </c>
    </row>
    <row r="594" spans="1:12" x14ac:dyDescent="0.3">
      <c r="A594" t="s">
        <v>36</v>
      </c>
      <c r="B594">
        <v>36</v>
      </c>
      <c r="C594" s="1">
        <v>55000</v>
      </c>
      <c r="D594" t="s">
        <v>12</v>
      </c>
      <c r="E594" t="s">
        <v>13</v>
      </c>
      <c r="F594" t="s">
        <v>40</v>
      </c>
      <c r="G594" s="2">
        <v>43549</v>
      </c>
      <c r="H594" t="s">
        <v>31</v>
      </c>
      <c r="I594" t="s">
        <v>32</v>
      </c>
      <c r="J594" t="s">
        <v>24</v>
      </c>
      <c r="K594" s="2" t="str">
        <f t="shared" ca="1" si="9"/>
        <v>6 Years</v>
      </c>
      <c r="L594" s="3" cm="1">
        <f t="array" ref="L594">_xlfn.SWITCH(Table13_2[[#This Row],[Performance Score]],"A",6,"B",5,"C",4,"D",3,"E",2,"F",1)</f>
        <v>6</v>
      </c>
    </row>
    <row r="595" spans="1:12" x14ac:dyDescent="0.3">
      <c r="A595" t="s">
        <v>36</v>
      </c>
      <c r="B595">
        <v>36</v>
      </c>
      <c r="C595" s="1">
        <v>50000</v>
      </c>
      <c r="D595" t="s">
        <v>12</v>
      </c>
      <c r="E595" t="s">
        <v>13</v>
      </c>
      <c r="F595" t="s">
        <v>40</v>
      </c>
      <c r="G595" s="2">
        <v>43881</v>
      </c>
      <c r="H595" t="s">
        <v>22</v>
      </c>
      <c r="I595" t="s">
        <v>32</v>
      </c>
      <c r="J595" t="s">
        <v>17</v>
      </c>
      <c r="K595" s="2" t="str">
        <f t="shared" ca="1" si="9"/>
        <v>5 Years</v>
      </c>
      <c r="L595" s="3" cm="1">
        <f t="array" ref="L595">_xlfn.SWITCH(Table13_2[[#This Row],[Performance Score]],"A",6,"B",5,"C",4,"D",3,"E",2,"F",1)</f>
        <v>1</v>
      </c>
    </row>
    <row r="596" spans="1:12" x14ac:dyDescent="0.3">
      <c r="A596" t="s">
        <v>18</v>
      </c>
      <c r="B596">
        <v>36</v>
      </c>
      <c r="C596" s="1">
        <v>55000</v>
      </c>
      <c r="D596" t="s">
        <v>34</v>
      </c>
      <c r="E596" t="s">
        <v>20</v>
      </c>
      <c r="F596" t="s">
        <v>40</v>
      </c>
      <c r="G596" s="2">
        <v>43845</v>
      </c>
      <c r="H596" t="s">
        <v>15</v>
      </c>
      <c r="I596" t="s">
        <v>16</v>
      </c>
      <c r="J596" t="s">
        <v>17</v>
      </c>
      <c r="K596" s="2" t="str">
        <f t="shared" ca="1" si="9"/>
        <v>5 Years</v>
      </c>
      <c r="L596" s="3" cm="1">
        <f t="array" ref="L596">_xlfn.SWITCH(Table13_2[[#This Row],[Performance Score]],"A",6,"B",5,"C",4,"D",3,"E",2,"F",1)</f>
        <v>3</v>
      </c>
    </row>
    <row r="597" spans="1:12" x14ac:dyDescent="0.3">
      <c r="A597" t="s">
        <v>46</v>
      </c>
      <c r="B597">
        <v>30</v>
      </c>
      <c r="C597" s="1">
        <v>48417.431192660551</v>
      </c>
      <c r="D597" t="s">
        <v>34</v>
      </c>
      <c r="E597" t="s">
        <v>20</v>
      </c>
      <c r="F597" t="s">
        <v>14</v>
      </c>
      <c r="G597" s="2">
        <v>43800</v>
      </c>
      <c r="H597" t="s">
        <v>22</v>
      </c>
      <c r="I597" t="s">
        <v>23</v>
      </c>
      <c r="J597" t="s">
        <v>42</v>
      </c>
      <c r="K597" s="2" t="str">
        <f t="shared" ca="1" si="9"/>
        <v>6 Years</v>
      </c>
      <c r="L597" s="3" cm="1">
        <f t="array" ref="L597">_xlfn.SWITCH(Table13_2[[#This Row],[Performance Score]],"A",6,"B",5,"C",4,"D",3,"E",2,"F",1)</f>
        <v>1</v>
      </c>
    </row>
    <row r="598" spans="1:12" x14ac:dyDescent="0.3">
      <c r="A598" t="s">
        <v>44</v>
      </c>
      <c r="B598">
        <v>36</v>
      </c>
      <c r="C598" s="1">
        <v>65000</v>
      </c>
      <c r="D598" t="s">
        <v>19</v>
      </c>
      <c r="E598" t="s">
        <v>30</v>
      </c>
      <c r="F598" t="s">
        <v>21</v>
      </c>
      <c r="G598" s="2">
        <v>43549</v>
      </c>
      <c r="H598" t="s">
        <v>31</v>
      </c>
      <c r="I598" t="s">
        <v>39</v>
      </c>
      <c r="J598" t="s">
        <v>28</v>
      </c>
      <c r="K598" s="2" t="str">
        <f t="shared" ca="1" si="9"/>
        <v>6 Years</v>
      </c>
      <c r="L598" s="3" cm="1">
        <f t="array" ref="L598">_xlfn.SWITCH(Table13_2[[#This Row],[Performance Score]],"A",6,"B",5,"C",4,"D",3,"E",2,"F",1)</f>
        <v>6</v>
      </c>
    </row>
    <row r="599" spans="1:12" x14ac:dyDescent="0.3">
      <c r="A599" t="s">
        <v>46</v>
      </c>
      <c r="B599">
        <v>35</v>
      </c>
      <c r="C599" s="1">
        <v>50777.202072538857</v>
      </c>
      <c r="D599" t="s">
        <v>34</v>
      </c>
      <c r="E599" t="s">
        <v>30</v>
      </c>
      <c r="F599" t="s">
        <v>41</v>
      </c>
      <c r="G599" s="2">
        <v>43800</v>
      </c>
      <c r="H599" t="s">
        <v>27</v>
      </c>
      <c r="I599" t="s">
        <v>39</v>
      </c>
      <c r="J599" t="s">
        <v>17</v>
      </c>
      <c r="K599" s="2" t="str">
        <f t="shared" ca="1" si="9"/>
        <v>6 Years</v>
      </c>
      <c r="L599" s="3" cm="1">
        <f t="array" ref="L599">_xlfn.SWITCH(Table13_2[[#This Row],[Performance Score]],"A",6,"B",5,"C",4,"D",3,"E",2,"F",1)</f>
        <v>4</v>
      </c>
    </row>
    <row r="600" spans="1:12" x14ac:dyDescent="0.3">
      <c r="A600" t="s">
        <v>45</v>
      </c>
      <c r="B600">
        <v>25</v>
      </c>
      <c r="C600" s="1">
        <v>65000</v>
      </c>
      <c r="D600" t="s">
        <v>34</v>
      </c>
      <c r="E600" t="s">
        <v>13</v>
      </c>
      <c r="F600" t="s">
        <v>40</v>
      </c>
      <c r="G600" s="2">
        <v>43845</v>
      </c>
      <c r="H600" t="s">
        <v>27</v>
      </c>
      <c r="I600" t="s">
        <v>16</v>
      </c>
      <c r="J600" t="s">
        <v>28</v>
      </c>
      <c r="K600" s="2" t="str">
        <f t="shared" ca="1" si="9"/>
        <v>5 Years</v>
      </c>
      <c r="L600" s="3" cm="1">
        <f t="array" ref="L600">_xlfn.SWITCH(Table13_2[[#This Row],[Performance Score]],"A",6,"B",5,"C",4,"D",3,"E",2,"F",1)</f>
        <v>4</v>
      </c>
    </row>
    <row r="601" spans="1:12" x14ac:dyDescent="0.3">
      <c r="A601" t="s">
        <v>45</v>
      </c>
      <c r="B601">
        <v>36</v>
      </c>
      <c r="C601" s="1">
        <v>70000</v>
      </c>
      <c r="D601" t="s">
        <v>12</v>
      </c>
      <c r="E601" t="s">
        <v>26</v>
      </c>
      <c r="F601" t="s">
        <v>41</v>
      </c>
      <c r="G601" s="2">
        <v>43800</v>
      </c>
      <c r="H601" t="s">
        <v>15</v>
      </c>
      <c r="I601" t="s">
        <v>39</v>
      </c>
      <c r="J601" t="s">
        <v>17</v>
      </c>
      <c r="K601" s="2" t="str">
        <f t="shared" ca="1" si="9"/>
        <v>6 Years</v>
      </c>
      <c r="L601" s="3" cm="1">
        <f t="array" ref="L601">_xlfn.SWITCH(Table13_2[[#This Row],[Performance Score]],"A",6,"B",5,"C",4,"D",3,"E",2,"F",1)</f>
        <v>3</v>
      </c>
    </row>
    <row r="602" spans="1:12" x14ac:dyDescent="0.3">
      <c r="A602" t="s">
        <v>29</v>
      </c>
      <c r="B602">
        <v>50</v>
      </c>
      <c r="C602" s="1">
        <v>65000</v>
      </c>
      <c r="D602" t="s">
        <v>12</v>
      </c>
      <c r="E602" t="s">
        <v>30</v>
      </c>
      <c r="F602" t="s">
        <v>14</v>
      </c>
      <c r="G602" s="2">
        <v>43845</v>
      </c>
      <c r="H602" t="s">
        <v>22</v>
      </c>
      <c r="I602" t="s">
        <v>39</v>
      </c>
      <c r="J602" t="s">
        <v>28</v>
      </c>
      <c r="K602" s="2" t="str">
        <f t="shared" ca="1" si="9"/>
        <v>5 Years</v>
      </c>
      <c r="L602" s="3" cm="1">
        <f t="array" ref="L602">_xlfn.SWITCH(Table13_2[[#This Row],[Performance Score]],"A",6,"B",5,"C",4,"D",3,"E",2,"F",1)</f>
        <v>1</v>
      </c>
    </row>
    <row r="603" spans="1:12" x14ac:dyDescent="0.3">
      <c r="A603" t="s">
        <v>43</v>
      </c>
      <c r="B603">
        <v>25</v>
      </c>
      <c r="C603" s="1">
        <v>60000</v>
      </c>
      <c r="D603" t="s">
        <v>34</v>
      </c>
      <c r="E603" t="s">
        <v>30</v>
      </c>
      <c r="F603" t="s">
        <v>21</v>
      </c>
      <c r="G603" s="2">
        <v>43845</v>
      </c>
      <c r="H603" t="s">
        <v>38</v>
      </c>
      <c r="I603" t="s">
        <v>32</v>
      </c>
      <c r="J603" t="s">
        <v>17</v>
      </c>
      <c r="K603" s="2" t="str">
        <f t="shared" ca="1" si="9"/>
        <v>5 Years</v>
      </c>
      <c r="L603" s="3" cm="1">
        <f t="array" ref="L603">_xlfn.SWITCH(Table13_2[[#This Row],[Performance Score]],"A",6,"B",5,"C",4,"D",3,"E",2,"F",1)</f>
        <v>5</v>
      </c>
    </row>
    <row r="604" spans="1:12" x14ac:dyDescent="0.3">
      <c r="A604" t="s">
        <v>43</v>
      </c>
      <c r="B604">
        <v>30</v>
      </c>
      <c r="C604" s="1">
        <v>48417.431192660551</v>
      </c>
      <c r="D604" t="s">
        <v>19</v>
      </c>
      <c r="E604" t="s">
        <v>20</v>
      </c>
      <c r="F604" t="s">
        <v>14</v>
      </c>
      <c r="G604" s="2">
        <v>43800</v>
      </c>
      <c r="H604" t="s">
        <v>22</v>
      </c>
      <c r="I604" t="s">
        <v>32</v>
      </c>
      <c r="J604" t="s">
        <v>28</v>
      </c>
      <c r="K604" s="2" t="str">
        <f t="shared" ca="1" si="9"/>
        <v>6 Years</v>
      </c>
      <c r="L604" s="3" cm="1">
        <f t="array" ref="L604">_xlfn.SWITCH(Table13_2[[#This Row],[Performance Score]],"A",6,"B",5,"C",4,"D",3,"E",2,"F",1)</f>
        <v>1</v>
      </c>
    </row>
    <row r="605" spans="1:12" x14ac:dyDescent="0.3">
      <c r="A605" t="s">
        <v>36</v>
      </c>
      <c r="B605">
        <v>50</v>
      </c>
      <c r="C605" s="1">
        <v>50000</v>
      </c>
      <c r="D605" t="s">
        <v>12</v>
      </c>
      <c r="E605" t="s">
        <v>26</v>
      </c>
      <c r="F605" t="s">
        <v>41</v>
      </c>
      <c r="G605" s="2">
        <v>43845</v>
      </c>
      <c r="H605" t="s">
        <v>31</v>
      </c>
      <c r="I605" t="s">
        <v>23</v>
      </c>
      <c r="J605" t="s">
        <v>28</v>
      </c>
      <c r="K605" s="2" t="str">
        <f t="shared" ca="1" si="9"/>
        <v>5 Years</v>
      </c>
      <c r="L605" s="3" cm="1">
        <f t="array" ref="L605">_xlfn.SWITCH(Table13_2[[#This Row],[Performance Score]],"A",6,"B",5,"C",4,"D",3,"E",2,"F",1)</f>
        <v>6</v>
      </c>
    </row>
    <row r="606" spans="1:12" x14ac:dyDescent="0.3">
      <c r="A606" t="s">
        <v>11</v>
      </c>
      <c r="B606">
        <v>25</v>
      </c>
      <c r="C606" s="1">
        <v>70000</v>
      </c>
      <c r="D606" t="s">
        <v>34</v>
      </c>
      <c r="E606" t="s">
        <v>13</v>
      </c>
      <c r="F606" t="s">
        <v>21</v>
      </c>
      <c r="G606" s="2">
        <v>43881</v>
      </c>
      <c r="H606" t="s">
        <v>38</v>
      </c>
      <c r="I606" t="s">
        <v>39</v>
      </c>
      <c r="J606" t="s">
        <v>28</v>
      </c>
      <c r="K606" s="2" t="str">
        <f t="shared" ca="1" si="9"/>
        <v>5 Years</v>
      </c>
      <c r="L606" s="3" cm="1">
        <f t="array" ref="L606">_xlfn.SWITCH(Table13_2[[#This Row],[Performance Score]],"A",6,"B",5,"C",4,"D",3,"E",2,"F",1)</f>
        <v>5</v>
      </c>
    </row>
    <row r="607" spans="1:12" x14ac:dyDescent="0.3">
      <c r="A607" t="s">
        <v>46</v>
      </c>
      <c r="B607">
        <v>50</v>
      </c>
      <c r="C607" s="1">
        <v>60000</v>
      </c>
      <c r="D607" t="s">
        <v>34</v>
      </c>
      <c r="E607" t="s">
        <v>30</v>
      </c>
      <c r="F607" t="s">
        <v>21</v>
      </c>
      <c r="G607" s="2">
        <v>43845</v>
      </c>
      <c r="H607" t="s">
        <v>27</v>
      </c>
      <c r="I607" t="s">
        <v>32</v>
      </c>
      <c r="J607" t="s">
        <v>28</v>
      </c>
      <c r="K607" s="2" t="str">
        <f t="shared" ca="1" si="9"/>
        <v>5 Years</v>
      </c>
      <c r="L607" s="3" cm="1">
        <f t="array" ref="L607">_xlfn.SWITCH(Table13_2[[#This Row],[Performance Score]],"A",6,"B",5,"C",4,"D",3,"E",2,"F",1)</f>
        <v>4</v>
      </c>
    </row>
    <row r="608" spans="1:12" x14ac:dyDescent="0.3">
      <c r="A608" t="s">
        <v>33</v>
      </c>
      <c r="B608">
        <v>30</v>
      </c>
      <c r="C608" s="1">
        <v>55000</v>
      </c>
      <c r="D608" t="s">
        <v>19</v>
      </c>
      <c r="E608" t="s">
        <v>26</v>
      </c>
      <c r="F608" t="s">
        <v>14</v>
      </c>
      <c r="G608" s="2">
        <v>43195</v>
      </c>
      <c r="H608" t="s">
        <v>15</v>
      </c>
      <c r="I608" t="s">
        <v>32</v>
      </c>
      <c r="J608" t="s">
        <v>24</v>
      </c>
      <c r="K608" s="2" t="str">
        <f t="shared" ca="1" si="9"/>
        <v>7 Years</v>
      </c>
      <c r="L608" s="3" cm="1">
        <f t="array" ref="L608">_xlfn.SWITCH(Table13_2[[#This Row],[Performance Score]],"A",6,"B",5,"C",4,"D",3,"E",2,"F",1)</f>
        <v>3</v>
      </c>
    </row>
    <row r="609" spans="1:12" x14ac:dyDescent="0.3">
      <c r="A609" t="s">
        <v>25</v>
      </c>
      <c r="B609">
        <v>35</v>
      </c>
      <c r="C609" s="1">
        <v>50742.574257425746</v>
      </c>
      <c r="D609" t="s">
        <v>19</v>
      </c>
      <c r="E609" t="s">
        <v>26</v>
      </c>
      <c r="F609" t="s">
        <v>40</v>
      </c>
      <c r="G609" s="2">
        <v>43845</v>
      </c>
      <c r="H609" t="s">
        <v>15</v>
      </c>
      <c r="I609" t="s">
        <v>23</v>
      </c>
      <c r="J609" t="s">
        <v>17</v>
      </c>
      <c r="K609" s="2" t="str">
        <f t="shared" ca="1" si="9"/>
        <v>5 Years</v>
      </c>
      <c r="L609" s="3" cm="1">
        <f t="array" ref="L609">_xlfn.SWITCH(Table13_2[[#This Row],[Performance Score]],"A",6,"B",5,"C",4,"D",3,"E",2,"F",1)</f>
        <v>3</v>
      </c>
    </row>
    <row r="610" spans="1:12" x14ac:dyDescent="0.3">
      <c r="A610" t="s">
        <v>43</v>
      </c>
      <c r="B610">
        <v>30</v>
      </c>
      <c r="C610" s="1">
        <v>50000</v>
      </c>
      <c r="D610" t="s">
        <v>12</v>
      </c>
      <c r="E610" t="s">
        <v>13</v>
      </c>
      <c r="F610" t="s">
        <v>41</v>
      </c>
      <c r="G610" s="2">
        <v>43195</v>
      </c>
      <c r="H610" t="s">
        <v>27</v>
      </c>
      <c r="I610" t="s">
        <v>39</v>
      </c>
      <c r="J610" t="s">
        <v>17</v>
      </c>
      <c r="K610" s="2" t="str">
        <f t="shared" ca="1" si="9"/>
        <v>7 Years</v>
      </c>
      <c r="L610" s="3" cm="1">
        <f t="array" ref="L610">_xlfn.SWITCH(Table13_2[[#This Row],[Performance Score]],"A",6,"B",5,"C",4,"D",3,"E",2,"F",1)</f>
        <v>4</v>
      </c>
    </row>
    <row r="611" spans="1:12" x14ac:dyDescent="0.3">
      <c r="A611" t="s">
        <v>25</v>
      </c>
      <c r="B611">
        <v>30</v>
      </c>
      <c r="C611" s="1">
        <v>65000</v>
      </c>
      <c r="D611" t="s">
        <v>19</v>
      </c>
      <c r="E611" t="s">
        <v>26</v>
      </c>
      <c r="F611" t="s">
        <v>37</v>
      </c>
      <c r="G611" s="2">
        <v>43845</v>
      </c>
      <c r="H611" t="s">
        <v>31</v>
      </c>
      <c r="I611" t="s">
        <v>32</v>
      </c>
      <c r="J611" t="s">
        <v>17</v>
      </c>
      <c r="K611" s="2" t="str">
        <f t="shared" ca="1" si="9"/>
        <v>5 Years</v>
      </c>
      <c r="L611" s="3" cm="1">
        <f t="array" ref="L611">_xlfn.SWITCH(Table13_2[[#This Row],[Performance Score]],"A",6,"B",5,"C",4,"D",3,"E",2,"F",1)</f>
        <v>6</v>
      </c>
    </row>
    <row r="612" spans="1:12" x14ac:dyDescent="0.3">
      <c r="A612" t="s">
        <v>29</v>
      </c>
      <c r="B612">
        <v>50</v>
      </c>
      <c r="C612" s="1">
        <v>50000</v>
      </c>
      <c r="D612" t="s">
        <v>34</v>
      </c>
      <c r="E612" t="s">
        <v>26</v>
      </c>
      <c r="F612" t="s">
        <v>37</v>
      </c>
      <c r="G612" s="2">
        <v>43845</v>
      </c>
      <c r="H612" t="s">
        <v>27</v>
      </c>
      <c r="I612" t="s">
        <v>16</v>
      </c>
      <c r="J612" t="s">
        <v>24</v>
      </c>
      <c r="K612" s="2" t="str">
        <f t="shared" ca="1" si="9"/>
        <v>5 Years</v>
      </c>
      <c r="L612" s="3" cm="1">
        <f t="array" ref="L612">_xlfn.SWITCH(Table13_2[[#This Row],[Performance Score]],"A",6,"B",5,"C",4,"D",3,"E",2,"F",1)</f>
        <v>4</v>
      </c>
    </row>
    <row r="613" spans="1:12" x14ac:dyDescent="0.3">
      <c r="A613" t="s">
        <v>25</v>
      </c>
      <c r="B613">
        <v>40</v>
      </c>
      <c r="C613" s="1">
        <v>55000</v>
      </c>
      <c r="D613" t="s">
        <v>34</v>
      </c>
      <c r="E613" t="s">
        <v>26</v>
      </c>
      <c r="F613" t="s">
        <v>14</v>
      </c>
      <c r="G613" s="2">
        <v>43800</v>
      </c>
      <c r="H613" t="s">
        <v>31</v>
      </c>
      <c r="I613" t="s">
        <v>16</v>
      </c>
      <c r="J613" t="s">
        <v>24</v>
      </c>
      <c r="K613" s="2" t="str">
        <f t="shared" ca="1" si="9"/>
        <v>6 Years</v>
      </c>
      <c r="L613" s="3" cm="1">
        <f t="array" ref="L613">_xlfn.SWITCH(Table13_2[[#This Row],[Performance Score]],"A",6,"B",5,"C",4,"D",3,"E",2,"F",1)</f>
        <v>6</v>
      </c>
    </row>
    <row r="614" spans="1:12" x14ac:dyDescent="0.3">
      <c r="A614" t="s">
        <v>33</v>
      </c>
      <c r="B614">
        <v>36</v>
      </c>
      <c r="C614" s="1">
        <v>70000</v>
      </c>
      <c r="D614" t="s">
        <v>19</v>
      </c>
      <c r="E614" t="s">
        <v>30</v>
      </c>
      <c r="F614" t="s">
        <v>41</v>
      </c>
      <c r="G614" s="2">
        <v>43881</v>
      </c>
      <c r="H614" t="s">
        <v>38</v>
      </c>
      <c r="I614" t="s">
        <v>39</v>
      </c>
      <c r="J614" t="s">
        <v>24</v>
      </c>
      <c r="K614" s="2" t="str">
        <f t="shared" ca="1" si="9"/>
        <v>5 Years</v>
      </c>
      <c r="L614" s="3" cm="1">
        <f t="array" ref="L614">_xlfn.SWITCH(Table13_2[[#This Row],[Performance Score]],"A",6,"B",5,"C",4,"D",3,"E",2,"F",1)</f>
        <v>5</v>
      </c>
    </row>
    <row r="615" spans="1:12" x14ac:dyDescent="0.3">
      <c r="A615" t="s">
        <v>18</v>
      </c>
      <c r="B615">
        <v>36</v>
      </c>
      <c r="C615" s="1">
        <v>70000</v>
      </c>
      <c r="D615" t="s">
        <v>19</v>
      </c>
      <c r="E615" t="s">
        <v>13</v>
      </c>
      <c r="F615" t="s">
        <v>41</v>
      </c>
      <c r="G615" s="2">
        <v>43881</v>
      </c>
      <c r="H615" t="s">
        <v>27</v>
      </c>
      <c r="I615" t="s">
        <v>39</v>
      </c>
      <c r="J615" t="s">
        <v>24</v>
      </c>
      <c r="K615" s="2" t="str">
        <f t="shared" ca="1" si="9"/>
        <v>5 Years</v>
      </c>
      <c r="L615" s="3" cm="1">
        <f t="array" ref="L615">_xlfn.SWITCH(Table13_2[[#This Row],[Performance Score]],"A",6,"B",5,"C",4,"D",3,"E",2,"F",1)</f>
        <v>4</v>
      </c>
    </row>
    <row r="616" spans="1:12" x14ac:dyDescent="0.3">
      <c r="A616" t="s">
        <v>33</v>
      </c>
      <c r="B616">
        <v>35</v>
      </c>
      <c r="C616" s="1">
        <v>50742.574257425746</v>
      </c>
      <c r="D616" t="s">
        <v>19</v>
      </c>
      <c r="E616" t="s">
        <v>26</v>
      </c>
      <c r="F616" t="s">
        <v>14</v>
      </c>
      <c r="G616" s="2">
        <v>43549</v>
      </c>
      <c r="H616" t="s">
        <v>31</v>
      </c>
      <c r="I616" t="s">
        <v>23</v>
      </c>
      <c r="J616" t="s">
        <v>28</v>
      </c>
      <c r="K616" s="2" t="str">
        <f t="shared" ca="1" si="9"/>
        <v>6 Years</v>
      </c>
      <c r="L616" s="3" cm="1">
        <f t="array" ref="L616">_xlfn.SWITCH(Table13_2[[#This Row],[Performance Score]],"A",6,"B",5,"C",4,"D",3,"E",2,"F",1)</f>
        <v>6</v>
      </c>
    </row>
    <row r="617" spans="1:12" x14ac:dyDescent="0.3">
      <c r="A617" t="s">
        <v>25</v>
      </c>
      <c r="B617">
        <v>35</v>
      </c>
      <c r="C617" s="1">
        <v>70000</v>
      </c>
      <c r="D617" t="s">
        <v>19</v>
      </c>
      <c r="E617" t="s">
        <v>26</v>
      </c>
      <c r="F617" t="s">
        <v>41</v>
      </c>
      <c r="G617" s="2">
        <v>43800</v>
      </c>
      <c r="H617" t="s">
        <v>38</v>
      </c>
      <c r="I617" t="s">
        <v>16</v>
      </c>
      <c r="J617" t="s">
        <v>17</v>
      </c>
      <c r="K617" s="2" t="str">
        <f t="shared" ca="1" si="9"/>
        <v>6 Years</v>
      </c>
      <c r="L617" s="3" cm="1">
        <f t="array" ref="L617">_xlfn.SWITCH(Table13_2[[#This Row],[Performance Score]],"A",6,"B",5,"C",4,"D",3,"E",2,"F",1)</f>
        <v>5</v>
      </c>
    </row>
    <row r="618" spans="1:12" x14ac:dyDescent="0.3">
      <c r="A618" t="s">
        <v>33</v>
      </c>
      <c r="B618">
        <v>36</v>
      </c>
      <c r="C618" s="1">
        <v>50777.202072538857</v>
      </c>
      <c r="D618" t="s">
        <v>12</v>
      </c>
      <c r="E618" t="s">
        <v>30</v>
      </c>
      <c r="F618" t="s">
        <v>40</v>
      </c>
      <c r="G618" s="2">
        <v>43800</v>
      </c>
      <c r="H618" t="s">
        <v>27</v>
      </c>
      <c r="I618" t="s">
        <v>16</v>
      </c>
      <c r="J618" t="s">
        <v>42</v>
      </c>
      <c r="K618" s="2" t="str">
        <f t="shared" ca="1" si="9"/>
        <v>6 Years</v>
      </c>
      <c r="L618" s="3" cm="1">
        <f t="array" ref="L618">_xlfn.SWITCH(Table13_2[[#This Row],[Performance Score]],"A",6,"B",5,"C",4,"D",3,"E",2,"F",1)</f>
        <v>4</v>
      </c>
    </row>
    <row r="619" spans="1:12" x14ac:dyDescent="0.3">
      <c r="A619" t="s">
        <v>44</v>
      </c>
      <c r="B619">
        <v>40</v>
      </c>
      <c r="C619" s="1">
        <v>51825</v>
      </c>
      <c r="D619" t="s">
        <v>19</v>
      </c>
      <c r="E619" t="s">
        <v>13</v>
      </c>
      <c r="F619" t="s">
        <v>14</v>
      </c>
      <c r="G619" s="2">
        <v>43881</v>
      </c>
      <c r="H619" t="s">
        <v>15</v>
      </c>
      <c r="I619" t="s">
        <v>39</v>
      </c>
      <c r="J619" t="s">
        <v>17</v>
      </c>
      <c r="K619" s="2" t="str">
        <f t="shared" ca="1" si="9"/>
        <v>5 Years</v>
      </c>
      <c r="L619" s="3" cm="1">
        <f t="array" ref="L619">_xlfn.SWITCH(Table13_2[[#This Row],[Performance Score]],"A",6,"B",5,"C",4,"D",3,"E",2,"F",1)</f>
        <v>3</v>
      </c>
    </row>
    <row r="620" spans="1:12" x14ac:dyDescent="0.3">
      <c r="A620" t="s">
        <v>29</v>
      </c>
      <c r="B620">
        <v>36</v>
      </c>
      <c r="C620" s="1">
        <v>48417.431192660551</v>
      </c>
      <c r="D620" t="s">
        <v>12</v>
      </c>
      <c r="E620" t="s">
        <v>20</v>
      </c>
      <c r="F620" t="s">
        <v>40</v>
      </c>
      <c r="G620" s="2">
        <v>43800</v>
      </c>
      <c r="H620" t="s">
        <v>27</v>
      </c>
      <c r="I620" t="s">
        <v>39</v>
      </c>
      <c r="J620" t="s">
        <v>24</v>
      </c>
      <c r="K620" s="2" t="str">
        <f t="shared" ca="1" si="9"/>
        <v>6 Years</v>
      </c>
      <c r="L620" s="3" cm="1">
        <f t="array" ref="L620">_xlfn.SWITCH(Table13_2[[#This Row],[Performance Score]],"A",6,"B",5,"C",4,"D",3,"E",2,"F",1)</f>
        <v>4</v>
      </c>
    </row>
    <row r="621" spans="1:12" x14ac:dyDescent="0.3">
      <c r="A621" t="s">
        <v>46</v>
      </c>
      <c r="B621">
        <v>40</v>
      </c>
      <c r="C621" s="1">
        <v>65000</v>
      </c>
      <c r="D621" t="s">
        <v>34</v>
      </c>
      <c r="E621" t="s">
        <v>30</v>
      </c>
      <c r="F621" t="s">
        <v>41</v>
      </c>
      <c r="G621" s="2">
        <v>43881</v>
      </c>
      <c r="H621" t="s">
        <v>22</v>
      </c>
      <c r="I621" t="s">
        <v>39</v>
      </c>
      <c r="J621" t="s">
        <v>17</v>
      </c>
      <c r="K621" s="2" t="str">
        <f t="shared" ca="1" si="9"/>
        <v>5 Years</v>
      </c>
      <c r="L621" s="3" cm="1">
        <f t="array" ref="L621">_xlfn.SWITCH(Table13_2[[#This Row],[Performance Score]],"A",6,"B",5,"C",4,"D",3,"E",2,"F",1)</f>
        <v>1</v>
      </c>
    </row>
    <row r="622" spans="1:12" x14ac:dyDescent="0.3">
      <c r="A622" t="s">
        <v>18</v>
      </c>
      <c r="B622">
        <v>35</v>
      </c>
      <c r="C622" s="1">
        <v>60000</v>
      </c>
      <c r="D622" t="s">
        <v>19</v>
      </c>
      <c r="E622" t="s">
        <v>13</v>
      </c>
      <c r="F622" t="s">
        <v>14</v>
      </c>
      <c r="G622" s="2">
        <v>43800</v>
      </c>
      <c r="H622" t="s">
        <v>27</v>
      </c>
      <c r="I622" t="s">
        <v>39</v>
      </c>
      <c r="J622" t="s">
        <v>24</v>
      </c>
      <c r="K622" s="2" t="str">
        <f t="shared" ca="1" si="9"/>
        <v>6 Years</v>
      </c>
      <c r="L622" s="3" cm="1">
        <f t="array" ref="L622">_xlfn.SWITCH(Table13_2[[#This Row],[Performance Score]],"A",6,"B",5,"C",4,"D",3,"E",2,"F",1)</f>
        <v>4</v>
      </c>
    </row>
    <row r="623" spans="1:12" x14ac:dyDescent="0.3">
      <c r="A623" t="s">
        <v>43</v>
      </c>
      <c r="B623">
        <v>25</v>
      </c>
      <c r="C623" s="1">
        <v>50742.574257425746</v>
      </c>
      <c r="D623" t="s">
        <v>12</v>
      </c>
      <c r="E623" t="s">
        <v>26</v>
      </c>
      <c r="F623" t="s">
        <v>41</v>
      </c>
      <c r="G623" s="2">
        <v>43845</v>
      </c>
      <c r="H623" t="s">
        <v>22</v>
      </c>
      <c r="I623" t="s">
        <v>16</v>
      </c>
      <c r="J623" t="s">
        <v>24</v>
      </c>
      <c r="K623" s="2" t="str">
        <f t="shared" ca="1" si="9"/>
        <v>5 Years</v>
      </c>
      <c r="L623" s="3" cm="1">
        <f t="array" ref="L623">_xlfn.SWITCH(Table13_2[[#This Row],[Performance Score]],"A",6,"B",5,"C",4,"D",3,"E",2,"F",1)</f>
        <v>1</v>
      </c>
    </row>
    <row r="624" spans="1:12" x14ac:dyDescent="0.3">
      <c r="A624" t="s">
        <v>45</v>
      </c>
      <c r="B624">
        <v>50</v>
      </c>
      <c r="C624" s="1">
        <v>51825</v>
      </c>
      <c r="D624" t="s">
        <v>19</v>
      </c>
      <c r="E624" t="s">
        <v>13</v>
      </c>
      <c r="F624" t="s">
        <v>14</v>
      </c>
      <c r="G624" s="2">
        <v>43881</v>
      </c>
      <c r="H624" t="s">
        <v>38</v>
      </c>
      <c r="I624" t="s">
        <v>23</v>
      </c>
      <c r="J624" t="s">
        <v>24</v>
      </c>
      <c r="K624" s="2" t="str">
        <f t="shared" ca="1" si="9"/>
        <v>5 Years</v>
      </c>
      <c r="L624" s="3" cm="1">
        <f t="array" ref="L624">_xlfn.SWITCH(Table13_2[[#This Row],[Performance Score]],"A",6,"B",5,"C",4,"D",3,"E",2,"F",1)</f>
        <v>5</v>
      </c>
    </row>
    <row r="625" spans="1:12" x14ac:dyDescent="0.3">
      <c r="A625" t="s">
        <v>46</v>
      </c>
      <c r="B625">
        <v>35</v>
      </c>
      <c r="C625" s="1">
        <v>60000</v>
      </c>
      <c r="D625" t="s">
        <v>34</v>
      </c>
      <c r="E625" t="s">
        <v>13</v>
      </c>
      <c r="F625" t="s">
        <v>41</v>
      </c>
      <c r="G625" s="2">
        <v>43881</v>
      </c>
      <c r="H625" t="s">
        <v>27</v>
      </c>
      <c r="I625" t="s">
        <v>16</v>
      </c>
      <c r="J625" t="s">
        <v>24</v>
      </c>
      <c r="K625" s="2" t="str">
        <f t="shared" ca="1" si="9"/>
        <v>5 Years</v>
      </c>
      <c r="L625" s="3" cm="1">
        <f t="array" ref="L625">_xlfn.SWITCH(Table13_2[[#This Row],[Performance Score]],"A",6,"B",5,"C",4,"D",3,"E",2,"F",1)</f>
        <v>4</v>
      </c>
    </row>
    <row r="626" spans="1:12" x14ac:dyDescent="0.3">
      <c r="A626" t="s">
        <v>45</v>
      </c>
      <c r="B626">
        <v>35</v>
      </c>
      <c r="C626" s="1">
        <v>50000</v>
      </c>
      <c r="D626" t="s">
        <v>34</v>
      </c>
      <c r="E626" t="s">
        <v>13</v>
      </c>
      <c r="F626" t="s">
        <v>40</v>
      </c>
      <c r="G626" s="2">
        <v>43195</v>
      </c>
      <c r="H626" t="s">
        <v>38</v>
      </c>
      <c r="I626" t="s">
        <v>39</v>
      </c>
      <c r="J626" t="s">
        <v>24</v>
      </c>
      <c r="K626" s="2" t="str">
        <f t="shared" ca="1" si="9"/>
        <v>7 Years</v>
      </c>
      <c r="L626" s="3" cm="1">
        <f t="array" ref="L626">_xlfn.SWITCH(Table13_2[[#This Row],[Performance Score]],"A",6,"B",5,"C",4,"D",3,"E",2,"F",1)</f>
        <v>5</v>
      </c>
    </row>
    <row r="627" spans="1:12" x14ac:dyDescent="0.3">
      <c r="A627" t="s">
        <v>29</v>
      </c>
      <c r="B627">
        <v>30</v>
      </c>
      <c r="C627" s="1">
        <v>48417.431192660551</v>
      </c>
      <c r="D627" t="s">
        <v>34</v>
      </c>
      <c r="E627" t="s">
        <v>20</v>
      </c>
      <c r="F627" t="s">
        <v>40</v>
      </c>
      <c r="G627" s="2">
        <v>43800</v>
      </c>
      <c r="H627" t="s">
        <v>38</v>
      </c>
      <c r="I627" t="s">
        <v>16</v>
      </c>
      <c r="J627" t="s">
        <v>17</v>
      </c>
      <c r="K627" s="2" t="str">
        <f t="shared" ca="1" si="9"/>
        <v>6 Years</v>
      </c>
      <c r="L627" s="3" cm="1">
        <f t="array" ref="L627">_xlfn.SWITCH(Table13_2[[#This Row],[Performance Score]],"A",6,"B",5,"C",4,"D",3,"E",2,"F",1)</f>
        <v>5</v>
      </c>
    </row>
    <row r="628" spans="1:12" x14ac:dyDescent="0.3">
      <c r="A628" t="s">
        <v>18</v>
      </c>
      <c r="B628">
        <v>30</v>
      </c>
      <c r="C628" s="1">
        <v>65000</v>
      </c>
      <c r="D628" t="s">
        <v>19</v>
      </c>
      <c r="E628" t="s">
        <v>13</v>
      </c>
      <c r="F628" t="s">
        <v>41</v>
      </c>
      <c r="G628" s="2">
        <v>43800</v>
      </c>
      <c r="H628" t="s">
        <v>31</v>
      </c>
      <c r="I628" t="s">
        <v>23</v>
      </c>
      <c r="J628" t="s">
        <v>17</v>
      </c>
      <c r="K628" s="2" t="str">
        <f t="shared" ca="1" si="9"/>
        <v>6 Years</v>
      </c>
      <c r="L628" s="3" cm="1">
        <f t="array" ref="L628">_xlfn.SWITCH(Table13_2[[#This Row],[Performance Score]],"A",6,"B",5,"C",4,"D",3,"E",2,"F",1)</f>
        <v>6</v>
      </c>
    </row>
    <row r="629" spans="1:12" x14ac:dyDescent="0.3">
      <c r="A629" t="s">
        <v>36</v>
      </c>
      <c r="B629">
        <v>30</v>
      </c>
      <c r="C629" s="1">
        <v>70000</v>
      </c>
      <c r="D629" t="s">
        <v>19</v>
      </c>
      <c r="E629" t="s">
        <v>20</v>
      </c>
      <c r="F629" t="s">
        <v>14</v>
      </c>
      <c r="G629" s="2">
        <v>43881</v>
      </c>
      <c r="H629" t="s">
        <v>38</v>
      </c>
      <c r="I629" t="s">
        <v>32</v>
      </c>
      <c r="J629" t="s">
        <v>24</v>
      </c>
      <c r="K629" s="2" t="str">
        <f t="shared" ca="1" si="9"/>
        <v>5 Years</v>
      </c>
      <c r="L629" s="3" cm="1">
        <f t="array" ref="L629">_xlfn.SWITCH(Table13_2[[#This Row],[Performance Score]],"A",6,"B",5,"C",4,"D",3,"E",2,"F",1)</f>
        <v>5</v>
      </c>
    </row>
    <row r="630" spans="1:12" x14ac:dyDescent="0.3">
      <c r="A630" t="s">
        <v>43</v>
      </c>
      <c r="B630">
        <v>50</v>
      </c>
      <c r="C630" s="1">
        <v>70000</v>
      </c>
      <c r="D630" t="s">
        <v>12</v>
      </c>
      <c r="E630" t="s">
        <v>26</v>
      </c>
      <c r="F630" t="s">
        <v>37</v>
      </c>
      <c r="G630" s="2">
        <v>43845</v>
      </c>
      <c r="H630" t="s">
        <v>38</v>
      </c>
      <c r="I630" t="s">
        <v>16</v>
      </c>
      <c r="J630" t="s">
        <v>24</v>
      </c>
      <c r="K630" s="2" t="str">
        <f t="shared" ca="1" si="9"/>
        <v>5 Years</v>
      </c>
      <c r="L630" s="3" cm="1">
        <f t="array" ref="L630">_xlfn.SWITCH(Table13_2[[#This Row],[Performance Score]],"A",6,"B",5,"C",4,"D",3,"E",2,"F",1)</f>
        <v>5</v>
      </c>
    </row>
    <row r="631" spans="1:12" x14ac:dyDescent="0.3">
      <c r="A631" t="s">
        <v>44</v>
      </c>
      <c r="B631">
        <v>30</v>
      </c>
      <c r="C631" s="1">
        <v>55000</v>
      </c>
      <c r="D631" t="s">
        <v>34</v>
      </c>
      <c r="E631" t="s">
        <v>20</v>
      </c>
      <c r="F631" t="s">
        <v>40</v>
      </c>
      <c r="G631" s="2">
        <v>43845</v>
      </c>
      <c r="H631" t="s">
        <v>27</v>
      </c>
      <c r="I631" t="s">
        <v>39</v>
      </c>
      <c r="J631" t="s">
        <v>24</v>
      </c>
      <c r="K631" s="2" t="str">
        <f t="shared" ca="1" si="9"/>
        <v>5 Years</v>
      </c>
      <c r="L631" s="3" cm="1">
        <f t="array" ref="L631">_xlfn.SWITCH(Table13_2[[#This Row],[Performance Score]],"A",6,"B",5,"C",4,"D",3,"E",2,"F",1)</f>
        <v>4</v>
      </c>
    </row>
    <row r="632" spans="1:12" x14ac:dyDescent="0.3">
      <c r="A632" t="s">
        <v>36</v>
      </c>
      <c r="B632">
        <v>40</v>
      </c>
      <c r="C632" s="1">
        <v>55000</v>
      </c>
      <c r="D632" t="s">
        <v>19</v>
      </c>
      <c r="E632" t="s">
        <v>26</v>
      </c>
      <c r="F632" t="s">
        <v>40</v>
      </c>
      <c r="G632" s="2">
        <v>43845</v>
      </c>
      <c r="H632" t="s">
        <v>27</v>
      </c>
      <c r="I632" t="s">
        <v>32</v>
      </c>
      <c r="J632" t="s">
        <v>24</v>
      </c>
      <c r="K632" s="2" t="str">
        <f t="shared" ca="1" si="9"/>
        <v>5 Years</v>
      </c>
      <c r="L632" s="3" cm="1">
        <f t="array" ref="L632">_xlfn.SWITCH(Table13_2[[#This Row],[Performance Score]],"A",6,"B",5,"C",4,"D",3,"E",2,"F",1)</f>
        <v>4</v>
      </c>
    </row>
    <row r="633" spans="1:12" x14ac:dyDescent="0.3">
      <c r="A633" t="s">
        <v>29</v>
      </c>
      <c r="B633">
        <v>36</v>
      </c>
      <c r="C633" s="1">
        <v>70000</v>
      </c>
      <c r="D633" t="s">
        <v>34</v>
      </c>
      <c r="E633" t="s">
        <v>26</v>
      </c>
      <c r="F633" t="s">
        <v>37</v>
      </c>
      <c r="G633" s="2">
        <v>43800</v>
      </c>
      <c r="H633" t="s">
        <v>15</v>
      </c>
      <c r="I633" t="s">
        <v>39</v>
      </c>
      <c r="J633" t="s">
        <v>28</v>
      </c>
      <c r="K633" s="2" t="str">
        <f t="shared" ca="1" si="9"/>
        <v>6 Years</v>
      </c>
      <c r="L633" s="3" cm="1">
        <f t="array" ref="L633">_xlfn.SWITCH(Table13_2[[#This Row],[Performance Score]],"A",6,"B",5,"C",4,"D",3,"E",2,"F",1)</f>
        <v>3</v>
      </c>
    </row>
    <row r="634" spans="1:12" x14ac:dyDescent="0.3">
      <c r="A634" t="s">
        <v>46</v>
      </c>
      <c r="B634">
        <v>25</v>
      </c>
      <c r="C634" s="1">
        <v>70000</v>
      </c>
      <c r="D634" t="s">
        <v>34</v>
      </c>
      <c r="E634" t="s">
        <v>20</v>
      </c>
      <c r="F634" t="s">
        <v>41</v>
      </c>
      <c r="G634" s="2">
        <v>43195</v>
      </c>
      <c r="H634" t="s">
        <v>31</v>
      </c>
      <c r="I634" t="s">
        <v>39</v>
      </c>
      <c r="J634" t="s">
        <v>28</v>
      </c>
      <c r="K634" s="2" t="str">
        <f t="shared" ca="1" si="9"/>
        <v>7 Years</v>
      </c>
      <c r="L634" s="3" cm="1">
        <f t="array" ref="L634">_xlfn.SWITCH(Table13_2[[#This Row],[Performance Score]],"A",6,"B",5,"C",4,"D",3,"E",2,"F",1)</f>
        <v>6</v>
      </c>
    </row>
    <row r="635" spans="1:12" x14ac:dyDescent="0.3">
      <c r="A635" t="s">
        <v>44</v>
      </c>
      <c r="B635">
        <v>35</v>
      </c>
      <c r="C635" s="1">
        <v>65000</v>
      </c>
      <c r="D635" t="s">
        <v>12</v>
      </c>
      <c r="E635" t="s">
        <v>30</v>
      </c>
      <c r="F635" t="s">
        <v>14</v>
      </c>
      <c r="G635" s="2">
        <v>43881</v>
      </c>
      <c r="H635" t="s">
        <v>38</v>
      </c>
      <c r="I635" t="s">
        <v>39</v>
      </c>
      <c r="J635" t="s">
        <v>42</v>
      </c>
      <c r="K635" s="2" t="str">
        <f t="shared" ca="1" si="9"/>
        <v>5 Years</v>
      </c>
      <c r="L635" s="3" cm="1">
        <f t="array" ref="L635">_xlfn.SWITCH(Table13_2[[#This Row],[Performance Score]],"A",6,"B",5,"C",4,"D",3,"E",2,"F",1)</f>
        <v>5</v>
      </c>
    </row>
    <row r="636" spans="1:12" x14ac:dyDescent="0.3">
      <c r="A636" t="s">
        <v>33</v>
      </c>
      <c r="B636">
        <v>40</v>
      </c>
      <c r="C636" s="1">
        <v>60000</v>
      </c>
      <c r="D636" t="s">
        <v>12</v>
      </c>
      <c r="E636" t="s">
        <v>35</v>
      </c>
      <c r="F636" t="s">
        <v>41</v>
      </c>
      <c r="G636" s="2">
        <v>43549</v>
      </c>
      <c r="H636" t="s">
        <v>31</v>
      </c>
      <c r="I636" t="s">
        <v>16</v>
      </c>
      <c r="J636" t="s">
        <v>24</v>
      </c>
      <c r="K636" s="2" t="str">
        <f t="shared" ca="1" si="9"/>
        <v>6 Years</v>
      </c>
      <c r="L636" s="3" cm="1">
        <f t="array" ref="L636">_xlfn.SWITCH(Table13_2[[#This Row],[Performance Score]],"A",6,"B",5,"C",4,"D",3,"E",2,"F",1)</f>
        <v>6</v>
      </c>
    </row>
    <row r="637" spans="1:12" x14ac:dyDescent="0.3">
      <c r="A637" t="s">
        <v>25</v>
      </c>
      <c r="B637">
        <v>25</v>
      </c>
      <c r="C637" s="1">
        <v>55000</v>
      </c>
      <c r="D637" t="s">
        <v>12</v>
      </c>
      <c r="E637" t="s">
        <v>13</v>
      </c>
      <c r="F637" t="s">
        <v>21</v>
      </c>
      <c r="G637" s="2">
        <v>43195</v>
      </c>
      <c r="H637" t="s">
        <v>22</v>
      </c>
      <c r="I637" t="s">
        <v>39</v>
      </c>
      <c r="J637" t="s">
        <v>42</v>
      </c>
      <c r="K637" s="2" t="str">
        <f t="shared" ca="1" si="9"/>
        <v>7 Years</v>
      </c>
      <c r="L637" s="3" cm="1">
        <f t="array" ref="L637">_xlfn.SWITCH(Table13_2[[#This Row],[Performance Score]],"A",6,"B",5,"C",4,"D",3,"E",2,"F",1)</f>
        <v>1</v>
      </c>
    </row>
    <row r="638" spans="1:12" x14ac:dyDescent="0.3">
      <c r="A638" t="s">
        <v>44</v>
      </c>
      <c r="B638">
        <v>40</v>
      </c>
      <c r="C638" s="1">
        <v>60000</v>
      </c>
      <c r="D638" t="s">
        <v>12</v>
      </c>
      <c r="E638" t="s">
        <v>35</v>
      </c>
      <c r="F638" t="s">
        <v>40</v>
      </c>
      <c r="G638" s="2">
        <v>43549</v>
      </c>
      <c r="H638" t="s">
        <v>38</v>
      </c>
      <c r="I638" t="s">
        <v>32</v>
      </c>
      <c r="J638" t="s">
        <v>17</v>
      </c>
      <c r="K638" s="2" t="str">
        <f t="shared" ca="1" si="9"/>
        <v>6 Years</v>
      </c>
      <c r="L638" s="3" cm="1">
        <f t="array" ref="L638">_xlfn.SWITCH(Table13_2[[#This Row],[Performance Score]],"A",6,"B",5,"C",4,"D",3,"E",2,"F",1)</f>
        <v>5</v>
      </c>
    </row>
    <row r="639" spans="1:12" x14ac:dyDescent="0.3">
      <c r="A639" t="s">
        <v>29</v>
      </c>
      <c r="B639">
        <v>40</v>
      </c>
      <c r="C639" s="1">
        <v>65000</v>
      </c>
      <c r="D639" t="s">
        <v>34</v>
      </c>
      <c r="E639" t="s">
        <v>13</v>
      </c>
      <c r="F639" t="s">
        <v>21</v>
      </c>
      <c r="G639" s="2">
        <v>43195</v>
      </c>
      <c r="H639" t="s">
        <v>31</v>
      </c>
      <c r="I639" t="s">
        <v>23</v>
      </c>
      <c r="J639" t="s">
        <v>42</v>
      </c>
      <c r="K639" s="2" t="str">
        <f t="shared" ca="1" si="9"/>
        <v>7 Years</v>
      </c>
      <c r="L639" s="3" cm="1">
        <f t="array" ref="L639">_xlfn.SWITCH(Table13_2[[#This Row],[Performance Score]],"A",6,"B",5,"C",4,"D",3,"E",2,"F",1)</f>
        <v>6</v>
      </c>
    </row>
    <row r="640" spans="1:12" x14ac:dyDescent="0.3">
      <c r="A640" t="s">
        <v>11</v>
      </c>
      <c r="B640">
        <v>35</v>
      </c>
      <c r="C640" s="1">
        <v>70000</v>
      </c>
      <c r="D640" t="s">
        <v>12</v>
      </c>
      <c r="E640" t="s">
        <v>13</v>
      </c>
      <c r="F640" t="s">
        <v>40</v>
      </c>
      <c r="G640" s="2">
        <v>43845</v>
      </c>
      <c r="H640" t="s">
        <v>15</v>
      </c>
      <c r="I640" t="s">
        <v>39</v>
      </c>
      <c r="J640" t="s">
        <v>17</v>
      </c>
      <c r="K640" s="2" t="str">
        <f t="shared" ca="1" si="9"/>
        <v>5 Years</v>
      </c>
      <c r="L640" s="3" cm="1">
        <f t="array" ref="L640">_xlfn.SWITCH(Table13_2[[#This Row],[Performance Score]],"A",6,"B",5,"C",4,"D",3,"E",2,"F",1)</f>
        <v>3</v>
      </c>
    </row>
    <row r="641" spans="1:12" x14ac:dyDescent="0.3">
      <c r="A641" t="s">
        <v>25</v>
      </c>
      <c r="B641">
        <v>36</v>
      </c>
      <c r="C641" s="1">
        <v>50742.574257425746</v>
      </c>
      <c r="D641" t="s">
        <v>12</v>
      </c>
      <c r="E641" t="s">
        <v>26</v>
      </c>
      <c r="F641" t="s">
        <v>40</v>
      </c>
      <c r="G641" s="2">
        <v>43800</v>
      </c>
      <c r="H641" t="s">
        <v>15</v>
      </c>
      <c r="I641" t="s">
        <v>16</v>
      </c>
      <c r="J641" t="s">
        <v>28</v>
      </c>
      <c r="K641" s="2" t="str">
        <f t="shared" ca="1" si="9"/>
        <v>6 Years</v>
      </c>
      <c r="L641" s="3" cm="1">
        <f t="array" ref="L641">_xlfn.SWITCH(Table13_2[[#This Row],[Performance Score]],"A",6,"B",5,"C",4,"D",3,"E",2,"F",1)</f>
        <v>3</v>
      </c>
    </row>
    <row r="642" spans="1:12" x14ac:dyDescent="0.3">
      <c r="A642" t="s">
        <v>45</v>
      </c>
      <c r="B642">
        <v>30</v>
      </c>
      <c r="C642" s="1">
        <v>60000</v>
      </c>
      <c r="D642" t="s">
        <v>12</v>
      </c>
      <c r="E642" t="s">
        <v>13</v>
      </c>
      <c r="F642" t="s">
        <v>21</v>
      </c>
      <c r="G642" s="2">
        <v>43549</v>
      </c>
      <c r="H642" t="s">
        <v>38</v>
      </c>
      <c r="I642" t="s">
        <v>39</v>
      </c>
      <c r="J642" t="s">
        <v>28</v>
      </c>
      <c r="K642" s="2" t="str">
        <f t="shared" ca="1" si="9"/>
        <v>6 Years</v>
      </c>
      <c r="L642" s="3" cm="1">
        <f t="array" ref="L642">_xlfn.SWITCH(Table13_2[[#This Row],[Performance Score]],"A",6,"B",5,"C",4,"D",3,"E",2,"F",1)</f>
        <v>5</v>
      </c>
    </row>
    <row r="643" spans="1:12" x14ac:dyDescent="0.3">
      <c r="A643" t="s">
        <v>43</v>
      </c>
      <c r="B643">
        <v>50</v>
      </c>
      <c r="C643" s="1">
        <v>70000</v>
      </c>
      <c r="D643" t="s">
        <v>12</v>
      </c>
      <c r="E643" t="s">
        <v>13</v>
      </c>
      <c r="F643" t="s">
        <v>21</v>
      </c>
      <c r="G643" s="2">
        <v>43195</v>
      </c>
      <c r="H643" t="s">
        <v>22</v>
      </c>
      <c r="I643" t="s">
        <v>23</v>
      </c>
      <c r="J643" t="s">
        <v>24</v>
      </c>
      <c r="K643" s="2" t="str">
        <f t="shared" ref="K643:K706" ca="1" si="10">DATEDIF(G643,TODAY(),"Y") &amp; " Years"</f>
        <v>7 Years</v>
      </c>
      <c r="L643" s="3" cm="1">
        <f t="array" ref="L643">_xlfn.SWITCH(Table13_2[[#This Row],[Performance Score]],"A",6,"B",5,"C",4,"D",3,"E",2,"F",1)</f>
        <v>1</v>
      </c>
    </row>
    <row r="644" spans="1:12" x14ac:dyDescent="0.3">
      <c r="A644" t="s">
        <v>45</v>
      </c>
      <c r="B644">
        <v>36</v>
      </c>
      <c r="C644" s="1">
        <v>70000</v>
      </c>
      <c r="D644" t="s">
        <v>34</v>
      </c>
      <c r="E644" t="s">
        <v>20</v>
      </c>
      <c r="F644" t="s">
        <v>41</v>
      </c>
      <c r="G644" s="2">
        <v>43800</v>
      </c>
      <c r="H644" t="s">
        <v>15</v>
      </c>
      <c r="I644" t="s">
        <v>32</v>
      </c>
      <c r="J644" t="s">
        <v>24</v>
      </c>
      <c r="K644" s="2" t="str">
        <f t="shared" ca="1" si="10"/>
        <v>6 Years</v>
      </c>
      <c r="L644" s="3" cm="1">
        <f t="array" ref="L644">_xlfn.SWITCH(Table13_2[[#This Row],[Performance Score]],"A",6,"B",5,"C",4,"D",3,"E",2,"F",1)</f>
        <v>3</v>
      </c>
    </row>
    <row r="645" spans="1:12" x14ac:dyDescent="0.3">
      <c r="A645" t="s">
        <v>44</v>
      </c>
      <c r="B645">
        <v>50</v>
      </c>
      <c r="C645" s="1">
        <v>50000</v>
      </c>
      <c r="D645" t="s">
        <v>12</v>
      </c>
      <c r="E645" t="s">
        <v>35</v>
      </c>
      <c r="F645" t="s">
        <v>21</v>
      </c>
      <c r="G645" s="2">
        <v>43549</v>
      </c>
      <c r="H645" t="s">
        <v>15</v>
      </c>
      <c r="I645" t="s">
        <v>39</v>
      </c>
      <c r="J645" t="s">
        <v>17</v>
      </c>
      <c r="K645" s="2" t="str">
        <f t="shared" ca="1" si="10"/>
        <v>6 Years</v>
      </c>
      <c r="L645" s="3" cm="1">
        <f t="array" ref="L645">_xlfn.SWITCH(Table13_2[[#This Row],[Performance Score]],"A",6,"B",5,"C",4,"D",3,"E",2,"F",1)</f>
        <v>3</v>
      </c>
    </row>
    <row r="646" spans="1:12" x14ac:dyDescent="0.3">
      <c r="A646" t="s">
        <v>45</v>
      </c>
      <c r="B646">
        <v>35</v>
      </c>
      <c r="C646" s="1">
        <v>60000</v>
      </c>
      <c r="D646" t="s">
        <v>34</v>
      </c>
      <c r="E646" t="s">
        <v>20</v>
      </c>
      <c r="F646" t="s">
        <v>41</v>
      </c>
      <c r="G646" s="2">
        <v>43881</v>
      </c>
      <c r="H646" t="s">
        <v>22</v>
      </c>
      <c r="I646" t="s">
        <v>39</v>
      </c>
      <c r="J646" t="s">
        <v>17</v>
      </c>
      <c r="K646" s="2" t="str">
        <f t="shared" ca="1" si="10"/>
        <v>5 Years</v>
      </c>
      <c r="L646" s="3" cm="1">
        <f t="array" ref="L646">_xlfn.SWITCH(Table13_2[[#This Row],[Performance Score]],"A",6,"B",5,"C",4,"D",3,"E",2,"F",1)</f>
        <v>1</v>
      </c>
    </row>
    <row r="647" spans="1:12" x14ac:dyDescent="0.3">
      <c r="A647" t="s">
        <v>29</v>
      </c>
      <c r="B647">
        <v>35</v>
      </c>
      <c r="C647" s="1">
        <v>51825</v>
      </c>
      <c r="D647" t="s">
        <v>19</v>
      </c>
      <c r="E647" t="s">
        <v>13</v>
      </c>
      <c r="F647" t="s">
        <v>41</v>
      </c>
      <c r="G647" s="2">
        <v>43195</v>
      </c>
      <c r="H647" t="s">
        <v>31</v>
      </c>
      <c r="I647" t="s">
        <v>23</v>
      </c>
      <c r="J647" t="s">
        <v>17</v>
      </c>
      <c r="K647" s="2" t="str">
        <f t="shared" ca="1" si="10"/>
        <v>7 Years</v>
      </c>
      <c r="L647" s="3" cm="1">
        <f t="array" ref="L647">_xlfn.SWITCH(Table13_2[[#This Row],[Performance Score]],"A",6,"B",5,"C",4,"D",3,"E",2,"F",1)</f>
        <v>6</v>
      </c>
    </row>
    <row r="648" spans="1:12" x14ac:dyDescent="0.3">
      <c r="A648" t="s">
        <v>33</v>
      </c>
      <c r="B648">
        <v>35</v>
      </c>
      <c r="C648" s="1">
        <v>60000</v>
      </c>
      <c r="D648" t="s">
        <v>34</v>
      </c>
      <c r="E648" t="s">
        <v>26</v>
      </c>
      <c r="F648" t="s">
        <v>41</v>
      </c>
      <c r="G648" s="2">
        <v>43881</v>
      </c>
      <c r="H648" t="s">
        <v>15</v>
      </c>
      <c r="I648" t="s">
        <v>16</v>
      </c>
      <c r="J648" t="s">
        <v>24</v>
      </c>
      <c r="K648" s="2" t="str">
        <f t="shared" ca="1" si="10"/>
        <v>5 Years</v>
      </c>
      <c r="L648" s="3" cm="1">
        <f t="array" ref="L648">_xlfn.SWITCH(Table13_2[[#This Row],[Performance Score]],"A",6,"B",5,"C",4,"D",3,"E",2,"F",1)</f>
        <v>3</v>
      </c>
    </row>
    <row r="649" spans="1:12" x14ac:dyDescent="0.3">
      <c r="A649" t="s">
        <v>46</v>
      </c>
      <c r="B649">
        <v>25</v>
      </c>
      <c r="C649" s="1">
        <v>70000</v>
      </c>
      <c r="D649" t="s">
        <v>34</v>
      </c>
      <c r="E649" t="s">
        <v>20</v>
      </c>
      <c r="F649" t="s">
        <v>40</v>
      </c>
      <c r="G649" s="2">
        <v>43845</v>
      </c>
      <c r="H649" t="s">
        <v>27</v>
      </c>
      <c r="I649" t="s">
        <v>32</v>
      </c>
      <c r="J649" t="s">
        <v>24</v>
      </c>
      <c r="K649" s="2" t="str">
        <f t="shared" ca="1" si="10"/>
        <v>5 Years</v>
      </c>
      <c r="L649" s="3" cm="1">
        <f t="array" ref="L649">_xlfn.SWITCH(Table13_2[[#This Row],[Performance Score]],"A",6,"B",5,"C",4,"D",3,"E",2,"F",1)</f>
        <v>4</v>
      </c>
    </row>
    <row r="650" spans="1:12" x14ac:dyDescent="0.3">
      <c r="A650" t="s">
        <v>43</v>
      </c>
      <c r="B650">
        <v>50</v>
      </c>
      <c r="C650" s="1">
        <v>48417.431192660551</v>
      </c>
      <c r="D650" t="s">
        <v>12</v>
      </c>
      <c r="E650" t="s">
        <v>20</v>
      </c>
      <c r="F650" t="s">
        <v>40</v>
      </c>
      <c r="G650" s="2">
        <v>43881</v>
      </c>
      <c r="H650" t="s">
        <v>15</v>
      </c>
      <c r="I650" t="s">
        <v>23</v>
      </c>
      <c r="J650" t="s">
        <v>17</v>
      </c>
      <c r="K650" s="2" t="str">
        <f t="shared" ca="1" si="10"/>
        <v>5 Years</v>
      </c>
      <c r="L650" s="3" cm="1">
        <f t="array" ref="L650">_xlfn.SWITCH(Table13_2[[#This Row],[Performance Score]],"A",6,"B",5,"C",4,"D",3,"E",2,"F",1)</f>
        <v>3</v>
      </c>
    </row>
    <row r="651" spans="1:12" x14ac:dyDescent="0.3">
      <c r="A651" t="s">
        <v>45</v>
      </c>
      <c r="B651">
        <v>36</v>
      </c>
      <c r="C651" s="1">
        <v>65000</v>
      </c>
      <c r="D651" t="s">
        <v>19</v>
      </c>
      <c r="E651" t="s">
        <v>30</v>
      </c>
      <c r="F651" t="s">
        <v>21</v>
      </c>
      <c r="G651" s="2">
        <v>43881</v>
      </c>
      <c r="H651" t="s">
        <v>31</v>
      </c>
      <c r="I651" t="s">
        <v>39</v>
      </c>
      <c r="J651" t="s">
        <v>17</v>
      </c>
      <c r="K651" s="2" t="str">
        <f t="shared" ca="1" si="10"/>
        <v>5 Years</v>
      </c>
      <c r="L651" s="3" cm="1">
        <f t="array" ref="L651">_xlfn.SWITCH(Table13_2[[#This Row],[Performance Score]],"A",6,"B",5,"C",4,"D",3,"E",2,"F",1)</f>
        <v>6</v>
      </c>
    </row>
    <row r="652" spans="1:12" x14ac:dyDescent="0.3">
      <c r="A652" t="s">
        <v>45</v>
      </c>
      <c r="B652">
        <v>36</v>
      </c>
      <c r="C652" s="1">
        <v>50000</v>
      </c>
      <c r="D652" t="s">
        <v>19</v>
      </c>
      <c r="E652" t="s">
        <v>13</v>
      </c>
      <c r="F652" t="s">
        <v>40</v>
      </c>
      <c r="G652" s="2">
        <v>43195</v>
      </c>
      <c r="H652" t="s">
        <v>31</v>
      </c>
      <c r="I652" t="s">
        <v>32</v>
      </c>
      <c r="J652" t="s">
        <v>17</v>
      </c>
      <c r="K652" s="2" t="str">
        <f t="shared" ca="1" si="10"/>
        <v>7 Years</v>
      </c>
      <c r="L652" s="3" cm="1">
        <f t="array" ref="L652">_xlfn.SWITCH(Table13_2[[#This Row],[Performance Score]],"A",6,"B",5,"C",4,"D",3,"E",2,"F",1)</f>
        <v>6</v>
      </c>
    </row>
    <row r="653" spans="1:12" x14ac:dyDescent="0.3">
      <c r="A653" t="s">
        <v>44</v>
      </c>
      <c r="B653">
        <v>40</v>
      </c>
      <c r="C653" s="1">
        <v>70000</v>
      </c>
      <c r="D653" t="s">
        <v>19</v>
      </c>
      <c r="E653" t="s">
        <v>26</v>
      </c>
      <c r="F653" t="s">
        <v>21</v>
      </c>
      <c r="G653" s="2">
        <v>43845</v>
      </c>
      <c r="H653" t="s">
        <v>38</v>
      </c>
      <c r="I653" t="s">
        <v>39</v>
      </c>
      <c r="J653" t="s">
        <v>28</v>
      </c>
      <c r="K653" s="2" t="str">
        <f t="shared" ca="1" si="10"/>
        <v>5 Years</v>
      </c>
      <c r="L653" s="3" cm="1">
        <f t="array" ref="L653">_xlfn.SWITCH(Table13_2[[#This Row],[Performance Score]],"A",6,"B",5,"C",4,"D",3,"E",2,"F",1)</f>
        <v>5</v>
      </c>
    </row>
    <row r="654" spans="1:12" x14ac:dyDescent="0.3">
      <c r="A654" t="s">
        <v>46</v>
      </c>
      <c r="B654">
        <v>40</v>
      </c>
      <c r="C654" s="1">
        <v>55000</v>
      </c>
      <c r="D654" t="s">
        <v>19</v>
      </c>
      <c r="E654" t="s">
        <v>20</v>
      </c>
      <c r="F654" t="s">
        <v>40</v>
      </c>
      <c r="G654" s="2">
        <v>43881</v>
      </c>
      <c r="H654" t="s">
        <v>27</v>
      </c>
      <c r="I654" t="s">
        <v>23</v>
      </c>
      <c r="J654" t="s">
        <v>42</v>
      </c>
      <c r="K654" s="2" t="str">
        <f t="shared" ca="1" si="10"/>
        <v>5 Years</v>
      </c>
      <c r="L654" s="3" cm="1">
        <f t="array" ref="L654">_xlfn.SWITCH(Table13_2[[#This Row],[Performance Score]],"A",6,"B",5,"C",4,"D",3,"E",2,"F",1)</f>
        <v>4</v>
      </c>
    </row>
    <row r="655" spans="1:12" x14ac:dyDescent="0.3">
      <c r="A655" t="s">
        <v>36</v>
      </c>
      <c r="B655">
        <v>40</v>
      </c>
      <c r="C655" s="1">
        <v>55000</v>
      </c>
      <c r="D655" t="s">
        <v>34</v>
      </c>
      <c r="E655" t="s">
        <v>20</v>
      </c>
      <c r="F655" t="s">
        <v>14</v>
      </c>
      <c r="G655" s="2">
        <v>43800</v>
      </c>
      <c r="H655" t="s">
        <v>31</v>
      </c>
      <c r="I655" t="s">
        <v>39</v>
      </c>
      <c r="J655" t="s">
        <v>42</v>
      </c>
      <c r="K655" s="2" t="str">
        <f t="shared" ca="1" si="10"/>
        <v>6 Years</v>
      </c>
      <c r="L655" s="3" cm="1">
        <f t="array" ref="L655">_xlfn.SWITCH(Table13_2[[#This Row],[Performance Score]],"A",6,"B",5,"C",4,"D",3,"E",2,"F",1)</f>
        <v>6</v>
      </c>
    </row>
    <row r="656" spans="1:12" x14ac:dyDescent="0.3">
      <c r="A656" t="s">
        <v>45</v>
      </c>
      <c r="B656">
        <v>35</v>
      </c>
      <c r="C656" s="1">
        <v>50000</v>
      </c>
      <c r="D656" t="s">
        <v>19</v>
      </c>
      <c r="E656" t="s">
        <v>26</v>
      </c>
      <c r="F656" t="s">
        <v>14</v>
      </c>
      <c r="G656" s="2">
        <v>43549</v>
      </c>
      <c r="H656" t="s">
        <v>22</v>
      </c>
      <c r="I656" t="s">
        <v>39</v>
      </c>
      <c r="J656" t="s">
        <v>24</v>
      </c>
      <c r="K656" s="2" t="str">
        <f t="shared" ca="1" si="10"/>
        <v>6 Years</v>
      </c>
      <c r="L656" s="3" cm="1">
        <f t="array" ref="L656">_xlfn.SWITCH(Table13_2[[#This Row],[Performance Score]],"A",6,"B",5,"C",4,"D",3,"E",2,"F",1)</f>
        <v>1</v>
      </c>
    </row>
    <row r="657" spans="1:12" x14ac:dyDescent="0.3">
      <c r="A657" t="s">
        <v>29</v>
      </c>
      <c r="B657">
        <v>36</v>
      </c>
      <c r="C657" s="1">
        <v>65000</v>
      </c>
      <c r="D657" t="s">
        <v>34</v>
      </c>
      <c r="E657" t="s">
        <v>13</v>
      </c>
      <c r="F657" t="s">
        <v>21</v>
      </c>
      <c r="G657" s="2">
        <v>43881</v>
      </c>
      <c r="H657" t="s">
        <v>27</v>
      </c>
      <c r="I657" t="s">
        <v>39</v>
      </c>
      <c r="J657" t="s">
        <v>28</v>
      </c>
      <c r="K657" s="2" t="str">
        <f t="shared" ca="1" si="10"/>
        <v>5 Years</v>
      </c>
      <c r="L657" s="3" cm="1">
        <f t="array" ref="L657">_xlfn.SWITCH(Table13_2[[#This Row],[Performance Score]],"A",6,"B",5,"C",4,"D",3,"E",2,"F",1)</f>
        <v>4</v>
      </c>
    </row>
    <row r="658" spans="1:12" x14ac:dyDescent="0.3">
      <c r="A658" t="s">
        <v>11</v>
      </c>
      <c r="B658">
        <v>50</v>
      </c>
      <c r="C658" s="1">
        <v>70000</v>
      </c>
      <c r="D658" t="s">
        <v>34</v>
      </c>
      <c r="E658" t="s">
        <v>30</v>
      </c>
      <c r="F658" t="s">
        <v>40</v>
      </c>
      <c r="G658" s="2">
        <v>43845</v>
      </c>
      <c r="H658" t="s">
        <v>27</v>
      </c>
      <c r="I658" t="s">
        <v>16</v>
      </c>
      <c r="J658" t="s">
        <v>17</v>
      </c>
      <c r="K658" s="2" t="str">
        <f t="shared" ca="1" si="10"/>
        <v>5 Years</v>
      </c>
      <c r="L658" s="3" cm="1">
        <f t="array" ref="L658">_xlfn.SWITCH(Table13_2[[#This Row],[Performance Score]],"A",6,"B",5,"C",4,"D",3,"E",2,"F",1)</f>
        <v>4</v>
      </c>
    </row>
    <row r="659" spans="1:12" x14ac:dyDescent="0.3">
      <c r="A659" t="s">
        <v>43</v>
      </c>
      <c r="B659">
        <v>35</v>
      </c>
      <c r="C659" s="1">
        <v>60000</v>
      </c>
      <c r="D659" t="s">
        <v>34</v>
      </c>
      <c r="E659" t="s">
        <v>20</v>
      </c>
      <c r="F659" t="s">
        <v>40</v>
      </c>
      <c r="G659" s="2">
        <v>43881</v>
      </c>
      <c r="H659" t="s">
        <v>22</v>
      </c>
      <c r="I659" t="s">
        <v>39</v>
      </c>
      <c r="J659" t="s">
        <v>24</v>
      </c>
      <c r="K659" s="2" t="str">
        <f t="shared" ca="1" si="10"/>
        <v>5 Years</v>
      </c>
      <c r="L659" s="3" cm="1">
        <f t="array" ref="L659">_xlfn.SWITCH(Table13_2[[#This Row],[Performance Score]],"A",6,"B",5,"C",4,"D",3,"E",2,"F",1)</f>
        <v>1</v>
      </c>
    </row>
    <row r="660" spans="1:12" x14ac:dyDescent="0.3">
      <c r="A660" t="s">
        <v>45</v>
      </c>
      <c r="B660">
        <v>25</v>
      </c>
      <c r="C660" s="1">
        <v>50000</v>
      </c>
      <c r="D660" t="s">
        <v>19</v>
      </c>
      <c r="E660" t="s">
        <v>30</v>
      </c>
      <c r="F660" t="s">
        <v>41</v>
      </c>
      <c r="G660" s="2">
        <v>43549</v>
      </c>
      <c r="H660" t="s">
        <v>15</v>
      </c>
      <c r="I660" t="s">
        <v>39</v>
      </c>
      <c r="J660" t="s">
        <v>28</v>
      </c>
      <c r="K660" s="2" t="str">
        <f t="shared" ca="1" si="10"/>
        <v>6 Years</v>
      </c>
      <c r="L660" s="3" cm="1">
        <f t="array" ref="L660">_xlfn.SWITCH(Table13_2[[#This Row],[Performance Score]],"A",6,"B",5,"C",4,"D",3,"E",2,"F",1)</f>
        <v>3</v>
      </c>
    </row>
    <row r="661" spans="1:12" x14ac:dyDescent="0.3">
      <c r="A661" t="s">
        <v>29</v>
      </c>
      <c r="B661">
        <v>40</v>
      </c>
      <c r="C661" s="1">
        <v>65000</v>
      </c>
      <c r="D661" t="s">
        <v>12</v>
      </c>
      <c r="E661" t="s">
        <v>35</v>
      </c>
      <c r="F661" t="s">
        <v>37</v>
      </c>
      <c r="G661" s="2">
        <v>43845</v>
      </c>
      <c r="H661" t="s">
        <v>22</v>
      </c>
      <c r="I661" t="s">
        <v>39</v>
      </c>
      <c r="J661" t="s">
        <v>17</v>
      </c>
      <c r="K661" s="2" t="str">
        <f t="shared" ca="1" si="10"/>
        <v>5 Years</v>
      </c>
      <c r="L661" s="3" cm="1">
        <f t="array" ref="L661">_xlfn.SWITCH(Table13_2[[#This Row],[Performance Score]],"A",6,"B",5,"C",4,"D",3,"E",2,"F",1)</f>
        <v>1</v>
      </c>
    </row>
    <row r="662" spans="1:12" x14ac:dyDescent="0.3">
      <c r="A662" t="s">
        <v>29</v>
      </c>
      <c r="B662">
        <v>35</v>
      </c>
      <c r="C662" s="1">
        <v>60000</v>
      </c>
      <c r="D662" t="s">
        <v>12</v>
      </c>
      <c r="E662" t="s">
        <v>13</v>
      </c>
      <c r="F662" t="s">
        <v>21</v>
      </c>
      <c r="G662" s="2">
        <v>43195</v>
      </c>
      <c r="H662" t="s">
        <v>22</v>
      </c>
      <c r="I662" t="s">
        <v>32</v>
      </c>
      <c r="J662" t="s">
        <v>28</v>
      </c>
      <c r="K662" s="2" t="str">
        <f t="shared" ca="1" si="10"/>
        <v>7 Years</v>
      </c>
      <c r="L662" s="3" cm="1">
        <f t="array" ref="L662">_xlfn.SWITCH(Table13_2[[#This Row],[Performance Score]],"A",6,"B",5,"C",4,"D",3,"E",2,"F",1)</f>
        <v>1</v>
      </c>
    </row>
    <row r="663" spans="1:12" x14ac:dyDescent="0.3">
      <c r="A663" t="s">
        <v>43</v>
      </c>
      <c r="B663">
        <v>35</v>
      </c>
      <c r="C663" s="1">
        <v>55000</v>
      </c>
      <c r="D663" t="s">
        <v>19</v>
      </c>
      <c r="E663" t="s">
        <v>35</v>
      </c>
      <c r="F663" t="s">
        <v>37</v>
      </c>
      <c r="G663" s="2">
        <v>43845</v>
      </c>
      <c r="H663" t="s">
        <v>15</v>
      </c>
      <c r="I663" t="s">
        <v>39</v>
      </c>
      <c r="J663" t="s">
        <v>24</v>
      </c>
      <c r="K663" s="2" t="str">
        <f t="shared" ca="1" si="10"/>
        <v>5 Years</v>
      </c>
      <c r="L663" s="3" cm="1">
        <f t="array" ref="L663">_xlfn.SWITCH(Table13_2[[#This Row],[Performance Score]],"A",6,"B",5,"C",4,"D",3,"E",2,"F",1)</f>
        <v>3</v>
      </c>
    </row>
    <row r="664" spans="1:12" x14ac:dyDescent="0.3">
      <c r="A664" t="s">
        <v>36</v>
      </c>
      <c r="B664">
        <v>25</v>
      </c>
      <c r="C664" s="1">
        <v>55000</v>
      </c>
      <c r="D664" t="s">
        <v>12</v>
      </c>
      <c r="E664" t="s">
        <v>35</v>
      </c>
      <c r="F664" t="s">
        <v>37</v>
      </c>
      <c r="G664" s="2">
        <v>43195</v>
      </c>
      <c r="H664" t="s">
        <v>15</v>
      </c>
      <c r="I664" t="s">
        <v>39</v>
      </c>
      <c r="J664" t="s">
        <v>42</v>
      </c>
      <c r="K664" s="2" t="str">
        <f t="shared" ca="1" si="10"/>
        <v>7 Years</v>
      </c>
      <c r="L664" s="3" cm="1">
        <f t="array" ref="L664">_xlfn.SWITCH(Table13_2[[#This Row],[Performance Score]],"A",6,"B",5,"C",4,"D",3,"E",2,"F",1)</f>
        <v>3</v>
      </c>
    </row>
    <row r="665" spans="1:12" x14ac:dyDescent="0.3">
      <c r="A665" t="s">
        <v>29</v>
      </c>
      <c r="B665">
        <v>30</v>
      </c>
      <c r="C665" s="1">
        <v>60000</v>
      </c>
      <c r="D665" t="s">
        <v>12</v>
      </c>
      <c r="E665" t="s">
        <v>35</v>
      </c>
      <c r="F665" t="s">
        <v>21</v>
      </c>
      <c r="G665" s="2">
        <v>43845</v>
      </c>
      <c r="H665" t="s">
        <v>15</v>
      </c>
      <c r="I665" t="s">
        <v>23</v>
      </c>
      <c r="J665" t="s">
        <v>17</v>
      </c>
      <c r="K665" s="2" t="str">
        <f t="shared" ca="1" si="10"/>
        <v>5 Years</v>
      </c>
      <c r="L665" s="3" cm="1">
        <f t="array" ref="L665">_xlfn.SWITCH(Table13_2[[#This Row],[Performance Score]],"A",6,"B",5,"C",4,"D",3,"E",2,"F",1)</f>
        <v>3</v>
      </c>
    </row>
    <row r="666" spans="1:12" x14ac:dyDescent="0.3">
      <c r="A666" t="s">
        <v>11</v>
      </c>
      <c r="B666">
        <v>36</v>
      </c>
      <c r="C666" s="1">
        <v>50000</v>
      </c>
      <c r="D666" t="s">
        <v>34</v>
      </c>
      <c r="E666" t="s">
        <v>13</v>
      </c>
      <c r="F666" t="s">
        <v>40</v>
      </c>
      <c r="G666" s="2">
        <v>43549</v>
      </c>
      <c r="H666" t="s">
        <v>15</v>
      </c>
      <c r="I666" t="s">
        <v>16</v>
      </c>
      <c r="J666" t="s">
        <v>17</v>
      </c>
      <c r="K666" s="2" t="str">
        <f t="shared" ca="1" si="10"/>
        <v>6 Years</v>
      </c>
      <c r="L666" s="3" cm="1">
        <f t="array" ref="L666">_xlfn.SWITCH(Table13_2[[#This Row],[Performance Score]],"A",6,"B",5,"C",4,"D",3,"E",2,"F",1)</f>
        <v>3</v>
      </c>
    </row>
    <row r="667" spans="1:12" x14ac:dyDescent="0.3">
      <c r="A667" t="s">
        <v>29</v>
      </c>
      <c r="B667">
        <v>50</v>
      </c>
      <c r="C667" s="1">
        <v>55000</v>
      </c>
      <c r="D667" t="s">
        <v>34</v>
      </c>
      <c r="E667" t="s">
        <v>13</v>
      </c>
      <c r="F667" t="s">
        <v>21</v>
      </c>
      <c r="G667" s="2">
        <v>43549</v>
      </c>
      <c r="H667" t="s">
        <v>15</v>
      </c>
      <c r="I667" t="s">
        <v>32</v>
      </c>
      <c r="J667" t="s">
        <v>28</v>
      </c>
      <c r="K667" s="2" t="str">
        <f t="shared" ca="1" si="10"/>
        <v>6 Years</v>
      </c>
      <c r="L667" s="3" cm="1">
        <f t="array" ref="L667">_xlfn.SWITCH(Table13_2[[#This Row],[Performance Score]],"A",6,"B",5,"C",4,"D",3,"E",2,"F",1)</f>
        <v>3</v>
      </c>
    </row>
    <row r="668" spans="1:12" x14ac:dyDescent="0.3">
      <c r="A668" t="s">
        <v>29</v>
      </c>
      <c r="B668">
        <v>30</v>
      </c>
      <c r="C668" s="1">
        <v>70000</v>
      </c>
      <c r="D668" t="s">
        <v>19</v>
      </c>
      <c r="E668" t="s">
        <v>26</v>
      </c>
      <c r="F668" t="s">
        <v>37</v>
      </c>
      <c r="G668" s="2">
        <v>43845</v>
      </c>
      <c r="H668" t="s">
        <v>22</v>
      </c>
      <c r="I668" t="s">
        <v>39</v>
      </c>
      <c r="J668" t="s">
        <v>24</v>
      </c>
      <c r="K668" s="2" t="str">
        <f t="shared" ca="1" si="10"/>
        <v>5 Years</v>
      </c>
      <c r="L668" s="3" cm="1">
        <f t="array" ref="L668">_xlfn.SWITCH(Table13_2[[#This Row],[Performance Score]],"A",6,"B",5,"C",4,"D",3,"E",2,"F",1)</f>
        <v>1</v>
      </c>
    </row>
    <row r="669" spans="1:12" x14ac:dyDescent="0.3">
      <c r="A669" t="s">
        <v>29</v>
      </c>
      <c r="B669">
        <v>40</v>
      </c>
      <c r="C669" s="1">
        <v>50777.202072538857</v>
      </c>
      <c r="D669" t="s">
        <v>19</v>
      </c>
      <c r="E669" t="s">
        <v>30</v>
      </c>
      <c r="F669" t="s">
        <v>40</v>
      </c>
      <c r="G669" s="2">
        <v>43881</v>
      </c>
      <c r="H669" t="s">
        <v>38</v>
      </c>
      <c r="I669" t="s">
        <v>23</v>
      </c>
      <c r="J669" t="s">
        <v>24</v>
      </c>
      <c r="K669" s="2" t="str">
        <f t="shared" ca="1" si="10"/>
        <v>5 Years</v>
      </c>
      <c r="L669" s="3" cm="1">
        <f t="array" ref="L669">_xlfn.SWITCH(Table13_2[[#This Row],[Performance Score]],"A",6,"B",5,"C",4,"D",3,"E",2,"F",1)</f>
        <v>5</v>
      </c>
    </row>
    <row r="670" spans="1:12" x14ac:dyDescent="0.3">
      <c r="A670" t="s">
        <v>33</v>
      </c>
      <c r="B670">
        <v>35</v>
      </c>
      <c r="C670" s="1">
        <v>60000</v>
      </c>
      <c r="D670" t="s">
        <v>12</v>
      </c>
      <c r="E670" t="s">
        <v>30</v>
      </c>
      <c r="F670" t="s">
        <v>14</v>
      </c>
      <c r="G670" s="2">
        <v>43549</v>
      </c>
      <c r="H670" t="s">
        <v>38</v>
      </c>
      <c r="I670" t="s">
        <v>16</v>
      </c>
      <c r="J670" t="s">
        <v>17</v>
      </c>
      <c r="K670" s="2" t="str">
        <f t="shared" ca="1" si="10"/>
        <v>6 Years</v>
      </c>
      <c r="L670" s="3" cm="1">
        <f t="array" ref="L670">_xlfn.SWITCH(Table13_2[[#This Row],[Performance Score]],"A",6,"B",5,"C",4,"D",3,"E",2,"F",1)</f>
        <v>5</v>
      </c>
    </row>
    <row r="671" spans="1:12" x14ac:dyDescent="0.3">
      <c r="A671" t="s">
        <v>33</v>
      </c>
      <c r="B671">
        <v>25</v>
      </c>
      <c r="C671" s="1">
        <v>60000</v>
      </c>
      <c r="D671" t="s">
        <v>34</v>
      </c>
      <c r="E671" t="s">
        <v>26</v>
      </c>
      <c r="F671" t="s">
        <v>21</v>
      </c>
      <c r="G671" s="2">
        <v>43195</v>
      </c>
      <c r="H671" t="s">
        <v>31</v>
      </c>
      <c r="I671" t="s">
        <v>32</v>
      </c>
      <c r="J671" t="s">
        <v>24</v>
      </c>
      <c r="K671" s="2" t="str">
        <f t="shared" ca="1" si="10"/>
        <v>7 Years</v>
      </c>
      <c r="L671" s="3" cm="1">
        <f t="array" ref="L671">_xlfn.SWITCH(Table13_2[[#This Row],[Performance Score]],"A",6,"B",5,"C",4,"D",3,"E",2,"F",1)</f>
        <v>6</v>
      </c>
    </row>
    <row r="672" spans="1:12" x14ac:dyDescent="0.3">
      <c r="A672" t="s">
        <v>36</v>
      </c>
      <c r="B672">
        <v>25</v>
      </c>
      <c r="C672" s="1">
        <v>55000</v>
      </c>
      <c r="D672" t="s">
        <v>19</v>
      </c>
      <c r="E672" t="s">
        <v>26</v>
      </c>
      <c r="F672" t="s">
        <v>21</v>
      </c>
      <c r="G672" s="2">
        <v>43195</v>
      </c>
      <c r="H672" t="s">
        <v>38</v>
      </c>
      <c r="I672" t="s">
        <v>32</v>
      </c>
      <c r="J672" t="s">
        <v>24</v>
      </c>
      <c r="K672" s="2" t="str">
        <f t="shared" ca="1" si="10"/>
        <v>7 Years</v>
      </c>
      <c r="L672" s="3" cm="1">
        <f t="array" ref="L672">_xlfn.SWITCH(Table13_2[[#This Row],[Performance Score]],"A",6,"B",5,"C",4,"D",3,"E",2,"F",1)</f>
        <v>5</v>
      </c>
    </row>
    <row r="673" spans="1:12" x14ac:dyDescent="0.3">
      <c r="A673" t="s">
        <v>45</v>
      </c>
      <c r="B673">
        <v>36</v>
      </c>
      <c r="C673" s="1">
        <v>50000</v>
      </c>
      <c r="D673" t="s">
        <v>19</v>
      </c>
      <c r="E673" t="s">
        <v>35</v>
      </c>
      <c r="F673" t="s">
        <v>40</v>
      </c>
      <c r="G673" s="2">
        <v>43800</v>
      </c>
      <c r="H673" t="s">
        <v>38</v>
      </c>
      <c r="I673" t="s">
        <v>39</v>
      </c>
      <c r="J673" t="s">
        <v>17</v>
      </c>
      <c r="K673" s="2" t="str">
        <f t="shared" ca="1" si="10"/>
        <v>6 Years</v>
      </c>
      <c r="L673" s="3" cm="1">
        <f t="array" ref="L673">_xlfn.SWITCH(Table13_2[[#This Row],[Performance Score]],"A",6,"B",5,"C",4,"D",3,"E",2,"F",1)</f>
        <v>5</v>
      </c>
    </row>
    <row r="674" spans="1:12" x14ac:dyDescent="0.3">
      <c r="A674" t="s">
        <v>29</v>
      </c>
      <c r="B674">
        <v>30</v>
      </c>
      <c r="C674" s="1">
        <v>70000</v>
      </c>
      <c r="D674" t="s">
        <v>19</v>
      </c>
      <c r="E674" t="s">
        <v>26</v>
      </c>
      <c r="F674" t="s">
        <v>14</v>
      </c>
      <c r="G674" s="2">
        <v>43195</v>
      </c>
      <c r="H674" t="s">
        <v>22</v>
      </c>
      <c r="I674" t="s">
        <v>32</v>
      </c>
      <c r="J674" t="s">
        <v>17</v>
      </c>
      <c r="K674" s="2" t="str">
        <f t="shared" ca="1" si="10"/>
        <v>7 Years</v>
      </c>
      <c r="L674" s="3" cm="1">
        <f t="array" ref="L674">_xlfn.SWITCH(Table13_2[[#This Row],[Performance Score]],"A",6,"B",5,"C",4,"D",3,"E",2,"F",1)</f>
        <v>1</v>
      </c>
    </row>
    <row r="675" spans="1:12" x14ac:dyDescent="0.3">
      <c r="A675" t="s">
        <v>46</v>
      </c>
      <c r="B675">
        <v>36</v>
      </c>
      <c r="C675" s="1">
        <v>50000</v>
      </c>
      <c r="D675" t="s">
        <v>19</v>
      </c>
      <c r="E675" t="s">
        <v>20</v>
      </c>
      <c r="F675" t="s">
        <v>14</v>
      </c>
      <c r="G675" s="2">
        <v>43800</v>
      </c>
      <c r="H675" t="s">
        <v>15</v>
      </c>
      <c r="I675" t="s">
        <v>23</v>
      </c>
      <c r="J675" t="s">
        <v>42</v>
      </c>
      <c r="K675" s="2" t="str">
        <f t="shared" ca="1" si="10"/>
        <v>6 Years</v>
      </c>
      <c r="L675" s="3" cm="1">
        <f t="array" ref="L675">_xlfn.SWITCH(Table13_2[[#This Row],[Performance Score]],"A",6,"B",5,"C",4,"D",3,"E",2,"F",1)</f>
        <v>3</v>
      </c>
    </row>
    <row r="676" spans="1:12" x14ac:dyDescent="0.3">
      <c r="A676" t="s">
        <v>45</v>
      </c>
      <c r="B676">
        <v>35</v>
      </c>
      <c r="C676" s="1">
        <v>65000</v>
      </c>
      <c r="D676" t="s">
        <v>19</v>
      </c>
      <c r="E676" t="s">
        <v>30</v>
      </c>
      <c r="F676" t="s">
        <v>40</v>
      </c>
      <c r="G676" s="2">
        <v>43845</v>
      </c>
      <c r="H676" t="s">
        <v>15</v>
      </c>
      <c r="I676" t="s">
        <v>32</v>
      </c>
      <c r="J676" t="s">
        <v>42</v>
      </c>
      <c r="K676" s="2" t="str">
        <f t="shared" ca="1" si="10"/>
        <v>5 Years</v>
      </c>
      <c r="L676" s="3" cm="1">
        <f t="array" ref="L676">_xlfn.SWITCH(Table13_2[[#This Row],[Performance Score]],"A",6,"B",5,"C",4,"D",3,"E",2,"F",1)</f>
        <v>3</v>
      </c>
    </row>
    <row r="677" spans="1:12" x14ac:dyDescent="0.3">
      <c r="A677" t="s">
        <v>36</v>
      </c>
      <c r="B677">
        <v>36</v>
      </c>
      <c r="C677" s="1">
        <v>65000</v>
      </c>
      <c r="D677" t="s">
        <v>19</v>
      </c>
      <c r="E677" t="s">
        <v>26</v>
      </c>
      <c r="F677" t="s">
        <v>41</v>
      </c>
      <c r="G677" s="2">
        <v>43845</v>
      </c>
      <c r="H677" t="s">
        <v>22</v>
      </c>
      <c r="I677" t="s">
        <v>39</v>
      </c>
      <c r="J677" t="s">
        <v>28</v>
      </c>
      <c r="K677" s="2" t="str">
        <f t="shared" ca="1" si="10"/>
        <v>5 Years</v>
      </c>
      <c r="L677" s="3" cm="1">
        <f t="array" ref="L677">_xlfn.SWITCH(Table13_2[[#This Row],[Performance Score]],"A",6,"B",5,"C",4,"D",3,"E",2,"F",1)</f>
        <v>1</v>
      </c>
    </row>
    <row r="678" spans="1:12" x14ac:dyDescent="0.3">
      <c r="A678" t="s">
        <v>18</v>
      </c>
      <c r="B678">
        <v>50</v>
      </c>
      <c r="C678" s="1">
        <v>48417.431192660551</v>
      </c>
      <c r="D678" t="s">
        <v>12</v>
      </c>
      <c r="E678" t="s">
        <v>20</v>
      </c>
      <c r="F678" t="s">
        <v>21</v>
      </c>
      <c r="G678" s="2">
        <v>43845</v>
      </c>
      <c r="H678" t="s">
        <v>38</v>
      </c>
      <c r="I678" t="s">
        <v>23</v>
      </c>
      <c r="J678" t="s">
        <v>17</v>
      </c>
      <c r="K678" s="2" t="str">
        <f t="shared" ca="1" si="10"/>
        <v>5 Years</v>
      </c>
      <c r="L678" s="3" cm="1">
        <f t="array" ref="L678">_xlfn.SWITCH(Table13_2[[#This Row],[Performance Score]],"A",6,"B",5,"C",4,"D",3,"E",2,"F",1)</f>
        <v>5</v>
      </c>
    </row>
    <row r="679" spans="1:12" x14ac:dyDescent="0.3">
      <c r="A679" t="s">
        <v>45</v>
      </c>
      <c r="B679">
        <v>25</v>
      </c>
      <c r="C679" s="1">
        <v>55000</v>
      </c>
      <c r="D679" t="s">
        <v>34</v>
      </c>
      <c r="E679" t="s">
        <v>20</v>
      </c>
      <c r="F679" t="s">
        <v>21</v>
      </c>
      <c r="G679" s="2">
        <v>43881</v>
      </c>
      <c r="H679" t="s">
        <v>22</v>
      </c>
      <c r="I679" t="s">
        <v>16</v>
      </c>
      <c r="J679" t="s">
        <v>28</v>
      </c>
      <c r="K679" s="2" t="str">
        <f t="shared" ca="1" si="10"/>
        <v>5 Years</v>
      </c>
      <c r="L679" s="3" cm="1">
        <f t="array" ref="L679">_xlfn.SWITCH(Table13_2[[#This Row],[Performance Score]],"A",6,"B",5,"C",4,"D",3,"E",2,"F",1)</f>
        <v>1</v>
      </c>
    </row>
    <row r="680" spans="1:12" x14ac:dyDescent="0.3">
      <c r="A680" t="s">
        <v>45</v>
      </c>
      <c r="B680">
        <v>25</v>
      </c>
      <c r="C680" s="1">
        <v>55000</v>
      </c>
      <c r="D680" t="s">
        <v>34</v>
      </c>
      <c r="E680" t="s">
        <v>20</v>
      </c>
      <c r="F680" t="s">
        <v>37</v>
      </c>
      <c r="G680" s="2">
        <v>43881</v>
      </c>
      <c r="H680" t="s">
        <v>31</v>
      </c>
      <c r="I680" t="s">
        <v>16</v>
      </c>
      <c r="J680" t="s">
        <v>42</v>
      </c>
      <c r="K680" s="2" t="str">
        <f t="shared" ca="1" si="10"/>
        <v>5 Years</v>
      </c>
      <c r="L680" s="3" cm="1">
        <f t="array" ref="L680">_xlfn.SWITCH(Table13_2[[#This Row],[Performance Score]],"A",6,"B",5,"C",4,"D",3,"E",2,"F",1)</f>
        <v>6</v>
      </c>
    </row>
    <row r="681" spans="1:12" x14ac:dyDescent="0.3">
      <c r="A681" t="s">
        <v>25</v>
      </c>
      <c r="B681">
        <v>40</v>
      </c>
      <c r="C681" s="1">
        <v>55000</v>
      </c>
      <c r="D681" t="s">
        <v>19</v>
      </c>
      <c r="E681" t="s">
        <v>20</v>
      </c>
      <c r="F681" t="s">
        <v>40</v>
      </c>
      <c r="G681" s="2">
        <v>43800</v>
      </c>
      <c r="H681" t="s">
        <v>15</v>
      </c>
      <c r="I681" t="s">
        <v>39</v>
      </c>
      <c r="J681" t="s">
        <v>17</v>
      </c>
      <c r="K681" s="2" t="str">
        <f t="shared" ca="1" si="10"/>
        <v>6 Years</v>
      </c>
      <c r="L681" s="3" cm="1">
        <f t="array" ref="L681">_xlfn.SWITCH(Table13_2[[#This Row],[Performance Score]],"A",6,"B",5,"C",4,"D",3,"E",2,"F",1)</f>
        <v>3</v>
      </c>
    </row>
    <row r="682" spans="1:12" x14ac:dyDescent="0.3">
      <c r="A682" t="s">
        <v>44</v>
      </c>
      <c r="B682">
        <v>40</v>
      </c>
      <c r="C682" s="1">
        <v>49144.385026737968</v>
      </c>
      <c r="D682" t="s">
        <v>34</v>
      </c>
      <c r="E682" t="s">
        <v>35</v>
      </c>
      <c r="F682" t="s">
        <v>37</v>
      </c>
      <c r="G682" s="2">
        <v>43195</v>
      </c>
      <c r="H682" t="s">
        <v>27</v>
      </c>
      <c r="I682" t="s">
        <v>39</v>
      </c>
      <c r="J682" t="s">
        <v>24</v>
      </c>
      <c r="K682" s="2" t="str">
        <f t="shared" ca="1" si="10"/>
        <v>7 Years</v>
      </c>
      <c r="L682" s="3" cm="1">
        <f t="array" ref="L682">_xlfn.SWITCH(Table13_2[[#This Row],[Performance Score]],"A",6,"B",5,"C",4,"D",3,"E",2,"F",1)</f>
        <v>4</v>
      </c>
    </row>
    <row r="683" spans="1:12" x14ac:dyDescent="0.3">
      <c r="A683" t="s">
        <v>25</v>
      </c>
      <c r="B683">
        <v>35</v>
      </c>
      <c r="C683" s="1">
        <v>65000</v>
      </c>
      <c r="D683" t="s">
        <v>34</v>
      </c>
      <c r="E683" t="s">
        <v>20</v>
      </c>
      <c r="F683" t="s">
        <v>37</v>
      </c>
      <c r="G683" s="2">
        <v>43195</v>
      </c>
      <c r="H683" t="s">
        <v>31</v>
      </c>
      <c r="I683" t="s">
        <v>39</v>
      </c>
      <c r="J683" t="s">
        <v>42</v>
      </c>
      <c r="K683" s="2" t="str">
        <f t="shared" ca="1" si="10"/>
        <v>7 Years</v>
      </c>
      <c r="L683" s="3" cm="1">
        <f t="array" ref="L683">_xlfn.SWITCH(Table13_2[[#This Row],[Performance Score]],"A",6,"B",5,"C",4,"D",3,"E",2,"F",1)</f>
        <v>6</v>
      </c>
    </row>
    <row r="684" spans="1:12" x14ac:dyDescent="0.3">
      <c r="A684" t="s">
        <v>11</v>
      </c>
      <c r="B684">
        <v>50</v>
      </c>
      <c r="C684" s="1">
        <v>50000</v>
      </c>
      <c r="D684" t="s">
        <v>34</v>
      </c>
      <c r="E684" t="s">
        <v>35</v>
      </c>
      <c r="F684" t="s">
        <v>14</v>
      </c>
      <c r="G684" s="2">
        <v>43845</v>
      </c>
      <c r="H684" t="s">
        <v>31</v>
      </c>
      <c r="I684" t="s">
        <v>16</v>
      </c>
      <c r="J684" t="s">
        <v>17</v>
      </c>
      <c r="K684" s="2" t="str">
        <f t="shared" ca="1" si="10"/>
        <v>5 Years</v>
      </c>
      <c r="L684" s="3" cm="1">
        <f t="array" ref="L684">_xlfn.SWITCH(Table13_2[[#This Row],[Performance Score]],"A",6,"B",5,"C",4,"D",3,"E",2,"F",1)</f>
        <v>6</v>
      </c>
    </row>
    <row r="685" spans="1:12" x14ac:dyDescent="0.3">
      <c r="A685" t="s">
        <v>33</v>
      </c>
      <c r="B685">
        <v>30</v>
      </c>
      <c r="C685" s="1">
        <v>49144.385026737968</v>
      </c>
      <c r="D685" t="s">
        <v>19</v>
      </c>
      <c r="E685" t="s">
        <v>35</v>
      </c>
      <c r="F685" t="s">
        <v>21</v>
      </c>
      <c r="G685" s="2">
        <v>43549</v>
      </c>
      <c r="H685" t="s">
        <v>22</v>
      </c>
      <c r="I685" t="s">
        <v>16</v>
      </c>
      <c r="J685" t="s">
        <v>42</v>
      </c>
      <c r="K685" s="2" t="str">
        <f t="shared" ca="1" si="10"/>
        <v>6 Years</v>
      </c>
      <c r="L685" s="3" cm="1">
        <f t="array" ref="L685">_xlfn.SWITCH(Table13_2[[#This Row],[Performance Score]],"A",6,"B",5,"C",4,"D",3,"E",2,"F",1)</f>
        <v>1</v>
      </c>
    </row>
    <row r="686" spans="1:12" x14ac:dyDescent="0.3">
      <c r="A686" t="s">
        <v>33</v>
      </c>
      <c r="B686">
        <v>36</v>
      </c>
      <c r="C686" s="1">
        <v>48417.431192660551</v>
      </c>
      <c r="D686" t="s">
        <v>19</v>
      </c>
      <c r="E686" t="s">
        <v>20</v>
      </c>
      <c r="F686" t="s">
        <v>37</v>
      </c>
      <c r="G686" s="2">
        <v>43881</v>
      </c>
      <c r="H686" t="s">
        <v>38</v>
      </c>
      <c r="I686" t="s">
        <v>16</v>
      </c>
      <c r="J686" t="s">
        <v>17</v>
      </c>
      <c r="K686" s="2" t="str">
        <f t="shared" ca="1" si="10"/>
        <v>5 Years</v>
      </c>
      <c r="L686" s="3" cm="1">
        <f t="array" ref="L686">_xlfn.SWITCH(Table13_2[[#This Row],[Performance Score]],"A",6,"B",5,"C",4,"D",3,"E",2,"F",1)</f>
        <v>5</v>
      </c>
    </row>
    <row r="687" spans="1:12" x14ac:dyDescent="0.3">
      <c r="A687" t="s">
        <v>44</v>
      </c>
      <c r="B687">
        <v>35</v>
      </c>
      <c r="C687" s="1">
        <v>50000</v>
      </c>
      <c r="D687" t="s">
        <v>34</v>
      </c>
      <c r="E687" t="s">
        <v>30</v>
      </c>
      <c r="F687" t="s">
        <v>14</v>
      </c>
      <c r="G687" s="2">
        <v>43881</v>
      </c>
      <c r="H687" t="s">
        <v>15</v>
      </c>
      <c r="I687" t="s">
        <v>16</v>
      </c>
      <c r="J687" t="s">
        <v>17</v>
      </c>
      <c r="K687" s="2" t="str">
        <f t="shared" ca="1" si="10"/>
        <v>5 Years</v>
      </c>
      <c r="L687" s="3" cm="1">
        <f t="array" ref="L687">_xlfn.SWITCH(Table13_2[[#This Row],[Performance Score]],"A",6,"B",5,"C",4,"D",3,"E",2,"F",1)</f>
        <v>3</v>
      </c>
    </row>
    <row r="688" spans="1:12" x14ac:dyDescent="0.3">
      <c r="A688" t="s">
        <v>43</v>
      </c>
      <c r="B688">
        <v>40</v>
      </c>
      <c r="C688" s="1">
        <v>55000</v>
      </c>
      <c r="D688" t="s">
        <v>34</v>
      </c>
      <c r="E688" t="s">
        <v>20</v>
      </c>
      <c r="F688" t="s">
        <v>40</v>
      </c>
      <c r="G688" s="2">
        <v>43845</v>
      </c>
      <c r="H688" t="s">
        <v>27</v>
      </c>
      <c r="I688" t="s">
        <v>32</v>
      </c>
      <c r="J688" t="s">
        <v>17</v>
      </c>
      <c r="K688" s="2" t="str">
        <f t="shared" ca="1" si="10"/>
        <v>5 Years</v>
      </c>
      <c r="L688" s="3" cm="1">
        <f t="array" ref="L688">_xlfn.SWITCH(Table13_2[[#This Row],[Performance Score]],"A",6,"B",5,"C",4,"D",3,"E",2,"F",1)</f>
        <v>4</v>
      </c>
    </row>
    <row r="689" spans="1:12" x14ac:dyDescent="0.3">
      <c r="A689" t="s">
        <v>43</v>
      </c>
      <c r="B689">
        <v>36</v>
      </c>
      <c r="C689" s="1">
        <v>70000</v>
      </c>
      <c r="D689" t="s">
        <v>19</v>
      </c>
      <c r="E689" t="s">
        <v>20</v>
      </c>
      <c r="F689" t="s">
        <v>37</v>
      </c>
      <c r="G689" s="2">
        <v>43881</v>
      </c>
      <c r="H689" t="s">
        <v>31</v>
      </c>
      <c r="I689" t="s">
        <v>23</v>
      </c>
      <c r="J689" t="s">
        <v>28</v>
      </c>
      <c r="K689" s="2" t="str">
        <f t="shared" ca="1" si="10"/>
        <v>5 Years</v>
      </c>
      <c r="L689" s="3" cm="1">
        <f t="array" ref="L689">_xlfn.SWITCH(Table13_2[[#This Row],[Performance Score]],"A",6,"B",5,"C",4,"D",3,"E",2,"F",1)</f>
        <v>6</v>
      </c>
    </row>
    <row r="690" spans="1:12" x14ac:dyDescent="0.3">
      <c r="A690" t="s">
        <v>36</v>
      </c>
      <c r="B690">
        <v>40</v>
      </c>
      <c r="C690" s="1">
        <v>50000</v>
      </c>
      <c r="D690" t="s">
        <v>12</v>
      </c>
      <c r="E690" t="s">
        <v>20</v>
      </c>
      <c r="F690" t="s">
        <v>21</v>
      </c>
      <c r="G690" s="2">
        <v>43845</v>
      </c>
      <c r="H690" t="s">
        <v>27</v>
      </c>
      <c r="I690" t="s">
        <v>23</v>
      </c>
      <c r="J690" t="s">
        <v>17</v>
      </c>
      <c r="K690" s="2" t="str">
        <f t="shared" ca="1" si="10"/>
        <v>5 Years</v>
      </c>
      <c r="L690" s="3" cm="1">
        <f t="array" ref="L690">_xlfn.SWITCH(Table13_2[[#This Row],[Performance Score]],"A",6,"B",5,"C",4,"D",3,"E",2,"F",1)</f>
        <v>4</v>
      </c>
    </row>
    <row r="691" spans="1:12" x14ac:dyDescent="0.3">
      <c r="A691" t="s">
        <v>44</v>
      </c>
      <c r="B691">
        <v>36</v>
      </c>
      <c r="C691" s="1">
        <v>65000</v>
      </c>
      <c r="D691" t="s">
        <v>34</v>
      </c>
      <c r="E691" t="s">
        <v>30</v>
      </c>
      <c r="F691" t="s">
        <v>37</v>
      </c>
      <c r="G691" s="2">
        <v>43800</v>
      </c>
      <c r="H691" t="s">
        <v>38</v>
      </c>
      <c r="I691" t="s">
        <v>39</v>
      </c>
      <c r="J691" t="s">
        <v>42</v>
      </c>
      <c r="K691" s="2" t="str">
        <f t="shared" ca="1" si="10"/>
        <v>6 Years</v>
      </c>
      <c r="L691" s="3" cm="1">
        <f t="array" ref="L691">_xlfn.SWITCH(Table13_2[[#This Row],[Performance Score]],"A",6,"B",5,"C",4,"D",3,"E",2,"F",1)</f>
        <v>5</v>
      </c>
    </row>
    <row r="692" spans="1:12" x14ac:dyDescent="0.3">
      <c r="A692" t="s">
        <v>45</v>
      </c>
      <c r="B692">
        <v>30</v>
      </c>
      <c r="C692" s="1">
        <v>60000</v>
      </c>
      <c r="D692" t="s">
        <v>12</v>
      </c>
      <c r="E692" t="s">
        <v>13</v>
      </c>
      <c r="F692" t="s">
        <v>40</v>
      </c>
      <c r="G692" s="2">
        <v>43195</v>
      </c>
      <c r="H692" t="s">
        <v>38</v>
      </c>
      <c r="I692" t="s">
        <v>32</v>
      </c>
      <c r="J692" t="s">
        <v>17</v>
      </c>
      <c r="K692" s="2" t="str">
        <f t="shared" ca="1" si="10"/>
        <v>7 Years</v>
      </c>
      <c r="L692" s="3" cm="1">
        <f t="array" ref="L692">_xlfn.SWITCH(Table13_2[[#This Row],[Performance Score]],"A",6,"B",5,"C",4,"D",3,"E",2,"F",1)</f>
        <v>5</v>
      </c>
    </row>
    <row r="693" spans="1:12" x14ac:dyDescent="0.3">
      <c r="A693" t="s">
        <v>43</v>
      </c>
      <c r="B693">
        <v>35</v>
      </c>
      <c r="C693" s="1">
        <v>60000</v>
      </c>
      <c r="D693" t="s">
        <v>34</v>
      </c>
      <c r="E693" t="s">
        <v>13</v>
      </c>
      <c r="F693" t="s">
        <v>37</v>
      </c>
      <c r="G693" s="2">
        <v>43549</v>
      </c>
      <c r="H693" t="s">
        <v>27</v>
      </c>
      <c r="I693" t="s">
        <v>16</v>
      </c>
      <c r="J693" t="s">
        <v>24</v>
      </c>
      <c r="K693" s="2" t="str">
        <f t="shared" ca="1" si="10"/>
        <v>6 Years</v>
      </c>
      <c r="L693" s="3" cm="1">
        <f t="array" ref="L693">_xlfn.SWITCH(Table13_2[[#This Row],[Performance Score]],"A",6,"B",5,"C",4,"D",3,"E",2,"F",1)</f>
        <v>4</v>
      </c>
    </row>
    <row r="694" spans="1:12" x14ac:dyDescent="0.3">
      <c r="A694" t="s">
        <v>29</v>
      </c>
      <c r="B694">
        <v>36</v>
      </c>
      <c r="C694" s="1">
        <v>49144.385026737968</v>
      </c>
      <c r="D694" t="s">
        <v>12</v>
      </c>
      <c r="E694" t="s">
        <v>35</v>
      </c>
      <c r="F694" t="s">
        <v>21</v>
      </c>
      <c r="G694" s="2">
        <v>43195</v>
      </c>
      <c r="H694" t="s">
        <v>15</v>
      </c>
      <c r="I694" t="s">
        <v>16</v>
      </c>
      <c r="J694" t="s">
        <v>42</v>
      </c>
      <c r="K694" s="2" t="str">
        <f t="shared" ca="1" si="10"/>
        <v>7 Years</v>
      </c>
      <c r="L694" s="3" cm="1">
        <f t="array" ref="L694">_xlfn.SWITCH(Table13_2[[#This Row],[Performance Score]],"A",6,"B",5,"C",4,"D",3,"E",2,"F",1)</f>
        <v>3</v>
      </c>
    </row>
    <row r="695" spans="1:12" x14ac:dyDescent="0.3">
      <c r="A695" t="s">
        <v>46</v>
      </c>
      <c r="B695">
        <v>50</v>
      </c>
      <c r="C695" s="1">
        <v>60000</v>
      </c>
      <c r="D695" t="s">
        <v>12</v>
      </c>
      <c r="E695" t="s">
        <v>35</v>
      </c>
      <c r="F695" t="s">
        <v>14</v>
      </c>
      <c r="G695" s="2">
        <v>43195</v>
      </c>
      <c r="H695" t="s">
        <v>38</v>
      </c>
      <c r="I695" t="s">
        <v>39</v>
      </c>
      <c r="J695" t="s">
        <v>17</v>
      </c>
      <c r="K695" s="2" t="str">
        <f t="shared" ca="1" si="10"/>
        <v>7 Years</v>
      </c>
      <c r="L695" s="3" cm="1">
        <f t="array" ref="L695">_xlfn.SWITCH(Table13_2[[#This Row],[Performance Score]],"A",6,"B",5,"C",4,"D",3,"E",2,"F",1)</f>
        <v>5</v>
      </c>
    </row>
    <row r="696" spans="1:12" x14ac:dyDescent="0.3">
      <c r="A696" t="s">
        <v>45</v>
      </c>
      <c r="B696">
        <v>25</v>
      </c>
      <c r="C696" s="1">
        <v>70000</v>
      </c>
      <c r="D696" t="s">
        <v>12</v>
      </c>
      <c r="E696" t="s">
        <v>30</v>
      </c>
      <c r="F696" t="s">
        <v>21</v>
      </c>
      <c r="G696" s="2">
        <v>43800</v>
      </c>
      <c r="H696" t="s">
        <v>27</v>
      </c>
      <c r="I696" t="s">
        <v>39</v>
      </c>
      <c r="J696" t="s">
        <v>17</v>
      </c>
      <c r="K696" s="2" t="str">
        <f t="shared" ca="1" si="10"/>
        <v>6 Years</v>
      </c>
      <c r="L696" s="3" cm="1">
        <f t="array" ref="L696">_xlfn.SWITCH(Table13_2[[#This Row],[Performance Score]],"A",6,"B",5,"C",4,"D",3,"E",2,"F",1)</f>
        <v>4</v>
      </c>
    </row>
    <row r="697" spans="1:12" x14ac:dyDescent="0.3">
      <c r="A697" t="s">
        <v>11</v>
      </c>
      <c r="B697">
        <v>50</v>
      </c>
      <c r="C697" s="1">
        <v>55000</v>
      </c>
      <c r="D697" t="s">
        <v>19</v>
      </c>
      <c r="E697" t="s">
        <v>26</v>
      </c>
      <c r="F697" t="s">
        <v>14</v>
      </c>
      <c r="G697" s="2">
        <v>43881</v>
      </c>
      <c r="H697" t="s">
        <v>31</v>
      </c>
      <c r="I697" t="s">
        <v>39</v>
      </c>
      <c r="J697" t="s">
        <v>24</v>
      </c>
      <c r="K697" s="2" t="str">
        <f t="shared" ca="1" si="10"/>
        <v>5 Years</v>
      </c>
      <c r="L697" s="3" cm="1">
        <f t="array" ref="L697">_xlfn.SWITCH(Table13_2[[#This Row],[Performance Score]],"A",6,"B",5,"C",4,"D",3,"E",2,"F",1)</f>
        <v>6</v>
      </c>
    </row>
    <row r="698" spans="1:12" x14ac:dyDescent="0.3">
      <c r="A698" t="s">
        <v>29</v>
      </c>
      <c r="B698">
        <v>50</v>
      </c>
      <c r="C698" s="1">
        <v>65000</v>
      </c>
      <c r="D698" t="s">
        <v>12</v>
      </c>
      <c r="E698" t="s">
        <v>13</v>
      </c>
      <c r="F698" t="s">
        <v>41</v>
      </c>
      <c r="G698" s="2">
        <v>43549</v>
      </c>
      <c r="H698" t="s">
        <v>27</v>
      </c>
      <c r="I698" t="s">
        <v>16</v>
      </c>
      <c r="J698" t="s">
        <v>17</v>
      </c>
      <c r="K698" s="2" t="str">
        <f t="shared" ca="1" si="10"/>
        <v>6 Years</v>
      </c>
      <c r="L698" s="3" cm="1">
        <f t="array" ref="L698">_xlfn.SWITCH(Table13_2[[#This Row],[Performance Score]],"A",6,"B",5,"C",4,"D",3,"E",2,"F",1)</f>
        <v>4</v>
      </c>
    </row>
    <row r="699" spans="1:12" x14ac:dyDescent="0.3">
      <c r="A699" t="s">
        <v>29</v>
      </c>
      <c r="B699">
        <v>25</v>
      </c>
      <c r="C699" s="1">
        <v>70000</v>
      </c>
      <c r="D699" t="s">
        <v>12</v>
      </c>
      <c r="E699" t="s">
        <v>35</v>
      </c>
      <c r="F699" t="s">
        <v>21</v>
      </c>
      <c r="G699" s="2">
        <v>43881</v>
      </c>
      <c r="H699" t="s">
        <v>27</v>
      </c>
      <c r="I699" t="s">
        <v>39</v>
      </c>
      <c r="J699" t="s">
        <v>42</v>
      </c>
      <c r="K699" s="2" t="str">
        <f t="shared" ca="1" si="10"/>
        <v>5 Years</v>
      </c>
      <c r="L699" s="3" cm="1">
        <f t="array" ref="L699">_xlfn.SWITCH(Table13_2[[#This Row],[Performance Score]],"A",6,"B",5,"C",4,"D",3,"E",2,"F",1)</f>
        <v>4</v>
      </c>
    </row>
    <row r="700" spans="1:12" x14ac:dyDescent="0.3">
      <c r="A700" t="s">
        <v>44</v>
      </c>
      <c r="B700">
        <v>50</v>
      </c>
      <c r="C700" s="1">
        <v>65000</v>
      </c>
      <c r="D700" t="s">
        <v>12</v>
      </c>
      <c r="E700" t="s">
        <v>13</v>
      </c>
      <c r="F700" t="s">
        <v>21</v>
      </c>
      <c r="G700" s="2">
        <v>43195</v>
      </c>
      <c r="H700" t="s">
        <v>22</v>
      </c>
      <c r="I700" t="s">
        <v>32</v>
      </c>
      <c r="J700" t="s">
        <v>42</v>
      </c>
      <c r="K700" s="2" t="str">
        <f t="shared" ca="1" si="10"/>
        <v>7 Years</v>
      </c>
      <c r="L700" s="3" cm="1">
        <f t="array" ref="L700">_xlfn.SWITCH(Table13_2[[#This Row],[Performance Score]],"A",6,"B",5,"C",4,"D",3,"E",2,"F",1)</f>
        <v>1</v>
      </c>
    </row>
    <row r="701" spans="1:12" x14ac:dyDescent="0.3">
      <c r="A701" t="s">
        <v>36</v>
      </c>
      <c r="B701">
        <v>36</v>
      </c>
      <c r="C701" s="1">
        <v>65000</v>
      </c>
      <c r="D701" t="s">
        <v>34</v>
      </c>
      <c r="E701" t="s">
        <v>30</v>
      </c>
      <c r="F701" t="s">
        <v>40</v>
      </c>
      <c r="G701" s="2">
        <v>43845</v>
      </c>
      <c r="H701" t="s">
        <v>38</v>
      </c>
      <c r="I701" t="s">
        <v>23</v>
      </c>
      <c r="J701" t="s">
        <v>24</v>
      </c>
      <c r="K701" s="2" t="str">
        <f t="shared" ca="1" si="10"/>
        <v>5 Years</v>
      </c>
      <c r="L701" s="3" cm="1">
        <f t="array" ref="L701">_xlfn.SWITCH(Table13_2[[#This Row],[Performance Score]],"A",6,"B",5,"C",4,"D",3,"E",2,"F",1)</f>
        <v>5</v>
      </c>
    </row>
    <row r="702" spans="1:12" x14ac:dyDescent="0.3">
      <c r="A702" t="s">
        <v>11</v>
      </c>
      <c r="B702">
        <v>36</v>
      </c>
      <c r="C702" s="1">
        <v>55000</v>
      </c>
      <c r="D702" t="s">
        <v>12</v>
      </c>
      <c r="E702" t="s">
        <v>30</v>
      </c>
      <c r="F702" t="s">
        <v>37</v>
      </c>
      <c r="G702" s="2">
        <v>43195</v>
      </c>
      <c r="H702" t="s">
        <v>15</v>
      </c>
      <c r="I702" t="s">
        <v>16</v>
      </c>
      <c r="J702" t="s">
        <v>17</v>
      </c>
      <c r="K702" s="2" t="str">
        <f t="shared" ca="1" si="10"/>
        <v>7 Years</v>
      </c>
      <c r="L702" s="3" cm="1">
        <f t="array" ref="L702">_xlfn.SWITCH(Table13_2[[#This Row],[Performance Score]],"A",6,"B",5,"C",4,"D",3,"E",2,"F",1)</f>
        <v>3</v>
      </c>
    </row>
    <row r="703" spans="1:12" x14ac:dyDescent="0.3">
      <c r="A703" t="s">
        <v>43</v>
      </c>
      <c r="B703">
        <v>36</v>
      </c>
      <c r="C703" s="1">
        <v>50742.574257425746</v>
      </c>
      <c r="D703" t="s">
        <v>34</v>
      </c>
      <c r="E703" t="s">
        <v>26</v>
      </c>
      <c r="F703" t="s">
        <v>14</v>
      </c>
      <c r="G703" s="2">
        <v>43881</v>
      </c>
      <c r="H703" t="s">
        <v>15</v>
      </c>
      <c r="I703" t="s">
        <v>32</v>
      </c>
      <c r="J703" t="s">
        <v>42</v>
      </c>
      <c r="K703" s="2" t="str">
        <f t="shared" ca="1" si="10"/>
        <v>5 Years</v>
      </c>
      <c r="L703" s="3" cm="1">
        <f t="array" ref="L703">_xlfn.SWITCH(Table13_2[[#This Row],[Performance Score]],"A",6,"B",5,"C",4,"D",3,"E",2,"F",1)</f>
        <v>3</v>
      </c>
    </row>
    <row r="704" spans="1:12" x14ac:dyDescent="0.3">
      <c r="A704" t="s">
        <v>44</v>
      </c>
      <c r="B704">
        <v>25</v>
      </c>
      <c r="C704" s="1">
        <v>60000</v>
      </c>
      <c r="D704" t="s">
        <v>12</v>
      </c>
      <c r="E704" t="s">
        <v>26</v>
      </c>
      <c r="F704" t="s">
        <v>14</v>
      </c>
      <c r="G704" s="2">
        <v>43195</v>
      </c>
      <c r="H704" t="s">
        <v>22</v>
      </c>
      <c r="I704" t="s">
        <v>16</v>
      </c>
      <c r="J704" t="s">
        <v>42</v>
      </c>
      <c r="K704" s="2" t="str">
        <f t="shared" ca="1" si="10"/>
        <v>7 Years</v>
      </c>
      <c r="L704" s="3" cm="1">
        <f t="array" ref="L704">_xlfn.SWITCH(Table13_2[[#This Row],[Performance Score]],"A",6,"B",5,"C",4,"D",3,"E",2,"F",1)</f>
        <v>1</v>
      </c>
    </row>
    <row r="705" spans="1:12" x14ac:dyDescent="0.3">
      <c r="A705" t="s">
        <v>43</v>
      </c>
      <c r="B705">
        <v>50</v>
      </c>
      <c r="C705" s="1">
        <v>55000</v>
      </c>
      <c r="D705" t="s">
        <v>12</v>
      </c>
      <c r="E705" t="s">
        <v>30</v>
      </c>
      <c r="F705" t="s">
        <v>40</v>
      </c>
      <c r="G705" s="2">
        <v>43845</v>
      </c>
      <c r="H705" t="s">
        <v>15</v>
      </c>
      <c r="I705" t="s">
        <v>39</v>
      </c>
      <c r="J705" t="s">
        <v>42</v>
      </c>
      <c r="K705" s="2" t="str">
        <f t="shared" ca="1" si="10"/>
        <v>5 Years</v>
      </c>
      <c r="L705" s="3" cm="1">
        <f t="array" ref="L705">_xlfn.SWITCH(Table13_2[[#This Row],[Performance Score]],"A",6,"B",5,"C",4,"D",3,"E",2,"F",1)</f>
        <v>3</v>
      </c>
    </row>
    <row r="706" spans="1:12" x14ac:dyDescent="0.3">
      <c r="A706" t="s">
        <v>44</v>
      </c>
      <c r="B706">
        <v>25</v>
      </c>
      <c r="C706" s="1">
        <v>70000</v>
      </c>
      <c r="D706" t="s">
        <v>19</v>
      </c>
      <c r="E706" t="s">
        <v>35</v>
      </c>
      <c r="F706" t="s">
        <v>40</v>
      </c>
      <c r="G706" s="2">
        <v>43800</v>
      </c>
      <c r="H706" t="s">
        <v>27</v>
      </c>
      <c r="I706" t="s">
        <v>39</v>
      </c>
      <c r="J706" t="s">
        <v>17</v>
      </c>
      <c r="K706" s="2" t="str">
        <f t="shared" ca="1" si="10"/>
        <v>6 Years</v>
      </c>
      <c r="L706" s="3" cm="1">
        <f t="array" ref="L706">_xlfn.SWITCH(Table13_2[[#This Row],[Performance Score]],"A",6,"B",5,"C",4,"D",3,"E",2,"F",1)</f>
        <v>4</v>
      </c>
    </row>
    <row r="707" spans="1:12" x14ac:dyDescent="0.3">
      <c r="A707" t="s">
        <v>44</v>
      </c>
      <c r="B707">
        <v>36</v>
      </c>
      <c r="C707" s="1">
        <v>51825</v>
      </c>
      <c r="D707" t="s">
        <v>34</v>
      </c>
      <c r="E707" t="s">
        <v>13</v>
      </c>
      <c r="F707" t="s">
        <v>37</v>
      </c>
      <c r="G707" s="2">
        <v>43881</v>
      </c>
      <c r="H707" t="s">
        <v>22</v>
      </c>
      <c r="I707" t="s">
        <v>39</v>
      </c>
      <c r="J707" t="s">
        <v>24</v>
      </c>
      <c r="K707" s="2" t="str">
        <f t="shared" ref="K707:K770" ca="1" si="11">DATEDIF(G707,TODAY(),"Y") &amp; " Years"</f>
        <v>5 Years</v>
      </c>
      <c r="L707" s="3" cm="1">
        <f t="array" ref="L707">_xlfn.SWITCH(Table13_2[[#This Row],[Performance Score]],"A",6,"B",5,"C",4,"D",3,"E",2,"F",1)</f>
        <v>1</v>
      </c>
    </row>
    <row r="708" spans="1:12" x14ac:dyDescent="0.3">
      <c r="A708" t="s">
        <v>44</v>
      </c>
      <c r="B708">
        <v>50</v>
      </c>
      <c r="C708" s="1">
        <v>70000</v>
      </c>
      <c r="D708" t="s">
        <v>12</v>
      </c>
      <c r="E708" t="s">
        <v>20</v>
      </c>
      <c r="F708" t="s">
        <v>37</v>
      </c>
      <c r="G708" s="2">
        <v>43195</v>
      </c>
      <c r="H708" t="s">
        <v>31</v>
      </c>
      <c r="I708" t="s">
        <v>23</v>
      </c>
      <c r="J708" t="s">
        <v>42</v>
      </c>
      <c r="K708" s="2" t="str">
        <f t="shared" ca="1" si="11"/>
        <v>7 Years</v>
      </c>
      <c r="L708" s="3" cm="1">
        <f t="array" ref="L708">_xlfn.SWITCH(Table13_2[[#This Row],[Performance Score]],"A",6,"B",5,"C",4,"D",3,"E",2,"F",1)</f>
        <v>6</v>
      </c>
    </row>
    <row r="709" spans="1:12" x14ac:dyDescent="0.3">
      <c r="A709" t="s">
        <v>36</v>
      </c>
      <c r="B709">
        <v>50</v>
      </c>
      <c r="C709" s="1">
        <v>50742.574257425746</v>
      </c>
      <c r="D709" t="s">
        <v>34</v>
      </c>
      <c r="E709" t="s">
        <v>26</v>
      </c>
      <c r="F709" t="s">
        <v>21</v>
      </c>
      <c r="G709" s="2">
        <v>43881</v>
      </c>
      <c r="H709" t="s">
        <v>38</v>
      </c>
      <c r="I709" t="s">
        <v>39</v>
      </c>
      <c r="J709" t="s">
        <v>17</v>
      </c>
      <c r="K709" s="2" t="str">
        <f t="shared" ca="1" si="11"/>
        <v>5 Years</v>
      </c>
      <c r="L709" s="3" cm="1">
        <f t="array" ref="L709">_xlfn.SWITCH(Table13_2[[#This Row],[Performance Score]],"A",6,"B",5,"C",4,"D",3,"E",2,"F",1)</f>
        <v>5</v>
      </c>
    </row>
    <row r="710" spans="1:12" x14ac:dyDescent="0.3">
      <c r="A710" t="s">
        <v>44</v>
      </c>
      <c r="B710">
        <v>40</v>
      </c>
      <c r="C710" s="1">
        <v>70000</v>
      </c>
      <c r="D710" t="s">
        <v>34</v>
      </c>
      <c r="E710" t="s">
        <v>20</v>
      </c>
      <c r="F710" t="s">
        <v>41</v>
      </c>
      <c r="G710" s="2">
        <v>43800</v>
      </c>
      <c r="H710" t="s">
        <v>38</v>
      </c>
      <c r="I710" t="s">
        <v>16</v>
      </c>
      <c r="J710" t="s">
        <v>17</v>
      </c>
      <c r="K710" s="2" t="str">
        <f t="shared" ca="1" si="11"/>
        <v>6 Years</v>
      </c>
      <c r="L710" s="3" cm="1">
        <f t="array" ref="L710">_xlfn.SWITCH(Table13_2[[#This Row],[Performance Score]],"A",6,"B",5,"C",4,"D",3,"E",2,"F",1)</f>
        <v>5</v>
      </c>
    </row>
    <row r="711" spans="1:12" x14ac:dyDescent="0.3">
      <c r="A711" t="s">
        <v>18</v>
      </c>
      <c r="B711">
        <v>40</v>
      </c>
      <c r="C711" s="1">
        <v>55000</v>
      </c>
      <c r="D711" t="s">
        <v>19</v>
      </c>
      <c r="E711" t="s">
        <v>35</v>
      </c>
      <c r="F711" t="s">
        <v>37</v>
      </c>
      <c r="G711" s="2">
        <v>43195</v>
      </c>
      <c r="H711" t="s">
        <v>38</v>
      </c>
      <c r="I711" t="s">
        <v>39</v>
      </c>
      <c r="J711" t="s">
        <v>28</v>
      </c>
      <c r="K711" s="2" t="str">
        <f t="shared" ca="1" si="11"/>
        <v>7 Years</v>
      </c>
      <c r="L711" s="3" cm="1">
        <f t="array" ref="L711">_xlfn.SWITCH(Table13_2[[#This Row],[Performance Score]],"A",6,"B",5,"C",4,"D",3,"E",2,"F",1)</f>
        <v>5</v>
      </c>
    </row>
    <row r="712" spans="1:12" x14ac:dyDescent="0.3">
      <c r="A712" t="s">
        <v>46</v>
      </c>
      <c r="B712">
        <v>30</v>
      </c>
      <c r="C712" s="1">
        <v>50742.574257425746</v>
      </c>
      <c r="D712" t="s">
        <v>19</v>
      </c>
      <c r="E712" t="s">
        <v>26</v>
      </c>
      <c r="F712" t="s">
        <v>40</v>
      </c>
      <c r="G712" s="2">
        <v>43195</v>
      </c>
      <c r="H712" t="s">
        <v>27</v>
      </c>
      <c r="I712" t="s">
        <v>16</v>
      </c>
      <c r="J712" t="s">
        <v>24</v>
      </c>
      <c r="K712" s="2" t="str">
        <f t="shared" ca="1" si="11"/>
        <v>7 Years</v>
      </c>
      <c r="L712" s="3" cm="1">
        <f t="array" ref="L712">_xlfn.SWITCH(Table13_2[[#This Row],[Performance Score]],"A",6,"B",5,"C",4,"D",3,"E",2,"F",1)</f>
        <v>4</v>
      </c>
    </row>
    <row r="713" spans="1:12" x14ac:dyDescent="0.3">
      <c r="A713" t="s">
        <v>43</v>
      </c>
      <c r="B713">
        <v>35</v>
      </c>
      <c r="C713" s="1">
        <v>48417.431192660551</v>
      </c>
      <c r="D713" t="s">
        <v>19</v>
      </c>
      <c r="E713" t="s">
        <v>20</v>
      </c>
      <c r="F713" t="s">
        <v>37</v>
      </c>
      <c r="G713" s="2">
        <v>43881</v>
      </c>
      <c r="H713" t="s">
        <v>31</v>
      </c>
      <c r="I713" t="s">
        <v>23</v>
      </c>
      <c r="J713" t="s">
        <v>17</v>
      </c>
      <c r="K713" s="2" t="str">
        <f t="shared" ca="1" si="11"/>
        <v>5 Years</v>
      </c>
      <c r="L713" s="3" cm="1">
        <f t="array" ref="L713">_xlfn.SWITCH(Table13_2[[#This Row],[Performance Score]],"A",6,"B",5,"C",4,"D",3,"E",2,"F",1)</f>
        <v>6</v>
      </c>
    </row>
    <row r="714" spans="1:12" x14ac:dyDescent="0.3">
      <c r="A714" t="s">
        <v>45</v>
      </c>
      <c r="B714">
        <v>40</v>
      </c>
      <c r="C714" s="1">
        <v>65000</v>
      </c>
      <c r="D714" t="s">
        <v>19</v>
      </c>
      <c r="E714" t="s">
        <v>35</v>
      </c>
      <c r="F714" t="s">
        <v>14</v>
      </c>
      <c r="G714" s="2">
        <v>43881</v>
      </c>
      <c r="H714" t="s">
        <v>22</v>
      </c>
      <c r="I714" t="s">
        <v>39</v>
      </c>
      <c r="J714" t="s">
        <v>42</v>
      </c>
      <c r="K714" s="2" t="str">
        <f t="shared" ca="1" si="11"/>
        <v>5 Years</v>
      </c>
      <c r="L714" s="3" cm="1">
        <f t="array" ref="L714">_xlfn.SWITCH(Table13_2[[#This Row],[Performance Score]],"A",6,"B",5,"C",4,"D",3,"E",2,"F",1)</f>
        <v>1</v>
      </c>
    </row>
    <row r="715" spans="1:12" x14ac:dyDescent="0.3">
      <c r="A715" t="s">
        <v>25</v>
      </c>
      <c r="B715">
        <v>25</v>
      </c>
      <c r="C715" s="1">
        <v>65000</v>
      </c>
      <c r="D715" t="s">
        <v>19</v>
      </c>
      <c r="E715" t="s">
        <v>13</v>
      </c>
      <c r="F715" t="s">
        <v>41</v>
      </c>
      <c r="G715" s="2">
        <v>43845</v>
      </c>
      <c r="H715" t="s">
        <v>22</v>
      </c>
      <c r="I715" t="s">
        <v>39</v>
      </c>
      <c r="J715" t="s">
        <v>28</v>
      </c>
      <c r="K715" s="2" t="str">
        <f t="shared" ca="1" si="11"/>
        <v>5 Years</v>
      </c>
      <c r="L715" s="3" cm="1">
        <f t="array" ref="L715">_xlfn.SWITCH(Table13_2[[#This Row],[Performance Score]],"A",6,"B",5,"C",4,"D",3,"E",2,"F",1)</f>
        <v>1</v>
      </c>
    </row>
    <row r="716" spans="1:12" x14ac:dyDescent="0.3">
      <c r="A716" t="s">
        <v>11</v>
      </c>
      <c r="B716">
        <v>40</v>
      </c>
      <c r="C716" s="1">
        <v>50000</v>
      </c>
      <c r="D716" t="s">
        <v>19</v>
      </c>
      <c r="E716" t="s">
        <v>35</v>
      </c>
      <c r="F716" t="s">
        <v>21</v>
      </c>
      <c r="G716" s="2">
        <v>43800</v>
      </c>
      <c r="H716" t="s">
        <v>38</v>
      </c>
      <c r="I716" t="s">
        <v>39</v>
      </c>
      <c r="J716" t="s">
        <v>24</v>
      </c>
      <c r="K716" s="2" t="str">
        <f t="shared" ca="1" si="11"/>
        <v>6 Years</v>
      </c>
      <c r="L716" s="3" cm="1">
        <f t="array" ref="L716">_xlfn.SWITCH(Table13_2[[#This Row],[Performance Score]],"A",6,"B",5,"C",4,"D",3,"E",2,"F",1)</f>
        <v>5</v>
      </c>
    </row>
    <row r="717" spans="1:12" x14ac:dyDescent="0.3">
      <c r="A717" t="s">
        <v>33</v>
      </c>
      <c r="B717">
        <v>30</v>
      </c>
      <c r="C717" s="1">
        <v>70000</v>
      </c>
      <c r="D717" t="s">
        <v>19</v>
      </c>
      <c r="E717" t="s">
        <v>26</v>
      </c>
      <c r="F717" t="s">
        <v>14</v>
      </c>
      <c r="G717" s="2">
        <v>43845</v>
      </c>
      <c r="H717" t="s">
        <v>31</v>
      </c>
      <c r="I717" t="s">
        <v>39</v>
      </c>
      <c r="J717" t="s">
        <v>17</v>
      </c>
      <c r="K717" s="2" t="str">
        <f t="shared" ca="1" si="11"/>
        <v>5 Years</v>
      </c>
      <c r="L717" s="3" cm="1">
        <f t="array" ref="L717">_xlfn.SWITCH(Table13_2[[#This Row],[Performance Score]],"A",6,"B",5,"C",4,"D",3,"E",2,"F",1)</f>
        <v>6</v>
      </c>
    </row>
    <row r="718" spans="1:12" x14ac:dyDescent="0.3">
      <c r="A718" t="s">
        <v>36</v>
      </c>
      <c r="B718">
        <v>50</v>
      </c>
      <c r="C718" s="1">
        <v>65000</v>
      </c>
      <c r="D718" t="s">
        <v>19</v>
      </c>
      <c r="E718" t="s">
        <v>30</v>
      </c>
      <c r="F718" t="s">
        <v>14</v>
      </c>
      <c r="G718" s="2">
        <v>43195</v>
      </c>
      <c r="H718" t="s">
        <v>31</v>
      </c>
      <c r="I718" t="s">
        <v>39</v>
      </c>
      <c r="J718" t="s">
        <v>28</v>
      </c>
      <c r="K718" s="2" t="str">
        <f t="shared" ca="1" si="11"/>
        <v>7 Years</v>
      </c>
      <c r="L718" s="3" cm="1">
        <f t="array" ref="L718">_xlfn.SWITCH(Table13_2[[#This Row],[Performance Score]],"A",6,"B",5,"C",4,"D",3,"E",2,"F",1)</f>
        <v>6</v>
      </c>
    </row>
    <row r="719" spans="1:12" x14ac:dyDescent="0.3">
      <c r="A719" t="s">
        <v>45</v>
      </c>
      <c r="B719">
        <v>30</v>
      </c>
      <c r="C719" s="1">
        <v>50000</v>
      </c>
      <c r="D719" t="s">
        <v>12</v>
      </c>
      <c r="E719" t="s">
        <v>13</v>
      </c>
      <c r="F719" t="s">
        <v>41</v>
      </c>
      <c r="G719" s="2">
        <v>43881</v>
      </c>
      <c r="H719" t="s">
        <v>31</v>
      </c>
      <c r="I719" t="s">
        <v>39</v>
      </c>
      <c r="J719" t="s">
        <v>28</v>
      </c>
      <c r="K719" s="2" t="str">
        <f t="shared" ca="1" si="11"/>
        <v>5 Years</v>
      </c>
      <c r="L719" s="3" cm="1">
        <f t="array" ref="L719">_xlfn.SWITCH(Table13_2[[#This Row],[Performance Score]],"A",6,"B",5,"C",4,"D",3,"E",2,"F",1)</f>
        <v>6</v>
      </c>
    </row>
    <row r="720" spans="1:12" x14ac:dyDescent="0.3">
      <c r="A720" t="s">
        <v>29</v>
      </c>
      <c r="B720">
        <v>50</v>
      </c>
      <c r="C720" s="1">
        <v>65000</v>
      </c>
      <c r="D720" t="s">
        <v>34</v>
      </c>
      <c r="E720" t="s">
        <v>20</v>
      </c>
      <c r="F720" t="s">
        <v>21</v>
      </c>
      <c r="G720" s="2">
        <v>43195</v>
      </c>
      <c r="H720" t="s">
        <v>15</v>
      </c>
      <c r="I720" t="s">
        <v>39</v>
      </c>
      <c r="J720" t="s">
        <v>17</v>
      </c>
      <c r="K720" s="2" t="str">
        <f t="shared" ca="1" si="11"/>
        <v>7 Years</v>
      </c>
      <c r="L720" s="3" cm="1">
        <f t="array" ref="L720">_xlfn.SWITCH(Table13_2[[#This Row],[Performance Score]],"A",6,"B",5,"C",4,"D",3,"E",2,"F",1)</f>
        <v>3</v>
      </c>
    </row>
    <row r="721" spans="1:12" x14ac:dyDescent="0.3">
      <c r="A721" t="s">
        <v>18</v>
      </c>
      <c r="B721">
        <v>50</v>
      </c>
      <c r="C721" s="1">
        <v>70000</v>
      </c>
      <c r="D721" t="s">
        <v>19</v>
      </c>
      <c r="E721" t="s">
        <v>26</v>
      </c>
      <c r="F721" t="s">
        <v>40</v>
      </c>
      <c r="G721" s="2">
        <v>43195</v>
      </c>
      <c r="H721" t="s">
        <v>15</v>
      </c>
      <c r="I721" t="s">
        <v>16</v>
      </c>
      <c r="J721" t="s">
        <v>24</v>
      </c>
      <c r="K721" s="2" t="str">
        <f t="shared" ca="1" si="11"/>
        <v>7 Years</v>
      </c>
      <c r="L721" s="3" cm="1">
        <f t="array" ref="L721">_xlfn.SWITCH(Table13_2[[#This Row],[Performance Score]],"A",6,"B",5,"C",4,"D",3,"E",2,"F",1)</f>
        <v>3</v>
      </c>
    </row>
    <row r="722" spans="1:12" x14ac:dyDescent="0.3">
      <c r="A722" t="s">
        <v>33</v>
      </c>
      <c r="B722">
        <v>35</v>
      </c>
      <c r="C722" s="1">
        <v>50777.202072538857</v>
      </c>
      <c r="D722" t="s">
        <v>19</v>
      </c>
      <c r="E722" t="s">
        <v>30</v>
      </c>
      <c r="F722" t="s">
        <v>21</v>
      </c>
      <c r="G722" s="2">
        <v>43549</v>
      </c>
      <c r="H722" t="s">
        <v>38</v>
      </c>
      <c r="I722" t="s">
        <v>23</v>
      </c>
      <c r="J722" t="s">
        <v>17</v>
      </c>
      <c r="K722" s="2" t="str">
        <f t="shared" ca="1" si="11"/>
        <v>6 Years</v>
      </c>
      <c r="L722" s="3" cm="1">
        <f t="array" ref="L722">_xlfn.SWITCH(Table13_2[[#This Row],[Performance Score]],"A",6,"B",5,"C",4,"D",3,"E",2,"F",1)</f>
        <v>5</v>
      </c>
    </row>
    <row r="723" spans="1:12" x14ac:dyDescent="0.3">
      <c r="A723" t="s">
        <v>25</v>
      </c>
      <c r="B723">
        <v>40</v>
      </c>
      <c r="C723" s="1">
        <v>60000</v>
      </c>
      <c r="D723" t="s">
        <v>34</v>
      </c>
      <c r="E723" t="s">
        <v>35</v>
      </c>
      <c r="F723" t="s">
        <v>37</v>
      </c>
      <c r="G723" s="2">
        <v>43549</v>
      </c>
      <c r="H723" t="s">
        <v>31</v>
      </c>
      <c r="I723" t="s">
        <v>39</v>
      </c>
      <c r="J723" t="s">
        <v>17</v>
      </c>
      <c r="K723" s="2" t="str">
        <f t="shared" ca="1" si="11"/>
        <v>6 Years</v>
      </c>
      <c r="L723" s="3" cm="1">
        <f t="array" ref="L723">_xlfn.SWITCH(Table13_2[[#This Row],[Performance Score]],"A",6,"B",5,"C",4,"D",3,"E",2,"F",1)</f>
        <v>6</v>
      </c>
    </row>
    <row r="724" spans="1:12" x14ac:dyDescent="0.3">
      <c r="A724" t="s">
        <v>45</v>
      </c>
      <c r="B724">
        <v>25</v>
      </c>
      <c r="C724" s="1">
        <v>70000</v>
      </c>
      <c r="D724" t="s">
        <v>12</v>
      </c>
      <c r="E724" t="s">
        <v>30</v>
      </c>
      <c r="F724" t="s">
        <v>14</v>
      </c>
      <c r="G724" s="2">
        <v>43195</v>
      </c>
      <c r="H724" t="s">
        <v>31</v>
      </c>
      <c r="I724" t="s">
        <v>16</v>
      </c>
      <c r="J724" t="s">
        <v>42</v>
      </c>
      <c r="K724" s="2" t="str">
        <f t="shared" ca="1" si="11"/>
        <v>7 Years</v>
      </c>
      <c r="L724" s="3" cm="1">
        <f t="array" ref="L724">_xlfn.SWITCH(Table13_2[[#This Row],[Performance Score]],"A",6,"B",5,"C",4,"D",3,"E",2,"F",1)</f>
        <v>6</v>
      </c>
    </row>
    <row r="725" spans="1:12" x14ac:dyDescent="0.3">
      <c r="A725" t="s">
        <v>33</v>
      </c>
      <c r="B725">
        <v>25</v>
      </c>
      <c r="C725" s="1">
        <v>55000</v>
      </c>
      <c r="D725" t="s">
        <v>34</v>
      </c>
      <c r="E725" t="s">
        <v>26</v>
      </c>
      <c r="F725" t="s">
        <v>37</v>
      </c>
      <c r="G725" s="2">
        <v>43881</v>
      </c>
      <c r="H725" t="s">
        <v>22</v>
      </c>
      <c r="I725" t="s">
        <v>39</v>
      </c>
      <c r="J725" t="s">
        <v>17</v>
      </c>
      <c r="K725" s="2" t="str">
        <f t="shared" ca="1" si="11"/>
        <v>5 Years</v>
      </c>
      <c r="L725" s="3" cm="1">
        <f t="array" ref="L725">_xlfn.SWITCH(Table13_2[[#This Row],[Performance Score]],"A",6,"B",5,"C",4,"D",3,"E",2,"F",1)</f>
        <v>1</v>
      </c>
    </row>
    <row r="726" spans="1:12" x14ac:dyDescent="0.3">
      <c r="A726" t="s">
        <v>45</v>
      </c>
      <c r="B726">
        <v>36</v>
      </c>
      <c r="C726" s="1">
        <v>65000</v>
      </c>
      <c r="D726" t="s">
        <v>34</v>
      </c>
      <c r="E726" t="s">
        <v>26</v>
      </c>
      <c r="F726" t="s">
        <v>40</v>
      </c>
      <c r="G726" s="2">
        <v>43195</v>
      </c>
      <c r="H726" t="s">
        <v>22</v>
      </c>
      <c r="I726" t="s">
        <v>16</v>
      </c>
      <c r="J726" t="s">
        <v>28</v>
      </c>
      <c r="K726" s="2" t="str">
        <f t="shared" ca="1" si="11"/>
        <v>7 Years</v>
      </c>
      <c r="L726" s="3" cm="1">
        <f t="array" ref="L726">_xlfn.SWITCH(Table13_2[[#This Row],[Performance Score]],"A",6,"B",5,"C",4,"D",3,"E",2,"F",1)</f>
        <v>1</v>
      </c>
    </row>
    <row r="727" spans="1:12" x14ac:dyDescent="0.3">
      <c r="A727" t="s">
        <v>18</v>
      </c>
      <c r="B727">
        <v>50</v>
      </c>
      <c r="C727" s="1">
        <v>65000</v>
      </c>
      <c r="D727" t="s">
        <v>19</v>
      </c>
      <c r="E727" t="s">
        <v>30</v>
      </c>
      <c r="F727" t="s">
        <v>37</v>
      </c>
      <c r="G727" s="2">
        <v>43549</v>
      </c>
      <c r="H727" t="s">
        <v>38</v>
      </c>
      <c r="I727" t="s">
        <v>39</v>
      </c>
      <c r="J727" t="s">
        <v>24</v>
      </c>
      <c r="K727" s="2" t="str">
        <f t="shared" ca="1" si="11"/>
        <v>6 Years</v>
      </c>
      <c r="L727" s="3" cm="1">
        <f t="array" ref="L727">_xlfn.SWITCH(Table13_2[[#This Row],[Performance Score]],"A",6,"B",5,"C",4,"D",3,"E",2,"F",1)</f>
        <v>5</v>
      </c>
    </row>
    <row r="728" spans="1:12" x14ac:dyDescent="0.3">
      <c r="A728" t="s">
        <v>25</v>
      </c>
      <c r="B728">
        <v>25</v>
      </c>
      <c r="C728" s="1">
        <v>49144.385026737968</v>
      </c>
      <c r="D728" t="s">
        <v>34</v>
      </c>
      <c r="E728" t="s">
        <v>35</v>
      </c>
      <c r="F728" t="s">
        <v>21</v>
      </c>
      <c r="G728" s="2">
        <v>43881</v>
      </c>
      <c r="H728" t="s">
        <v>31</v>
      </c>
      <c r="I728" t="s">
        <v>39</v>
      </c>
      <c r="J728" t="s">
        <v>17</v>
      </c>
      <c r="K728" s="2" t="str">
        <f t="shared" ca="1" si="11"/>
        <v>5 Years</v>
      </c>
      <c r="L728" s="3" cm="1">
        <f t="array" ref="L728">_xlfn.SWITCH(Table13_2[[#This Row],[Performance Score]],"A",6,"B",5,"C",4,"D",3,"E",2,"F",1)</f>
        <v>6</v>
      </c>
    </row>
    <row r="729" spans="1:12" x14ac:dyDescent="0.3">
      <c r="A729" t="s">
        <v>29</v>
      </c>
      <c r="B729">
        <v>35</v>
      </c>
      <c r="C729" s="1">
        <v>55000</v>
      </c>
      <c r="D729" t="s">
        <v>34</v>
      </c>
      <c r="E729" t="s">
        <v>30</v>
      </c>
      <c r="F729" t="s">
        <v>37</v>
      </c>
      <c r="G729" s="2">
        <v>43195</v>
      </c>
      <c r="H729" t="s">
        <v>38</v>
      </c>
      <c r="I729" t="s">
        <v>39</v>
      </c>
      <c r="J729" t="s">
        <v>17</v>
      </c>
      <c r="K729" s="2" t="str">
        <f t="shared" ca="1" si="11"/>
        <v>7 Years</v>
      </c>
      <c r="L729" s="3" cm="1">
        <f t="array" ref="L729">_xlfn.SWITCH(Table13_2[[#This Row],[Performance Score]],"A",6,"B",5,"C",4,"D",3,"E",2,"F",1)</f>
        <v>5</v>
      </c>
    </row>
    <row r="730" spans="1:12" x14ac:dyDescent="0.3">
      <c r="A730" t="s">
        <v>44</v>
      </c>
      <c r="B730">
        <v>50</v>
      </c>
      <c r="C730" s="1">
        <v>50742.574257425746</v>
      </c>
      <c r="D730" t="s">
        <v>19</v>
      </c>
      <c r="E730" t="s">
        <v>26</v>
      </c>
      <c r="F730" t="s">
        <v>40</v>
      </c>
      <c r="G730" s="2">
        <v>43800</v>
      </c>
      <c r="H730" t="s">
        <v>22</v>
      </c>
      <c r="I730" t="s">
        <v>39</v>
      </c>
      <c r="J730" t="s">
        <v>24</v>
      </c>
      <c r="K730" s="2" t="str">
        <f t="shared" ca="1" si="11"/>
        <v>6 Years</v>
      </c>
      <c r="L730" s="3" cm="1">
        <f t="array" ref="L730">_xlfn.SWITCH(Table13_2[[#This Row],[Performance Score]],"A",6,"B",5,"C",4,"D",3,"E",2,"F",1)</f>
        <v>1</v>
      </c>
    </row>
    <row r="731" spans="1:12" x14ac:dyDescent="0.3">
      <c r="A731" t="s">
        <v>43</v>
      </c>
      <c r="B731">
        <v>35</v>
      </c>
      <c r="C731" s="1">
        <v>55000</v>
      </c>
      <c r="D731" t="s">
        <v>19</v>
      </c>
      <c r="E731" t="s">
        <v>26</v>
      </c>
      <c r="F731" t="s">
        <v>40</v>
      </c>
      <c r="G731" s="2">
        <v>43800</v>
      </c>
      <c r="H731" t="s">
        <v>22</v>
      </c>
      <c r="I731" t="s">
        <v>32</v>
      </c>
      <c r="J731" t="s">
        <v>17</v>
      </c>
      <c r="K731" s="2" t="str">
        <f t="shared" ca="1" si="11"/>
        <v>6 Years</v>
      </c>
      <c r="L731" s="3" cm="1">
        <f t="array" ref="L731">_xlfn.SWITCH(Table13_2[[#This Row],[Performance Score]],"A",6,"B",5,"C",4,"D",3,"E",2,"F",1)</f>
        <v>1</v>
      </c>
    </row>
    <row r="732" spans="1:12" x14ac:dyDescent="0.3">
      <c r="A732" t="s">
        <v>29</v>
      </c>
      <c r="B732">
        <v>25</v>
      </c>
      <c r="C732" s="1">
        <v>60000</v>
      </c>
      <c r="D732" t="s">
        <v>19</v>
      </c>
      <c r="E732" t="s">
        <v>20</v>
      </c>
      <c r="F732" t="s">
        <v>40</v>
      </c>
      <c r="G732" s="2">
        <v>43195</v>
      </c>
      <c r="H732" t="s">
        <v>15</v>
      </c>
      <c r="I732" t="s">
        <v>16</v>
      </c>
      <c r="J732" t="s">
        <v>42</v>
      </c>
      <c r="K732" s="2" t="str">
        <f t="shared" ca="1" si="11"/>
        <v>7 Years</v>
      </c>
      <c r="L732" s="3" cm="1">
        <f t="array" ref="L732">_xlfn.SWITCH(Table13_2[[#This Row],[Performance Score]],"A",6,"B",5,"C",4,"D",3,"E",2,"F",1)</f>
        <v>3</v>
      </c>
    </row>
    <row r="733" spans="1:12" x14ac:dyDescent="0.3">
      <c r="A733" t="s">
        <v>44</v>
      </c>
      <c r="B733">
        <v>25</v>
      </c>
      <c r="C733" s="1">
        <v>65000</v>
      </c>
      <c r="D733" t="s">
        <v>19</v>
      </c>
      <c r="E733" t="s">
        <v>20</v>
      </c>
      <c r="F733" t="s">
        <v>21</v>
      </c>
      <c r="G733" s="2">
        <v>43881</v>
      </c>
      <c r="H733" t="s">
        <v>38</v>
      </c>
      <c r="I733" t="s">
        <v>32</v>
      </c>
      <c r="J733" t="s">
        <v>17</v>
      </c>
      <c r="K733" s="2" t="str">
        <f t="shared" ca="1" si="11"/>
        <v>5 Years</v>
      </c>
      <c r="L733" s="3" cm="1">
        <f t="array" ref="L733">_xlfn.SWITCH(Table13_2[[#This Row],[Performance Score]],"A",6,"B",5,"C",4,"D",3,"E",2,"F",1)</f>
        <v>5</v>
      </c>
    </row>
    <row r="734" spans="1:12" x14ac:dyDescent="0.3">
      <c r="A734" t="s">
        <v>36</v>
      </c>
      <c r="B734">
        <v>36</v>
      </c>
      <c r="C734" s="1">
        <v>65000</v>
      </c>
      <c r="D734" t="s">
        <v>34</v>
      </c>
      <c r="E734" t="s">
        <v>13</v>
      </c>
      <c r="F734" t="s">
        <v>40</v>
      </c>
      <c r="G734" s="2">
        <v>43195</v>
      </c>
      <c r="H734" t="s">
        <v>38</v>
      </c>
      <c r="I734" t="s">
        <v>16</v>
      </c>
      <c r="J734" t="s">
        <v>42</v>
      </c>
      <c r="K734" s="2" t="str">
        <f t="shared" ca="1" si="11"/>
        <v>7 Years</v>
      </c>
      <c r="L734" s="3" cm="1">
        <f t="array" ref="L734">_xlfn.SWITCH(Table13_2[[#This Row],[Performance Score]],"A",6,"B",5,"C",4,"D",3,"E",2,"F",1)</f>
        <v>5</v>
      </c>
    </row>
    <row r="735" spans="1:12" x14ac:dyDescent="0.3">
      <c r="A735" t="s">
        <v>46</v>
      </c>
      <c r="B735">
        <v>25</v>
      </c>
      <c r="C735" s="1">
        <v>60000</v>
      </c>
      <c r="D735" t="s">
        <v>34</v>
      </c>
      <c r="E735" t="s">
        <v>26</v>
      </c>
      <c r="F735" t="s">
        <v>14</v>
      </c>
      <c r="G735" s="2">
        <v>43195</v>
      </c>
      <c r="H735" t="s">
        <v>31</v>
      </c>
      <c r="I735" t="s">
        <v>23</v>
      </c>
      <c r="J735" t="s">
        <v>28</v>
      </c>
      <c r="K735" s="2" t="str">
        <f t="shared" ca="1" si="11"/>
        <v>7 Years</v>
      </c>
      <c r="L735" s="3" cm="1">
        <f t="array" ref="L735">_xlfn.SWITCH(Table13_2[[#This Row],[Performance Score]],"A",6,"B",5,"C",4,"D",3,"E",2,"F",1)</f>
        <v>6</v>
      </c>
    </row>
    <row r="736" spans="1:12" x14ac:dyDescent="0.3">
      <c r="A736" t="s">
        <v>11</v>
      </c>
      <c r="B736">
        <v>50</v>
      </c>
      <c r="C736" s="1">
        <v>50000</v>
      </c>
      <c r="D736" t="s">
        <v>12</v>
      </c>
      <c r="E736" t="s">
        <v>20</v>
      </c>
      <c r="F736" t="s">
        <v>40</v>
      </c>
      <c r="G736" s="2">
        <v>43549</v>
      </c>
      <c r="H736" t="s">
        <v>31</v>
      </c>
      <c r="I736" t="s">
        <v>39</v>
      </c>
      <c r="J736" t="s">
        <v>28</v>
      </c>
      <c r="K736" s="2" t="str">
        <f t="shared" ca="1" si="11"/>
        <v>6 Years</v>
      </c>
      <c r="L736" s="3" cm="1">
        <f t="array" ref="L736">_xlfn.SWITCH(Table13_2[[#This Row],[Performance Score]],"A",6,"B",5,"C",4,"D",3,"E",2,"F",1)</f>
        <v>6</v>
      </c>
    </row>
    <row r="737" spans="1:12" x14ac:dyDescent="0.3">
      <c r="A737" t="s">
        <v>11</v>
      </c>
      <c r="B737">
        <v>50</v>
      </c>
      <c r="C737" s="1">
        <v>50777.202072538857</v>
      </c>
      <c r="D737" t="s">
        <v>12</v>
      </c>
      <c r="E737" t="s">
        <v>30</v>
      </c>
      <c r="F737" t="s">
        <v>37</v>
      </c>
      <c r="G737" s="2">
        <v>43800</v>
      </c>
      <c r="H737" t="s">
        <v>15</v>
      </c>
      <c r="I737" t="s">
        <v>23</v>
      </c>
      <c r="J737" t="s">
        <v>17</v>
      </c>
      <c r="K737" s="2" t="str">
        <f t="shared" ca="1" si="11"/>
        <v>6 Years</v>
      </c>
      <c r="L737" s="3" cm="1">
        <f t="array" ref="L737">_xlfn.SWITCH(Table13_2[[#This Row],[Performance Score]],"A",6,"B",5,"C",4,"D",3,"E",2,"F",1)</f>
        <v>3</v>
      </c>
    </row>
    <row r="738" spans="1:12" x14ac:dyDescent="0.3">
      <c r="A738" t="s">
        <v>43</v>
      </c>
      <c r="B738">
        <v>50</v>
      </c>
      <c r="C738" s="1">
        <v>60000</v>
      </c>
      <c r="D738" t="s">
        <v>34</v>
      </c>
      <c r="E738" t="s">
        <v>35</v>
      </c>
      <c r="F738" t="s">
        <v>37</v>
      </c>
      <c r="G738" s="2">
        <v>43549</v>
      </c>
      <c r="H738" t="s">
        <v>27</v>
      </c>
      <c r="I738" t="s">
        <v>23</v>
      </c>
      <c r="J738" t="s">
        <v>42</v>
      </c>
      <c r="K738" s="2" t="str">
        <f t="shared" ca="1" si="11"/>
        <v>6 Years</v>
      </c>
      <c r="L738" s="3" cm="1">
        <f t="array" ref="L738">_xlfn.SWITCH(Table13_2[[#This Row],[Performance Score]],"A",6,"B",5,"C",4,"D",3,"E",2,"F",1)</f>
        <v>4</v>
      </c>
    </row>
    <row r="739" spans="1:12" x14ac:dyDescent="0.3">
      <c r="A739" t="s">
        <v>25</v>
      </c>
      <c r="B739">
        <v>36</v>
      </c>
      <c r="C739" s="1">
        <v>50777.202072538857</v>
      </c>
      <c r="D739" t="s">
        <v>12</v>
      </c>
      <c r="E739" t="s">
        <v>30</v>
      </c>
      <c r="F739" t="s">
        <v>37</v>
      </c>
      <c r="G739" s="2">
        <v>43549</v>
      </c>
      <c r="H739" t="s">
        <v>27</v>
      </c>
      <c r="I739" t="s">
        <v>16</v>
      </c>
      <c r="J739" t="s">
        <v>28</v>
      </c>
      <c r="K739" s="2" t="str">
        <f t="shared" ca="1" si="11"/>
        <v>6 Years</v>
      </c>
      <c r="L739" s="3" cm="1">
        <f t="array" ref="L739">_xlfn.SWITCH(Table13_2[[#This Row],[Performance Score]],"A",6,"B",5,"C",4,"D",3,"E",2,"F",1)</f>
        <v>4</v>
      </c>
    </row>
    <row r="740" spans="1:12" x14ac:dyDescent="0.3">
      <c r="A740" t="s">
        <v>18</v>
      </c>
      <c r="B740">
        <v>36</v>
      </c>
      <c r="C740" s="1">
        <v>70000</v>
      </c>
      <c r="D740" t="s">
        <v>34</v>
      </c>
      <c r="E740" t="s">
        <v>35</v>
      </c>
      <c r="F740" t="s">
        <v>21</v>
      </c>
      <c r="G740" s="2">
        <v>43195</v>
      </c>
      <c r="H740" t="s">
        <v>27</v>
      </c>
      <c r="I740" t="s">
        <v>32</v>
      </c>
      <c r="J740" t="s">
        <v>17</v>
      </c>
      <c r="K740" s="2" t="str">
        <f t="shared" ca="1" si="11"/>
        <v>7 Years</v>
      </c>
      <c r="L740" s="3" cm="1">
        <f t="array" ref="L740">_xlfn.SWITCH(Table13_2[[#This Row],[Performance Score]],"A",6,"B",5,"C",4,"D",3,"E",2,"F",1)</f>
        <v>4</v>
      </c>
    </row>
    <row r="741" spans="1:12" x14ac:dyDescent="0.3">
      <c r="A741" t="s">
        <v>25</v>
      </c>
      <c r="B741">
        <v>25</v>
      </c>
      <c r="C741" s="1">
        <v>65000</v>
      </c>
      <c r="D741" t="s">
        <v>12</v>
      </c>
      <c r="E741" t="s">
        <v>20</v>
      </c>
      <c r="F741" t="s">
        <v>37</v>
      </c>
      <c r="G741" s="2">
        <v>43549</v>
      </c>
      <c r="H741" t="s">
        <v>38</v>
      </c>
      <c r="I741" t="s">
        <v>39</v>
      </c>
      <c r="J741" t="s">
        <v>24</v>
      </c>
      <c r="K741" s="2" t="str">
        <f t="shared" ca="1" si="11"/>
        <v>6 Years</v>
      </c>
      <c r="L741" s="3" cm="1">
        <f t="array" ref="L741">_xlfn.SWITCH(Table13_2[[#This Row],[Performance Score]],"A",6,"B",5,"C",4,"D",3,"E",2,"F",1)</f>
        <v>5</v>
      </c>
    </row>
    <row r="742" spans="1:12" x14ac:dyDescent="0.3">
      <c r="A742" t="s">
        <v>18</v>
      </c>
      <c r="B742">
        <v>30</v>
      </c>
      <c r="C742" s="1">
        <v>51825</v>
      </c>
      <c r="D742" t="s">
        <v>19</v>
      </c>
      <c r="E742" t="s">
        <v>13</v>
      </c>
      <c r="F742" t="s">
        <v>21</v>
      </c>
      <c r="G742" s="2">
        <v>43800</v>
      </c>
      <c r="H742" t="s">
        <v>38</v>
      </c>
      <c r="I742" t="s">
        <v>16</v>
      </c>
      <c r="J742" t="s">
        <v>24</v>
      </c>
      <c r="K742" s="2" t="str">
        <f t="shared" ca="1" si="11"/>
        <v>6 Years</v>
      </c>
      <c r="L742" s="3" cm="1">
        <f t="array" ref="L742">_xlfn.SWITCH(Table13_2[[#This Row],[Performance Score]],"A",6,"B",5,"C",4,"D",3,"E",2,"F",1)</f>
        <v>5</v>
      </c>
    </row>
    <row r="743" spans="1:12" x14ac:dyDescent="0.3">
      <c r="A743" t="s">
        <v>25</v>
      </c>
      <c r="B743">
        <v>30</v>
      </c>
      <c r="C743" s="1">
        <v>55000</v>
      </c>
      <c r="D743" t="s">
        <v>12</v>
      </c>
      <c r="E743" t="s">
        <v>30</v>
      </c>
      <c r="F743" t="s">
        <v>21</v>
      </c>
      <c r="G743" s="2">
        <v>43549</v>
      </c>
      <c r="H743" t="s">
        <v>22</v>
      </c>
      <c r="I743" t="s">
        <v>39</v>
      </c>
      <c r="J743" t="s">
        <v>42</v>
      </c>
      <c r="K743" s="2" t="str">
        <f t="shared" ca="1" si="11"/>
        <v>6 Years</v>
      </c>
      <c r="L743" s="3" cm="1">
        <f t="array" ref="L743">_xlfn.SWITCH(Table13_2[[#This Row],[Performance Score]],"A",6,"B",5,"C",4,"D",3,"E",2,"F",1)</f>
        <v>1</v>
      </c>
    </row>
    <row r="744" spans="1:12" x14ac:dyDescent="0.3">
      <c r="A744" t="s">
        <v>46</v>
      </c>
      <c r="B744">
        <v>36</v>
      </c>
      <c r="C744" s="1">
        <v>50777.202072538857</v>
      </c>
      <c r="D744" t="s">
        <v>19</v>
      </c>
      <c r="E744" t="s">
        <v>30</v>
      </c>
      <c r="F744" t="s">
        <v>40</v>
      </c>
      <c r="G744" s="2">
        <v>43800</v>
      </c>
      <c r="H744" t="s">
        <v>38</v>
      </c>
      <c r="I744" t="s">
        <v>23</v>
      </c>
      <c r="J744" t="s">
        <v>17</v>
      </c>
      <c r="K744" s="2" t="str">
        <f t="shared" ca="1" si="11"/>
        <v>6 Years</v>
      </c>
      <c r="L744" s="3" cm="1">
        <f t="array" ref="L744">_xlfn.SWITCH(Table13_2[[#This Row],[Performance Score]],"A",6,"B",5,"C",4,"D",3,"E",2,"F",1)</f>
        <v>5</v>
      </c>
    </row>
    <row r="745" spans="1:12" x14ac:dyDescent="0.3">
      <c r="A745" t="s">
        <v>36</v>
      </c>
      <c r="B745">
        <v>25</v>
      </c>
      <c r="C745" s="1">
        <v>70000</v>
      </c>
      <c r="D745" t="s">
        <v>19</v>
      </c>
      <c r="E745" t="s">
        <v>30</v>
      </c>
      <c r="F745" t="s">
        <v>14</v>
      </c>
      <c r="G745" s="2">
        <v>43549</v>
      </c>
      <c r="H745" t="s">
        <v>38</v>
      </c>
      <c r="I745" t="s">
        <v>39</v>
      </c>
      <c r="J745" t="s">
        <v>17</v>
      </c>
      <c r="K745" s="2" t="str">
        <f t="shared" ca="1" si="11"/>
        <v>6 Years</v>
      </c>
      <c r="L745" s="3" cm="1">
        <f t="array" ref="L745">_xlfn.SWITCH(Table13_2[[#This Row],[Performance Score]],"A",6,"B",5,"C",4,"D",3,"E",2,"F",1)</f>
        <v>5</v>
      </c>
    </row>
    <row r="746" spans="1:12" x14ac:dyDescent="0.3">
      <c r="A746" t="s">
        <v>36</v>
      </c>
      <c r="B746">
        <v>30</v>
      </c>
      <c r="C746" s="1">
        <v>65000</v>
      </c>
      <c r="D746" t="s">
        <v>19</v>
      </c>
      <c r="E746" t="s">
        <v>35</v>
      </c>
      <c r="F746" t="s">
        <v>40</v>
      </c>
      <c r="G746" s="2">
        <v>43800</v>
      </c>
      <c r="H746" t="s">
        <v>38</v>
      </c>
      <c r="I746" t="s">
        <v>32</v>
      </c>
      <c r="J746" t="s">
        <v>42</v>
      </c>
      <c r="K746" s="2" t="str">
        <f t="shared" ca="1" si="11"/>
        <v>6 Years</v>
      </c>
      <c r="L746" s="3" cm="1">
        <f t="array" ref="L746">_xlfn.SWITCH(Table13_2[[#This Row],[Performance Score]],"A",6,"B",5,"C",4,"D",3,"E",2,"F",1)</f>
        <v>5</v>
      </c>
    </row>
    <row r="747" spans="1:12" x14ac:dyDescent="0.3">
      <c r="A747" t="s">
        <v>44</v>
      </c>
      <c r="B747">
        <v>25</v>
      </c>
      <c r="C747" s="1">
        <v>60000</v>
      </c>
      <c r="D747" t="s">
        <v>19</v>
      </c>
      <c r="E747" t="s">
        <v>20</v>
      </c>
      <c r="F747" t="s">
        <v>40</v>
      </c>
      <c r="G747" s="2">
        <v>43549</v>
      </c>
      <c r="H747" t="s">
        <v>15</v>
      </c>
      <c r="I747" t="s">
        <v>16</v>
      </c>
      <c r="J747" t="s">
        <v>24</v>
      </c>
      <c r="K747" s="2" t="str">
        <f t="shared" ca="1" si="11"/>
        <v>6 Years</v>
      </c>
      <c r="L747" s="3" cm="1">
        <f t="array" ref="L747">_xlfn.SWITCH(Table13_2[[#This Row],[Performance Score]],"A",6,"B",5,"C",4,"D",3,"E",2,"F",1)</f>
        <v>3</v>
      </c>
    </row>
    <row r="748" spans="1:12" x14ac:dyDescent="0.3">
      <c r="A748" t="s">
        <v>33</v>
      </c>
      <c r="B748">
        <v>25</v>
      </c>
      <c r="C748" s="1">
        <v>70000</v>
      </c>
      <c r="D748" t="s">
        <v>12</v>
      </c>
      <c r="E748" t="s">
        <v>30</v>
      </c>
      <c r="F748" t="s">
        <v>21</v>
      </c>
      <c r="G748" s="2">
        <v>43549</v>
      </c>
      <c r="H748" t="s">
        <v>38</v>
      </c>
      <c r="I748" t="s">
        <v>32</v>
      </c>
      <c r="J748" t="s">
        <v>42</v>
      </c>
      <c r="K748" s="2" t="str">
        <f t="shared" ca="1" si="11"/>
        <v>6 Years</v>
      </c>
      <c r="L748" s="3" cm="1">
        <f t="array" ref="L748">_xlfn.SWITCH(Table13_2[[#This Row],[Performance Score]],"A",6,"B",5,"C",4,"D",3,"E",2,"F",1)</f>
        <v>5</v>
      </c>
    </row>
    <row r="749" spans="1:12" x14ac:dyDescent="0.3">
      <c r="A749" t="s">
        <v>36</v>
      </c>
      <c r="B749">
        <v>25</v>
      </c>
      <c r="C749" s="1">
        <v>65000</v>
      </c>
      <c r="D749" t="s">
        <v>34</v>
      </c>
      <c r="E749" t="s">
        <v>30</v>
      </c>
      <c r="F749" t="s">
        <v>21</v>
      </c>
      <c r="G749" s="2">
        <v>43881</v>
      </c>
      <c r="H749" t="s">
        <v>31</v>
      </c>
      <c r="I749" t="s">
        <v>32</v>
      </c>
      <c r="J749" t="s">
        <v>17</v>
      </c>
      <c r="K749" s="2" t="str">
        <f t="shared" ca="1" si="11"/>
        <v>5 Years</v>
      </c>
      <c r="L749" s="3" cm="1">
        <f t="array" ref="L749">_xlfn.SWITCH(Table13_2[[#This Row],[Performance Score]],"A",6,"B",5,"C",4,"D",3,"E",2,"F",1)</f>
        <v>6</v>
      </c>
    </row>
    <row r="750" spans="1:12" x14ac:dyDescent="0.3">
      <c r="A750" t="s">
        <v>36</v>
      </c>
      <c r="B750">
        <v>40</v>
      </c>
      <c r="C750" s="1">
        <v>51825</v>
      </c>
      <c r="D750" t="s">
        <v>19</v>
      </c>
      <c r="E750" t="s">
        <v>13</v>
      </c>
      <c r="F750" t="s">
        <v>37</v>
      </c>
      <c r="G750" s="2">
        <v>43800</v>
      </c>
      <c r="H750" t="s">
        <v>31</v>
      </c>
      <c r="I750" t="s">
        <v>16</v>
      </c>
      <c r="J750" t="s">
        <v>28</v>
      </c>
      <c r="K750" s="2" t="str">
        <f t="shared" ca="1" si="11"/>
        <v>6 Years</v>
      </c>
      <c r="L750" s="3" cm="1">
        <f t="array" ref="L750">_xlfn.SWITCH(Table13_2[[#This Row],[Performance Score]],"A",6,"B",5,"C",4,"D",3,"E",2,"F",1)</f>
        <v>6</v>
      </c>
    </row>
    <row r="751" spans="1:12" x14ac:dyDescent="0.3">
      <c r="A751" t="s">
        <v>29</v>
      </c>
      <c r="B751">
        <v>50</v>
      </c>
      <c r="C751" s="1">
        <v>50000</v>
      </c>
      <c r="D751" t="s">
        <v>12</v>
      </c>
      <c r="E751" t="s">
        <v>13</v>
      </c>
      <c r="F751" t="s">
        <v>37</v>
      </c>
      <c r="G751" s="2">
        <v>43800</v>
      </c>
      <c r="H751" t="s">
        <v>22</v>
      </c>
      <c r="I751" t="s">
        <v>32</v>
      </c>
      <c r="J751" t="s">
        <v>17</v>
      </c>
      <c r="K751" s="2" t="str">
        <f t="shared" ca="1" si="11"/>
        <v>6 Years</v>
      </c>
      <c r="L751" s="3" cm="1">
        <f t="array" ref="L751">_xlfn.SWITCH(Table13_2[[#This Row],[Performance Score]],"A",6,"B",5,"C",4,"D",3,"E",2,"F",1)</f>
        <v>1</v>
      </c>
    </row>
    <row r="752" spans="1:12" x14ac:dyDescent="0.3">
      <c r="A752" t="s">
        <v>29</v>
      </c>
      <c r="B752">
        <v>25</v>
      </c>
      <c r="C752" s="1">
        <v>50000</v>
      </c>
      <c r="D752" t="s">
        <v>19</v>
      </c>
      <c r="E752" t="s">
        <v>20</v>
      </c>
      <c r="F752" t="s">
        <v>40</v>
      </c>
      <c r="G752" s="2">
        <v>43800</v>
      </c>
      <c r="H752" t="s">
        <v>15</v>
      </c>
      <c r="I752" t="s">
        <v>39</v>
      </c>
      <c r="J752" t="s">
        <v>28</v>
      </c>
      <c r="K752" s="2" t="str">
        <f t="shared" ca="1" si="11"/>
        <v>6 Years</v>
      </c>
      <c r="L752" s="3" cm="1">
        <f t="array" ref="L752">_xlfn.SWITCH(Table13_2[[#This Row],[Performance Score]],"A",6,"B",5,"C",4,"D",3,"E",2,"F",1)</f>
        <v>3</v>
      </c>
    </row>
    <row r="753" spans="1:12" x14ac:dyDescent="0.3">
      <c r="A753" t="s">
        <v>44</v>
      </c>
      <c r="B753">
        <v>40</v>
      </c>
      <c r="C753" s="1">
        <v>55000</v>
      </c>
      <c r="D753" t="s">
        <v>12</v>
      </c>
      <c r="E753" t="s">
        <v>20</v>
      </c>
      <c r="F753" t="s">
        <v>41</v>
      </c>
      <c r="G753" s="2">
        <v>43845</v>
      </c>
      <c r="H753" t="s">
        <v>31</v>
      </c>
      <c r="I753" t="s">
        <v>39</v>
      </c>
      <c r="J753" t="s">
        <v>28</v>
      </c>
      <c r="K753" s="2" t="str">
        <f t="shared" ca="1" si="11"/>
        <v>5 Years</v>
      </c>
      <c r="L753" s="3" cm="1">
        <f t="array" ref="L753">_xlfn.SWITCH(Table13_2[[#This Row],[Performance Score]],"A",6,"B",5,"C",4,"D",3,"E",2,"F",1)</f>
        <v>6</v>
      </c>
    </row>
    <row r="754" spans="1:12" x14ac:dyDescent="0.3">
      <c r="A754" t="s">
        <v>33</v>
      </c>
      <c r="B754">
        <v>36</v>
      </c>
      <c r="C754" s="1">
        <v>65000</v>
      </c>
      <c r="D754" t="s">
        <v>12</v>
      </c>
      <c r="E754" t="s">
        <v>26</v>
      </c>
      <c r="F754" t="s">
        <v>41</v>
      </c>
      <c r="G754" s="2">
        <v>43549</v>
      </c>
      <c r="H754" t="s">
        <v>15</v>
      </c>
      <c r="I754" t="s">
        <v>39</v>
      </c>
      <c r="J754" t="s">
        <v>28</v>
      </c>
      <c r="K754" s="2" t="str">
        <f t="shared" ca="1" si="11"/>
        <v>6 Years</v>
      </c>
      <c r="L754" s="3" cm="1">
        <f t="array" ref="L754">_xlfn.SWITCH(Table13_2[[#This Row],[Performance Score]],"A",6,"B",5,"C",4,"D",3,"E",2,"F",1)</f>
        <v>3</v>
      </c>
    </row>
    <row r="755" spans="1:12" x14ac:dyDescent="0.3">
      <c r="A755" t="s">
        <v>43</v>
      </c>
      <c r="B755">
        <v>30</v>
      </c>
      <c r="C755" s="1">
        <v>50000</v>
      </c>
      <c r="D755" t="s">
        <v>12</v>
      </c>
      <c r="E755" t="s">
        <v>13</v>
      </c>
      <c r="F755" t="s">
        <v>37</v>
      </c>
      <c r="G755" s="2">
        <v>43800</v>
      </c>
      <c r="H755" t="s">
        <v>15</v>
      </c>
      <c r="I755" t="s">
        <v>39</v>
      </c>
      <c r="J755" t="s">
        <v>42</v>
      </c>
      <c r="K755" s="2" t="str">
        <f t="shared" ca="1" si="11"/>
        <v>6 Years</v>
      </c>
      <c r="L755" s="3" cm="1">
        <f t="array" ref="L755">_xlfn.SWITCH(Table13_2[[#This Row],[Performance Score]],"A",6,"B",5,"C",4,"D",3,"E",2,"F",1)</f>
        <v>3</v>
      </c>
    </row>
    <row r="756" spans="1:12" x14ac:dyDescent="0.3">
      <c r="A756" t="s">
        <v>29</v>
      </c>
      <c r="B756">
        <v>50</v>
      </c>
      <c r="C756" s="1">
        <v>60000</v>
      </c>
      <c r="D756" t="s">
        <v>34</v>
      </c>
      <c r="E756" t="s">
        <v>26</v>
      </c>
      <c r="F756" t="s">
        <v>41</v>
      </c>
      <c r="G756" s="2">
        <v>43845</v>
      </c>
      <c r="H756" t="s">
        <v>22</v>
      </c>
      <c r="I756" t="s">
        <v>32</v>
      </c>
      <c r="J756" t="s">
        <v>24</v>
      </c>
      <c r="K756" s="2" t="str">
        <f t="shared" ca="1" si="11"/>
        <v>5 Years</v>
      </c>
      <c r="L756" s="3" cm="1">
        <f t="array" ref="L756">_xlfn.SWITCH(Table13_2[[#This Row],[Performance Score]],"A",6,"B",5,"C",4,"D",3,"E",2,"F",1)</f>
        <v>1</v>
      </c>
    </row>
    <row r="757" spans="1:12" x14ac:dyDescent="0.3">
      <c r="A757" t="s">
        <v>43</v>
      </c>
      <c r="B757">
        <v>30</v>
      </c>
      <c r="C757" s="1">
        <v>65000</v>
      </c>
      <c r="D757" t="s">
        <v>12</v>
      </c>
      <c r="E757" t="s">
        <v>35</v>
      </c>
      <c r="F757" t="s">
        <v>37</v>
      </c>
      <c r="G757" s="2">
        <v>43881</v>
      </c>
      <c r="H757" t="s">
        <v>15</v>
      </c>
      <c r="I757" t="s">
        <v>16</v>
      </c>
      <c r="J757" t="s">
        <v>42</v>
      </c>
      <c r="K757" s="2" t="str">
        <f t="shared" ca="1" si="11"/>
        <v>5 Years</v>
      </c>
      <c r="L757" s="3" cm="1">
        <f t="array" ref="L757">_xlfn.SWITCH(Table13_2[[#This Row],[Performance Score]],"A",6,"B",5,"C",4,"D",3,"E",2,"F",1)</f>
        <v>3</v>
      </c>
    </row>
    <row r="758" spans="1:12" x14ac:dyDescent="0.3">
      <c r="A758" t="s">
        <v>45</v>
      </c>
      <c r="B758">
        <v>50</v>
      </c>
      <c r="C758" s="1">
        <v>60000</v>
      </c>
      <c r="D758" t="s">
        <v>12</v>
      </c>
      <c r="E758" t="s">
        <v>26</v>
      </c>
      <c r="F758" t="s">
        <v>21</v>
      </c>
      <c r="G758" s="2">
        <v>43800</v>
      </c>
      <c r="H758" t="s">
        <v>38</v>
      </c>
      <c r="I758" t="s">
        <v>16</v>
      </c>
      <c r="J758" t="s">
        <v>24</v>
      </c>
      <c r="K758" s="2" t="str">
        <f t="shared" ca="1" si="11"/>
        <v>6 Years</v>
      </c>
      <c r="L758" s="3" cm="1">
        <f t="array" ref="L758">_xlfn.SWITCH(Table13_2[[#This Row],[Performance Score]],"A",6,"B",5,"C",4,"D",3,"E",2,"F",1)</f>
        <v>5</v>
      </c>
    </row>
    <row r="759" spans="1:12" x14ac:dyDescent="0.3">
      <c r="A759" t="s">
        <v>29</v>
      </c>
      <c r="B759">
        <v>30</v>
      </c>
      <c r="C759" s="1">
        <v>60000</v>
      </c>
      <c r="D759" t="s">
        <v>34</v>
      </c>
      <c r="E759" t="s">
        <v>30</v>
      </c>
      <c r="F759" t="s">
        <v>40</v>
      </c>
      <c r="G759" s="2">
        <v>43800</v>
      </c>
      <c r="H759" t="s">
        <v>15</v>
      </c>
      <c r="I759" t="s">
        <v>39</v>
      </c>
      <c r="J759" t="s">
        <v>17</v>
      </c>
      <c r="K759" s="2" t="str">
        <f t="shared" ca="1" si="11"/>
        <v>6 Years</v>
      </c>
      <c r="L759" s="3" cm="1">
        <f t="array" ref="L759">_xlfn.SWITCH(Table13_2[[#This Row],[Performance Score]],"A",6,"B",5,"C",4,"D",3,"E",2,"F",1)</f>
        <v>3</v>
      </c>
    </row>
    <row r="760" spans="1:12" x14ac:dyDescent="0.3">
      <c r="A760" t="s">
        <v>46</v>
      </c>
      <c r="B760">
        <v>50</v>
      </c>
      <c r="C760" s="1">
        <v>50000</v>
      </c>
      <c r="D760" t="s">
        <v>34</v>
      </c>
      <c r="E760" t="s">
        <v>26</v>
      </c>
      <c r="F760" t="s">
        <v>14</v>
      </c>
      <c r="G760" s="2">
        <v>43845</v>
      </c>
      <c r="H760" t="s">
        <v>22</v>
      </c>
      <c r="I760" t="s">
        <v>16</v>
      </c>
      <c r="J760" t="s">
        <v>17</v>
      </c>
      <c r="K760" s="2" t="str">
        <f t="shared" ca="1" si="11"/>
        <v>5 Years</v>
      </c>
      <c r="L760" s="3" cm="1">
        <f t="array" ref="L760">_xlfn.SWITCH(Table13_2[[#This Row],[Performance Score]],"A",6,"B",5,"C",4,"D",3,"E",2,"F",1)</f>
        <v>1</v>
      </c>
    </row>
    <row r="761" spans="1:12" x14ac:dyDescent="0.3">
      <c r="A761" t="s">
        <v>33</v>
      </c>
      <c r="B761">
        <v>30</v>
      </c>
      <c r="C761" s="1">
        <v>65000</v>
      </c>
      <c r="D761" t="s">
        <v>12</v>
      </c>
      <c r="E761" t="s">
        <v>20</v>
      </c>
      <c r="F761" t="s">
        <v>40</v>
      </c>
      <c r="G761" s="2">
        <v>43549</v>
      </c>
      <c r="H761" t="s">
        <v>22</v>
      </c>
      <c r="I761" t="s">
        <v>39</v>
      </c>
      <c r="J761" t="s">
        <v>17</v>
      </c>
      <c r="K761" s="2" t="str">
        <f t="shared" ca="1" si="11"/>
        <v>6 Years</v>
      </c>
      <c r="L761" s="3" cm="1">
        <f t="array" ref="L761">_xlfn.SWITCH(Table13_2[[#This Row],[Performance Score]],"A",6,"B",5,"C",4,"D",3,"E",2,"F",1)</f>
        <v>1</v>
      </c>
    </row>
    <row r="762" spans="1:12" x14ac:dyDescent="0.3">
      <c r="A762" t="s">
        <v>44</v>
      </c>
      <c r="B762">
        <v>30</v>
      </c>
      <c r="C762" s="1">
        <v>49144.385026737968</v>
      </c>
      <c r="D762" t="s">
        <v>34</v>
      </c>
      <c r="E762" t="s">
        <v>35</v>
      </c>
      <c r="F762" t="s">
        <v>37</v>
      </c>
      <c r="G762" s="2">
        <v>43881</v>
      </c>
      <c r="H762" t="s">
        <v>22</v>
      </c>
      <c r="I762" t="s">
        <v>32</v>
      </c>
      <c r="J762" t="s">
        <v>42</v>
      </c>
      <c r="K762" s="2" t="str">
        <f t="shared" ca="1" si="11"/>
        <v>5 Years</v>
      </c>
      <c r="L762" s="3" cm="1">
        <f t="array" ref="L762">_xlfn.SWITCH(Table13_2[[#This Row],[Performance Score]],"A",6,"B",5,"C",4,"D",3,"E",2,"F",1)</f>
        <v>1</v>
      </c>
    </row>
    <row r="763" spans="1:12" x14ac:dyDescent="0.3">
      <c r="A763" t="s">
        <v>45</v>
      </c>
      <c r="B763">
        <v>30</v>
      </c>
      <c r="C763" s="1">
        <v>70000</v>
      </c>
      <c r="D763" t="s">
        <v>19</v>
      </c>
      <c r="E763" t="s">
        <v>30</v>
      </c>
      <c r="F763" t="s">
        <v>37</v>
      </c>
      <c r="G763" s="2">
        <v>43800</v>
      </c>
      <c r="H763" t="s">
        <v>31</v>
      </c>
      <c r="I763" t="s">
        <v>16</v>
      </c>
      <c r="J763" t="s">
        <v>42</v>
      </c>
      <c r="K763" s="2" t="str">
        <f t="shared" ca="1" si="11"/>
        <v>6 Years</v>
      </c>
      <c r="L763" s="3" cm="1">
        <f t="array" ref="L763">_xlfn.SWITCH(Table13_2[[#This Row],[Performance Score]],"A",6,"B",5,"C",4,"D",3,"E",2,"F",1)</f>
        <v>6</v>
      </c>
    </row>
    <row r="764" spans="1:12" x14ac:dyDescent="0.3">
      <c r="A764" t="s">
        <v>33</v>
      </c>
      <c r="B764">
        <v>30</v>
      </c>
      <c r="C764" s="1">
        <v>50000</v>
      </c>
      <c r="D764" t="s">
        <v>19</v>
      </c>
      <c r="E764" t="s">
        <v>26</v>
      </c>
      <c r="F764" t="s">
        <v>40</v>
      </c>
      <c r="G764" s="2">
        <v>43549</v>
      </c>
      <c r="H764" t="s">
        <v>38</v>
      </c>
      <c r="I764" t="s">
        <v>16</v>
      </c>
      <c r="J764" t="s">
        <v>24</v>
      </c>
      <c r="K764" s="2" t="str">
        <f t="shared" ca="1" si="11"/>
        <v>6 Years</v>
      </c>
      <c r="L764" s="3" cm="1">
        <f t="array" ref="L764">_xlfn.SWITCH(Table13_2[[#This Row],[Performance Score]],"A",6,"B",5,"C",4,"D",3,"E",2,"F",1)</f>
        <v>5</v>
      </c>
    </row>
    <row r="765" spans="1:12" x14ac:dyDescent="0.3">
      <c r="A765" t="s">
        <v>46</v>
      </c>
      <c r="B765">
        <v>36</v>
      </c>
      <c r="C765" s="1">
        <v>50000</v>
      </c>
      <c r="D765" t="s">
        <v>34</v>
      </c>
      <c r="E765" t="s">
        <v>35</v>
      </c>
      <c r="F765" t="s">
        <v>37</v>
      </c>
      <c r="G765" s="2">
        <v>43881</v>
      </c>
      <c r="H765" t="s">
        <v>31</v>
      </c>
      <c r="I765" t="s">
        <v>23</v>
      </c>
      <c r="J765" t="s">
        <v>42</v>
      </c>
      <c r="K765" s="2" t="str">
        <f t="shared" ca="1" si="11"/>
        <v>5 Years</v>
      </c>
      <c r="L765" s="3" cm="1">
        <f t="array" ref="L765">_xlfn.SWITCH(Table13_2[[#This Row],[Performance Score]],"A",6,"B",5,"C",4,"D",3,"E",2,"F",1)</f>
        <v>6</v>
      </c>
    </row>
    <row r="766" spans="1:12" x14ac:dyDescent="0.3">
      <c r="A766" t="s">
        <v>33</v>
      </c>
      <c r="B766">
        <v>25</v>
      </c>
      <c r="C766" s="1">
        <v>49144.385026737968</v>
      </c>
      <c r="D766" t="s">
        <v>34</v>
      </c>
      <c r="E766" t="s">
        <v>35</v>
      </c>
      <c r="F766" t="s">
        <v>41</v>
      </c>
      <c r="G766" s="2">
        <v>43195</v>
      </c>
      <c r="H766" t="s">
        <v>27</v>
      </c>
      <c r="I766" t="s">
        <v>23</v>
      </c>
      <c r="J766" t="s">
        <v>28</v>
      </c>
      <c r="K766" s="2" t="str">
        <f t="shared" ca="1" si="11"/>
        <v>7 Years</v>
      </c>
      <c r="L766" s="3" cm="1">
        <f t="array" ref="L766">_xlfn.SWITCH(Table13_2[[#This Row],[Performance Score]],"A",6,"B",5,"C",4,"D",3,"E",2,"F",1)</f>
        <v>4</v>
      </c>
    </row>
    <row r="767" spans="1:12" x14ac:dyDescent="0.3">
      <c r="A767" t="s">
        <v>46</v>
      </c>
      <c r="B767">
        <v>35</v>
      </c>
      <c r="C767" s="1">
        <v>65000</v>
      </c>
      <c r="D767" t="s">
        <v>12</v>
      </c>
      <c r="E767" t="s">
        <v>30</v>
      </c>
      <c r="F767" t="s">
        <v>41</v>
      </c>
      <c r="G767" s="2">
        <v>43195</v>
      </c>
      <c r="H767" t="s">
        <v>38</v>
      </c>
      <c r="I767" t="s">
        <v>23</v>
      </c>
      <c r="J767" t="s">
        <v>42</v>
      </c>
      <c r="K767" s="2" t="str">
        <f t="shared" ca="1" si="11"/>
        <v>7 Years</v>
      </c>
      <c r="L767" s="3" cm="1">
        <f t="array" ref="L767">_xlfn.SWITCH(Table13_2[[#This Row],[Performance Score]],"A",6,"B",5,"C",4,"D",3,"E",2,"F",1)</f>
        <v>5</v>
      </c>
    </row>
    <row r="768" spans="1:12" x14ac:dyDescent="0.3">
      <c r="A768" t="s">
        <v>46</v>
      </c>
      <c r="B768">
        <v>40</v>
      </c>
      <c r="C768" s="1">
        <v>65000</v>
      </c>
      <c r="D768" t="s">
        <v>34</v>
      </c>
      <c r="E768" t="s">
        <v>26</v>
      </c>
      <c r="F768" t="s">
        <v>37</v>
      </c>
      <c r="G768" s="2">
        <v>43881</v>
      </c>
      <c r="H768" t="s">
        <v>15</v>
      </c>
      <c r="I768" t="s">
        <v>32</v>
      </c>
      <c r="J768" t="s">
        <v>24</v>
      </c>
      <c r="K768" s="2" t="str">
        <f t="shared" ca="1" si="11"/>
        <v>5 Years</v>
      </c>
      <c r="L768" s="3" cm="1">
        <f t="array" ref="L768">_xlfn.SWITCH(Table13_2[[#This Row],[Performance Score]],"A",6,"B",5,"C",4,"D",3,"E",2,"F",1)</f>
        <v>3</v>
      </c>
    </row>
    <row r="769" spans="1:12" x14ac:dyDescent="0.3">
      <c r="A769" t="s">
        <v>43</v>
      </c>
      <c r="B769">
        <v>35</v>
      </c>
      <c r="C769" s="1">
        <v>60000</v>
      </c>
      <c r="D769" t="s">
        <v>12</v>
      </c>
      <c r="E769" t="s">
        <v>35</v>
      </c>
      <c r="F769" t="s">
        <v>37</v>
      </c>
      <c r="G769" s="2">
        <v>43845</v>
      </c>
      <c r="H769" t="s">
        <v>22</v>
      </c>
      <c r="I769" t="s">
        <v>39</v>
      </c>
      <c r="J769" t="s">
        <v>24</v>
      </c>
      <c r="K769" s="2" t="str">
        <f t="shared" ca="1" si="11"/>
        <v>5 Years</v>
      </c>
      <c r="L769" s="3" cm="1">
        <f t="array" ref="L769">_xlfn.SWITCH(Table13_2[[#This Row],[Performance Score]],"A",6,"B",5,"C",4,"D",3,"E",2,"F",1)</f>
        <v>1</v>
      </c>
    </row>
    <row r="770" spans="1:12" x14ac:dyDescent="0.3">
      <c r="A770" t="s">
        <v>25</v>
      </c>
      <c r="B770">
        <v>35</v>
      </c>
      <c r="C770" s="1">
        <v>49144.385026737968</v>
      </c>
      <c r="D770" t="s">
        <v>19</v>
      </c>
      <c r="E770" t="s">
        <v>35</v>
      </c>
      <c r="F770" t="s">
        <v>41</v>
      </c>
      <c r="G770" s="2">
        <v>43881</v>
      </c>
      <c r="H770" t="s">
        <v>27</v>
      </c>
      <c r="I770" t="s">
        <v>39</v>
      </c>
      <c r="J770" t="s">
        <v>28</v>
      </c>
      <c r="K770" s="2" t="str">
        <f t="shared" ca="1" si="11"/>
        <v>5 Years</v>
      </c>
      <c r="L770" s="3" cm="1">
        <f t="array" ref="L770">_xlfn.SWITCH(Table13_2[[#This Row],[Performance Score]],"A",6,"B",5,"C",4,"D",3,"E",2,"F",1)</f>
        <v>4</v>
      </c>
    </row>
    <row r="771" spans="1:12" x14ac:dyDescent="0.3">
      <c r="A771" t="s">
        <v>45</v>
      </c>
      <c r="B771">
        <v>50</v>
      </c>
      <c r="C771" s="1">
        <v>51825</v>
      </c>
      <c r="D771" t="s">
        <v>34</v>
      </c>
      <c r="E771" t="s">
        <v>13</v>
      </c>
      <c r="F771" t="s">
        <v>37</v>
      </c>
      <c r="G771" s="2">
        <v>43881</v>
      </c>
      <c r="H771" t="s">
        <v>38</v>
      </c>
      <c r="I771" t="s">
        <v>39</v>
      </c>
      <c r="J771" t="s">
        <v>24</v>
      </c>
      <c r="K771" s="2" t="str">
        <f t="shared" ref="K771:K834" ca="1" si="12">DATEDIF(G771,TODAY(),"Y") &amp; " Years"</f>
        <v>5 Years</v>
      </c>
      <c r="L771" s="3" cm="1">
        <f t="array" ref="L771">_xlfn.SWITCH(Table13_2[[#This Row],[Performance Score]],"A",6,"B",5,"C",4,"D",3,"E",2,"F",1)</f>
        <v>5</v>
      </c>
    </row>
    <row r="772" spans="1:12" x14ac:dyDescent="0.3">
      <c r="A772" t="s">
        <v>33</v>
      </c>
      <c r="B772">
        <v>25</v>
      </c>
      <c r="C772" s="1">
        <v>65000</v>
      </c>
      <c r="D772" t="s">
        <v>12</v>
      </c>
      <c r="E772" t="s">
        <v>35</v>
      </c>
      <c r="F772" t="s">
        <v>37</v>
      </c>
      <c r="G772" s="2">
        <v>43845</v>
      </c>
      <c r="H772" t="s">
        <v>31</v>
      </c>
      <c r="I772" t="s">
        <v>32</v>
      </c>
      <c r="J772" t="s">
        <v>17</v>
      </c>
      <c r="K772" s="2" t="str">
        <f t="shared" ca="1" si="12"/>
        <v>5 Years</v>
      </c>
      <c r="L772" s="3" cm="1">
        <f t="array" ref="L772">_xlfn.SWITCH(Table13_2[[#This Row],[Performance Score]],"A",6,"B",5,"C",4,"D",3,"E",2,"F",1)</f>
        <v>6</v>
      </c>
    </row>
    <row r="773" spans="1:12" x14ac:dyDescent="0.3">
      <c r="A773" t="s">
        <v>18</v>
      </c>
      <c r="B773">
        <v>50</v>
      </c>
      <c r="C773" s="1">
        <v>60000</v>
      </c>
      <c r="D773" t="s">
        <v>12</v>
      </c>
      <c r="E773" t="s">
        <v>13</v>
      </c>
      <c r="F773" t="s">
        <v>40</v>
      </c>
      <c r="G773" s="2">
        <v>43845</v>
      </c>
      <c r="H773" t="s">
        <v>22</v>
      </c>
      <c r="I773" t="s">
        <v>32</v>
      </c>
      <c r="J773" t="s">
        <v>17</v>
      </c>
      <c r="K773" s="2" t="str">
        <f t="shared" ca="1" si="12"/>
        <v>5 Years</v>
      </c>
      <c r="L773" s="3" cm="1">
        <f t="array" ref="L773">_xlfn.SWITCH(Table13_2[[#This Row],[Performance Score]],"A",6,"B",5,"C",4,"D",3,"E",2,"F",1)</f>
        <v>1</v>
      </c>
    </row>
    <row r="774" spans="1:12" x14ac:dyDescent="0.3">
      <c r="A774" t="s">
        <v>45</v>
      </c>
      <c r="B774">
        <v>25</v>
      </c>
      <c r="C774" s="1">
        <v>50000</v>
      </c>
      <c r="D774" t="s">
        <v>19</v>
      </c>
      <c r="E774" t="s">
        <v>26</v>
      </c>
      <c r="F774" t="s">
        <v>14</v>
      </c>
      <c r="G774" s="2">
        <v>43549</v>
      </c>
      <c r="H774" t="s">
        <v>31</v>
      </c>
      <c r="I774" t="s">
        <v>23</v>
      </c>
      <c r="J774" t="s">
        <v>42</v>
      </c>
      <c r="K774" s="2" t="str">
        <f t="shared" ca="1" si="12"/>
        <v>6 Years</v>
      </c>
      <c r="L774" s="3" cm="1">
        <f t="array" ref="L774">_xlfn.SWITCH(Table13_2[[#This Row],[Performance Score]],"A",6,"B",5,"C",4,"D",3,"E",2,"F",1)</f>
        <v>6</v>
      </c>
    </row>
    <row r="775" spans="1:12" x14ac:dyDescent="0.3">
      <c r="A775" t="s">
        <v>25</v>
      </c>
      <c r="B775">
        <v>25</v>
      </c>
      <c r="C775" s="1">
        <v>55000</v>
      </c>
      <c r="D775" t="s">
        <v>34</v>
      </c>
      <c r="E775" t="s">
        <v>26</v>
      </c>
      <c r="F775" t="s">
        <v>41</v>
      </c>
      <c r="G775" s="2">
        <v>43549</v>
      </c>
      <c r="H775" t="s">
        <v>38</v>
      </c>
      <c r="I775" t="s">
        <v>16</v>
      </c>
      <c r="J775" t="s">
        <v>17</v>
      </c>
      <c r="K775" s="2" t="str">
        <f t="shared" ca="1" si="12"/>
        <v>6 Years</v>
      </c>
      <c r="L775" s="3" cm="1">
        <f t="array" ref="L775">_xlfn.SWITCH(Table13_2[[#This Row],[Performance Score]],"A",6,"B",5,"C",4,"D",3,"E",2,"F",1)</f>
        <v>5</v>
      </c>
    </row>
    <row r="776" spans="1:12" x14ac:dyDescent="0.3">
      <c r="A776" t="s">
        <v>45</v>
      </c>
      <c r="B776">
        <v>30</v>
      </c>
      <c r="C776" s="1">
        <v>70000</v>
      </c>
      <c r="D776" t="s">
        <v>19</v>
      </c>
      <c r="E776" t="s">
        <v>26</v>
      </c>
      <c r="F776" t="s">
        <v>40</v>
      </c>
      <c r="G776" s="2">
        <v>43845</v>
      </c>
      <c r="H776" t="s">
        <v>38</v>
      </c>
      <c r="I776" t="s">
        <v>39</v>
      </c>
      <c r="J776" t="s">
        <v>42</v>
      </c>
      <c r="K776" s="2" t="str">
        <f t="shared" ca="1" si="12"/>
        <v>5 Years</v>
      </c>
      <c r="L776" s="3" cm="1">
        <f t="array" ref="L776">_xlfn.SWITCH(Table13_2[[#This Row],[Performance Score]],"A",6,"B",5,"C",4,"D",3,"E",2,"F",1)</f>
        <v>5</v>
      </c>
    </row>
    <row r="777" spans="1:12" x14ac:dyDescent="0.3">
      <c r="A777" t="s">
        <v>36</v>
      </c>
      <c r="B777">
        <v>36</v>
      </c>
      <c r="C777" s="1">
        <v>50000</v>
      </c>
      <c r="D777" t="s">
        <v>12</v>
      </c>
      <c r="E777" t="s">
        <v>20</v>
      </c>
      <c r="F777" t="s">
        <v>14</v>
      </c>
      <c r="G777" s="2">
        <v>43195</v>
      </c>
      <c r="H777" t="s">
        <v>27</v>
      </c>
      <c r="I777" t="s">
        <v>39</v>
      </c>
      <c r="J777" t="s">
        <v>17</v>
      </c>
      <c r="K777" s="2" t="str">
        <f t="shared" ca="1" si="12"/>
        <v>7 Years</v>
      </c>
      <c r="L777" s="3" cm="1">
        <f t="array" ref="L777">_xlfn.SWITCH(Table13_2[[#This Row],[Performance Score]],"A",6,"B",5,"C",4,"D",3,"E",2,"F",1)</f>
        <v>4</v>
      </c>
    </row>
    <row r="778" spans="1:12" x14ac:dyDescent="0.3">
      <c r="A778" t="s">
        <v>18</v>
      </c>
      <c r="B778">
        <v>30</v>
      </c>
      <c r="C778" s="1">
        <v>65000</v>
      </c>
      <c r="D778" t="s">
        <v>12</v>
      </c>
      <c r="E778" t="s">
        <v>26</v>
      </c>
      <c r="F778" t="s">
        <v>37</v>
      </c>
      <c r="G778" s="2">
        <v>43195</v>
      </c>
      <c r="H778" t="s">
        <v>15</v>
      </c>
      <c r="I778" t="s">
        <v>16</v>
      </c>
      <c r="J778" t="s">
        <v>42</v>
      </c>
      <c r="K778" s="2" t="str">
        <f t="shared" ca="1" si="12"/>
        <v>7 Years</v>
      </c>
      <c r="L778" s="3" cm="1">
        <f t="array" ref="L778">_xlfn.SWITCH(Table13_2[[#This Row],[Performance Score]],"A",6,"B",5,"C",4,"D",3,"E",2,"F",1)</f>
        <v>3</v>
      </c>
    </row>
    <row r="779" spans="1:12" x14ac:dyDescent="0.3">
      <c r="A779" t="s">
        <v>25</v>
      </c>
      <c r="B779">
        <v>36</v>
      </c>
      <c r="C779" s="1">
        <v>70000</v>
      </c>
      <c r="D779" t="s">
        <v>34</v>
      </c>
      <c r="E779" t="s">
        <v>35</v>
      </c>
      <c r="F779" t="s">
        <v>37</v>
      </c>
      <c r="G779" s="2">
        <v>43881</v>
      </c>
      <c r="H779" t="s">
        <v>31</v>
      </c>
      <c r="I779" t="s">
        <v>23</v>
      </c>
      <c r="J779" t="s">
        <v>28</v>
      </c>
      <c r="K779" s="2" t="str">
        <f t="shared" ca="1" si="12"/>
        <v>5 Years</v>
      </c>
      <c r="L779" s="3" cm="1">
        <f t="array" ref="L779">_xlfn.SWITCH(Table13_2[[#This Row],[Performance Score]],"A",6,"B",5,"C",4,"D",3,"E",2,"F",1)</f>
        <v>6</v>
      </c>
    </row>
    <row r="780" spans="1:12" x14ac:dyDescent="0.3">
      <c r="A780" t="s">
        <v>43</v>
      </c>
      <c r="B780">
        <v>50</v>
      </c>
      <c r="C780" s="1">
        <v>55000</v>
      </c>
      <c r="D780" t="s">
        <v>12</v>
      </c>
      <c r="E780" t="s">
        <v>30</v>
      </c>
      <c r="F780" t="s">
        <v>40</v>
      </c>
      <c r="G780" s="2">
        <v>43800</v>
      </c>
      <c r="H780" t="s">
        <v>27</v>
      </c>
      <c r="I780" t="s">
        <v>16</v>
      </c>
      <c r="J780" t="s">
        <v>24</v>
      </c>
      <c r="K780" s="2" t="str">
        <f t="shared" ca="1" si="12"/>
        <v>6 Years</v>
      </c>
      <c r="L780" s="3" cm="1">
        <f t="array" ref="L780">_xlfn.SWITCH(Table13_2[[#This Row],[Performance Score]],"A",6,"B",5,"C",4,"D",3,"E",2,"F",1)</f>
        <v>4</v>
      </c>
    </row>
    <row r="781" spans="1:12" x14ac:dyDescent="0.3">
      <c r="A781" t="s">
        <v>33</v>
      </c>
      <c r="B781">
        <v>36</v>
      </c>
      <c r="C781" s="1">
        <v>55000</v>
      </c>
      <c r="D781" t="s">
        <v>34</v>
      </c>
      <c r="E781" t="s">
        <v>13</v>
      </c>
      <c r="F781" t="s">
        <v>37</v>
      </c>
      <c r="G781" s="2">
        <v>43881</v>
      </c>
      <c r="H781" t="s">
        <v>22</v>
      </c>
      <c r="I781" t="s">
        <v>16</v>
      </c>
      <c r="J781" t="s">
        <v>24</v>
      </c>
      <c r="K781" s="2" t="str">
        <f t="shared" ca="1" si="12"/>
        <v>5 Years</v>
      </c>
      <c r="L781" s="3" cm="1">
        <f t="array" ref="L781">_xlfn.SWITCH(Table13_2[[#This Row],[Performance Score]],"A",6,"B",5,"C",4,"D",3,"E",2,"F",1)</f>
        <v>1</v>
      </c>
    </row>
    <row r="782" spans="1:12" x14ac:dyDescent="0.3">
      <c r="A782" t="s">
        <v>11</v>
      </c>
      <c r="B782">
        <v>50</v>
      </c>
      <c r="C782" s="1">
        <v>60000</v>
      </c>
      <c r="D782" t="s">
        <v>19</v>
      </c>
      <c r="E782" t="s">
        <v>20</v>
      </c>
      <c r="F782" t="s">
        <v>21</v>
      </c>
      <c r="G782" s="2">
        <v>43881</v>
      </c>
      <c r="H782" t="s">
        <v>15</v>
      </c>
      <c r="I782" t="s">
        <v>39</v>
      </c>
      <c r="J782" t="s">
        <v>28</v>
      </c>
      <c r="K782" s="2" t="str">
        <f t="shared" ca="1" si="12"/>
        <v>5 Years</v>
      </c>
      <c r="L782" s="3" cm="1">
        <f t="array" ref="L782">_xlfn.SWITCH(Table13_2[[#This Row],[Performance Score]],"A",6,"B",5,"C",4,"D",3,"E",2,"F",1)</f>
        <v>3</v>
      </c>
    </row>
    <row r="783" spans="1:12" x14ac:dyDescent="0.3">
      <c r="A783" t="s">
        <v>25</v>
      </c>
      <c r="B783">
        <v>35</v>
      </c>
      <c r="C783" s="1">
        <v>70000</v>
      </c>
      <c r="D783" t="s">
        <v>34</v>
      </c>
      <c r="E783" t="s">
        <v>26</v>
      </c>
      <c r="F783" t="s">
        <v>40</v>
      </c>
      <c r="G783" s="2">
        <v>43800</v>
      </c>
      <c r="H783" t="s">
        <v>27</v>
      </c>
      <c r="I783" t="s">
        <v>23</v>
      </c>
      <c r="J783" t="s">
        <v>17</v>
      </c>
      <c r="K783" s="2" t="str">
        <f t="shared" ca="1" si="12"/>
        <v>6 Years</v>
      </c>
      <c r="L783" s="3" cm="1">
        <f t="array" ref="L783">_xlfn.SWITCH(Table13_2[[#This Row],[Performance Score]],"A",6,"B",5,"C",4,"D",3,"E",2,"F",1)</f>
        <v>4</v>
      </c>
    </row>
    <row r="784" spans="1:12" x14ac:dyDescent="0.3">
      <c r="A784" t="s">
        <v>44</v>
      </c>
      <c r="B784">
        <v>35</v>
      </c>
      <c r="C784" s="1">
        <v>60000</v>
      </c>
      <c r="D784" t="s">
        <v>34</v>
      </c>
      <c r="E784" t="s">
        <v>26</v>
      </c>
      <c r="F784" t="s">
        <v>14</v>
      </c>
      <c r="G784" s="2">
        <v>43845</v>
      </c>
      <c r="H784" t="s">
        <v>31</v>
      </c>
      <c r="I784" t="s">
        <v>32</v>
      </c>
      <c r="J784" t="s">
        <v>17</v>
      </c>
      <c r="K784" s="2" t="str">
        <f t="shared" ca="1" si="12"/>
        <v>5 Years</v>
      </c>
      <c r="L784" s="3" cm="1">
        <f t="array" ref="L784">_xlfn.SWITCH(Table13_2[[#This Row],[Performance Score]],"A",6,"B",5,"C",4,"D",3,"E",2,"F",1)</f>
        <v>6</v>
      </c>
    </row>
    <row r="785" spans="1:12" x14ac:dyDescent="0.3">
      <c r="A785" t="s">
        <v>33</v>
      </c>
      <c r="B785">
        <v>36</v>
      </c>
      <c r="C785" s="1">
        <v>50000</v>
      </c>
      <c r="D785" t="s">
        <v>12</v>
      </c>
      <c r="E785" t="s">
        <v>30</v>
      </c>
      <c r="F785" t="s">
        <v>40</v>
      </c>
      <c r="G785" s="2">
        <v>43195</v>
      </c>
      <c r="H785" t="s">
        <v>38</v>
      </c>
      <c r="I785" t="s">
        <v>39</v>
      </c>
      <c r="J785" t="s">
        <v>17</v>
      </c>
      <c r="K785" s="2" t="str">
        <f t="shared" ca="1" si="12"/>
        <v>7 Years</v>
      </c>
      <c r="L785" s="3" cm="1">
        <f t="array" ref="L785">_xlfn.SWITCH(Table13_2[[#This Row],[Performance Score]],"A",6,"B",5,"C",4,"D",3,"E",2,"F",1)</f>
        <v>5</v>
      </c>
    </row>
    <row r="786" spans="1:12" x14ac:dyDescent="0.3">
      <c r="A786" t="s">
        <v>25</v>
      </c>
      <c r="B786">
        <v>36</v>
      </c>
      <c r="C786" s="1">
        <v>50777.202072538857</v>
      </c>
      <c r="D786" t="s">
        <v>12</v>
      </c>
      <c r="E786" t="s">
        <v>30</v>
      </c>
      <c r="F786" t="s">
        <v>41</v>
      </c>
      <c r="G786" s="2">
        <v>43881</v>
      </c>
      <c r="H786" t="s">
        <v>22</v>
      </c>
      <c r="I786" t="s">
        <v>32</v>
      </c>
      <c r="J786" t="s">
        <v>24</v>
      </c>
      <c r="K786" s="2" t="str">
        <f t="shared" ca="1" si="12"/>
        <v>5 Years</v>
      </c>
      <c r="L786" s="3" cm="1">
        <f t="array" ref="L786">_xlfn.SWITCH(Table13_2[[#This Row],[Performance Score]],"A",6,"B",5,"C",4,"D",3,"E",2,"F",1)</f>
        <v>1</v>
      </c>
    </row>
    <row r="787" spans="1:12" x14ac:dyDescent="0.3">
      <c r="A787" t="s">
        <v>36</v>
      </c>
      <c r="B787">
        <v>50</v>
      </c>
      <c r="C787" s="1">
        <v>48417.431192660551</v>
      </c>
      <c r="D787" t="s">
        <v>34</v>
      </c>
      <c r="E787" t="s">
        <v>20</v>
      </c>
      <c r="F787" t="s">
        <v>40</v>
      </c>
      <c r="G787" s="2">
        <v>43800</v>
      </c>
      <c r="H787" t="s">
        <v>31</v>
      </c>
      <c r="I787" t="s">
        <v>23</v>
      </c>
      <c r="J787" t="s">
        <v>17</v>
      </c>
      <c r="K787" s="2" t="str">
        <f t="shared" ca="1" si="12"/>
        <v>6 Years</v>
      </c>
      <c r="L787" s="3" cm="1">
        <f t="array" ref="L787">_xlfn.SWITCH(Table13_2[[#This Row],[Performance Score]],"A",6,"B",5,"C",4,"D",3,"E",2,"F",1)</f>
        <v>6</v>
      </c>
    </row>
    <row r="788" spans="1:12" x14ac:dyDescent="0.3">
      <c r="A788" t="s">
        <v>11</v>
      </c>
      <c r="B788">
        <v>30</v>
      </c>
      <c r="C788" s="1">
        <v>51825</v>
      </c>
      <c r="D788" t="s">
        <v>12</v>
      </c>
      <c r="E788" t="s">
        <v>13</v>
      </c>
      <c r="F788" t="s">
        <v>37</v>
      </c>
      <c r="G788" s="2">
        <v>43549</v>
      </c>
      <c r="H788" t="s">
        <v>15</v>
      </c>
      <c r="I788" t="s">
        <v>16</v>
      </c>
      <c r="J788" t="s">
        <v>42</v>
      </c>
      <c r="K788" s="2" t="str">
        <f t="shared" ca="1" si="12"/>
        <v>6 Years</v>
      </c>
      <c r="L788" s="3" cm="1">
        <f t="array" ref="L788">_xlfn.SWITCH(Table13_2[[#This Row],[Performance Score]],"A",6,"B",5,"C",4,"D",3,"E",2,"F",1)</f>
        <v>3</v>
      </c>
    </row>
    <row r="789" spans="1:12" x14ac:dyDescent="0.3">
      <c r="A789" t="s">
        <v>36</v>
      </c>
      <c r="B789">
        <v>50</v>
      </c>
      <c r="C789" s="1">
        <v>70000</v>
      </c>
      <c r="D789" t="s">
        <v>12</v>
      </c>
      <c r="E789" t="s">
        <v>26</v>
      </c>
      <c r="F789" t="s">
        <v>37</v>
      </c>
      <c r="G789" s="2">
        <v>43881</v>
      </c>
      <c r="H789" t="s">
        <v>15</v>
      </c>
      <c r="I789" t="s">
        <v>39</v>
      </c>
      <c r="J789" t="s">
        <v>17</v>
      </c>
      <c r="K789" s="2" t="str">
        <f t="shared" ca="1" si="12"/>
        <v>5 Years</v>
      </c>
      <c r="L789" s="3" cm="1">
        <f t="array" ref="L789">_xlfn.SWITCH(Table13_2[[#This Row],[Performance Score]],"A",6,"B",5,"C",4,"D",3,"E",2,"F",1)</f>
        <v>3</v>
      </c>
    </row>
    <row r="790" spans="1:12" x14ac:dyDescent="0.3">
      <c r="A790" t="s">
        <v>11</v>
      </c>
      <c r="B790">
        <v>30</v>
      </c>
      <c r="C790" s="1">
        <v>48417.431192660551</v>
      </c>
      <c r="D790" t="s">
        <v>12</v>
      </c>
      <c r="E790" t="s">
        <v>20</v>
      </c>
      <c r="F790" t="s">
        <v>21</v>
      </c>
      <c r="G790" s="2">
        <v>43195</v>
      </c>
      <c r="H790" t="s">
        <v>38</v>
      </c>
      <c r="I790" t="s">
        <v>39</v>
      </c>
      <c r="J790" t="s">
        <v>17</v>
      </c>
      <c r="K790" s="2" t="str">
        <f t="shared" ca="1" si="12"/>
        <v>7 Years</v>
      </c>
      <c r="L790" s="3" cm="1">
        <f t="array" ref="L790">_xlfn.SWITCH(Table13_2[[#This Row],[Performance Score]],"A",6,"B",5,"C",4,"D",3,"E",2,"F",1)</f>
        <v>5</v>
      </c>
    </row>
    <row r="791" spans="1:12" x14ac:dyDescent="0.3">
      <c r="A791" t="s">
        <v>44</v>
      </c>
      <c r="B791">
        <v>35</v>
      </c>
      <c r="C791" s="1">
        <v>50000</v>
      </c>
      <c r="D791" t="s">
        <v>34</v>
      </c>
      <c r="E791" t="s">
        <v>35</v>
      </c>
      <c r="F791" t="s">
        <v>21</v>
      </c>
      <c r="G791" s="2">
        <v>43845</v>
      </c>
      <c r="H791" t="s">
        <v>38</v>
      </c>
      <c r="I791" t="s">
        <v>23</v>
      </c>
      <c r="J791" t="s">
        <v>28</v>
      </c>
      <c r="K791" s="2" t="str">
        <f t="shared" ca="1" si="12"/>
        <v>5 Years</v>
      </c>
      <c r="L791" s="3" cm="1">
        <f t="array" ref="L791">_xlfn.SWITCH(Table13_2[[#This Row],[Performance Score]],"A",6,"B",5,"C",4,"D",3,"E",2,"F",1)</f>
        <v>5</v>
      </c>
    </row>
    <row r="792" spans="1:12" x14ac:dyDescent="0.3">
      <c r="A792" t="s">
        <v>33</v>
      </c>
      <c r="B792">
        <v>25</v>
      </c>
      <c r="C792" s="1">
        <v>60000</v>
      </c>
      <c r="D792" t="s">
        <v>12</v>
      </c>
      <c r="E792" t="s">
        <v>35</v>
      </c>
      <c r="F792" t="s">
        <v>21</v>
      </c>
      <c r="G792" s="2">
        <v>43881</v>
      </c>
      <c r="H792" t="s">
        <v>22</v>
      </c>
      <c r="I792" t="s">
        <v>39</v>
      </c>
      <c r="J792" t="s">
        <v>42</v>
      </c>
      <c r="K792" s="2" t="str">
        <f t="shared" ca="1" si="12"/>
        <v>5 Years</v>
      </c>
      <c r="L792" s="3" cm="1">
        <f t="array" ref="L792">_xlfn.SWITCH(Table13_2[[#This Row],[Performance Score]],"A",6,"B",5,"C",4,"D",3,"E",2,"F",1)</f>
        <v>1</v>
      </c>
    </row>
    <row r="793" spans="1:12" x14ac:dyDescent="0.3">
      <c r="A793" t="s">
        <v>43</v>
      </c>
      <c r="B793">
        <v>36</v>
      </c>
      <c r="C793" s="1">
        <v>70000</v>
      </c>
      <c r="D793" t="s">
        <v>34</v>
      </c>
      <c r="E793" t="s">
        <v>20</v>
      </c>
      <c r="F793" t="s">
        <v>14</v>
      </c>
      <c r="G793" s="2">
        <v>43881</v>
      </c>
      <c r="H793" t="s">
        <v>22</v>
      </c>
      <c r="I793" t="s">
        <v>32</v>
      </c>
      <c r="J793" t="s">
        <v>17</v>
      </c>
      <c r="K793" s="2" t="str">
        <f t="shared" ca="1" si="12"/>
        <v>5 Years</v>
      </c>
      <c r="L793" s="3" cm="1">
        <f t="array" ref="L793">_xlfn.SWITCH(Table13_2[[#This Row],[Performance Score]],"A",6,"B",5,"C",4,"D",3,"E",2,"F",1)</f>
        <v>1</v>
      </c>
    </row>
    <row r="794" spans="1:12" x14ac:dyDescent="0.3">
      <c r="A794" t="s">
        <v>36</v>
      </c>
      <c r="B794">
        <v>30</v>
      </c>
      <c r="C794" s="1">
        <v>60000</v>
      </c>
      <c r="D794" t="s">
        <v>12</v>
      </c>
      <c r="E794" t="s">
        <v>26</v>
      </c>
      <c r="F794" t="s">
        <v>21</v>
      </c>
      <c r="G794" s="2">
        <v>43800</v>
      </c>
      <c r="H794" t="s">
        <v>38</v>
      </c>
      <c r="I794" t="s">
        <v>39</v>
      </c>
      <c r="J794" t="s">
        <v>42</v>
      </c>
      <c r="K794" s="2" t="str">
        <f t="shared" ca="1" si="12"/>
        <v>6 Years</v>
      </c>
      <c r="L794" s="3" cm="1">
        <f t="array" ref="L794">_xlfn.SWITCH(Table13_2[[#This Row],[Performance Score]],"A",6,"B",5,"C",4,"D",3,"E",2,"F",1)</f>
        <v>5</v>
      </c>
    </row>
    <row r="795" spans="1:12" x14ac:dyDescent="0.3">
      <c r="A795" t="s">
        <v>36</v>
      </c>
      <c r="B795">
        <v>50</v>
      </c>
      <c r="C795" s="1">
        <v>70000</v>
      </c>
      <c r="D795" t="s">
        <v>19</v>
      </c>
      <c r="E795" t="s">
        <v>20</v>
      </c>
      <c r="F795" t="s">
        <v>14</v>
      </c>
      <c r="G795" s="2">
        <v>43549</v>
      </c>
      <c r="H795" t="s">
        <v>38</v>
      </c>
      <c r="I795" t="s">
        <v>23</v>
      </c>
      <c r="J795" t="s">
        <v>17</v>
      </c>
      <c r="K795" s="2" t="str">
        <f t="shared" ca="1" si="12"/>
        <v>6 Years</v>
      </c>
      <c r="L795" s="3" cm="1">
        <f t="array" ref="L795">_xlfn.SWITCH(Table13_2[[#This Row],[Performance Score]],"A",6,"B",5,"C",4,"D",3,"E",2,"F",1)</f>
        <v>5</v>
      </c>
    </row>
    <row r="796" spans="1:12" x14ac:dyDescent="0.3">
      <c r="A796" t="s">
        <v>46</v>
      </c>
      <c r="B796">
        <v>35</v>
      </c>
      <c r="C796" s="1">
        <v>60000</v>
      </c>
      <c r="D796" t="s">
        <v>12</v>
      </c>
      <c r="E796" t="s">
        <v>26</v>
      </c>
      <c r="F796" t="s">
        <v>21</v>
      </c>
      <c r="G796" s="2">
        <v>43549</v>
      </c>
      <c r="H796" t="s">
        <v>15</v>
      </c>
      <c r="I796" t="s">
        <v>23</v>
      </c>
      <c r="J796" t="s">
        <v>24</v>
      </c>
      <c r="K796" s="2" t="str">
        <f t="shared" ca="1" si="12"/>
        <v>6 Years</v>
      </c>
      <c r="L796" s="3" cm="1">
        <f t="array" ref="L796">_xlfn.SWITCH(Table13_2[[#This Row],[Performance Score]],"A",6,"B",5,"C",4,"D",3,"E",2,"F",1)</f>
        <v>3</v>
      </c>
    </row>
    <row r="797" spans="1:12" x14ac:dyDescent="0.3">
      <c r="A797" t="s">
        <v>11</v>
      </c>
      <c r="B797">
        <v>30</v>
      </c>
      <c r="C797" s="1">
        <v>55000</v>
      </c>
      <c r="D797" t="s">
        <v>12</v>
      </c>
      <c r="E797" t="s">
        <v>30</v>
      </c>
      <c r="F797" t="s">
        <v>14</v>
      </c>
      <c r="G797" s="2">
        <v>43845</v>
      </c>
      <c r="H797" t="s">
        <v>38</v>
      </c>
      <c r="I797" t="s">
        <v>32</v>
      </c>
      <c r="J797" t="s">
        <v>17</v>
      </c>
      <c r="K797" s="2" t="str">
        <f t="shared" ca="1" si="12"/>
        <v>5 Years</v>
      </c>
      <c r="L797" s="3" cm="1">
        <f t="array" ref="L797">_xlfn.SWITCH(Table13_2[[#This Row],[Performance Score]],"A",6,"B",5,"C",4,"D",3,"E",2,"F",1)</f>
        <v>5</v>
      </c>
    </row>
    <row r="798" spans="1:12" x14ac:dyDescent="0.3">
      <c r="A798" t="s">
        <v>29</v>
      </c>
      <c r="B798">
        <v>50</v>
      </c>
      <c r="C798" s="1">
        <v>60000</v>
      </c>
      <c r="D798" t="s">
        <v>34</v>
      </c>
      <c r="E798" t="s">
        <v>20</v>
      </c>
      <c r="F798" t="s">
        <v>40</v>
      </c>
      <c r="G798" s="2">
        <v>43195</v>
      </c>
      <c r="H798" t="s">
        <v>27</v>
      </c>
      <c r="I798" t="s">
        <v>39</v>
      </c>
      <c r="J798" t="s">
        <v>28</v>
      </c>
      <c r="K798" s="2" t="str">
        <f t="shared" ca="1" si="12"/>
        <v>7 Years</v>
      </c>
      <c r="L798" s="3" cm="1">
        <f t="array" ref="L798">_xlfn.SWITCH(Table13_2[[#This Row],[Performance Score]],"A",6,"B",5,"C",4,"D",3,"E",2,"F",1)</f>
        <v>4</v>
      </c>
    </row>
    <row r="799" spans="1:12" x14ac:dyDescent="0.3">
      <c r="A799" t="s">
        <v>33</v>
      </c>
      <c r="B799">
        <v>36</v>
      </c>
      <c r="C799" s="1">
        <v>50742.574257425746</v>
      </c>
      <c r="D799" t="s">
        <v>34</v>
      </c>
      <c r="E799" t="s">
        <v>26</v>
      </c>
      <c r="F799" t="s">
        <v>40</v>
      </c>
      <c r="G799" s="2">
        <v>43845</v>
      </c>
      <c r="H799" t="s">
        <v>31</v>
      </c>
      <c r="I799" t="s">
        <v>39</v>
      </c>
      <c r="J799" t="s">
        <v>17</v>
      </c>
      <c r="K799" s="2" t="str">
        <f t="shared" ca="1" si="12"/>
        <v>5 Years</v>
      </c>
      <c r="L799" s="3" cm="1">
        <f t="array" ref="L799">_xlfn.SWITCH(Table13_2[[#This Row],[Performance Score]],"A",6,"B",5,"C",4,"D",3,"E",2,"F",1)</f>
        <v>6</v>
      </c>
    </row>
    <row r="800" spans="1:12" x14ac:dyDescent="0.3">
      <c r="A800" t="s">
        <v>11</v>
      </c>
      <c r="B800">
        <v>36</v>
      </c>
      <c r="C800" s="1">
        <v>55000</v>
      </c>
      <c r="D800" t="s">
        <v>12</v>
      </c>
      <c r="E800" t="s">
        <v>20</v>
      </c>
      <c r="F800" t="s">
        <v>37</v>
      </c>
      <c r="G800" s="2">
        <v>43881</v>
      </c>
      <c r="H800" t="s">
        <v>38</v>
      </c>
      <c r="I800" t="s">
        <v>16</v>
      </c>
      <c r="J800" t="s">
        <v>17</v>
      </c>
      <c r="K800" s="2" t="str">
        <f t="shared" ca="1" si="12"/>
        <v>5 Years</v>
      </c>
      <c r="L800" s="3" cm="1">
        <f t="array" ref="L800">_xlfn.SWITCH(Table13_2[[#This Row],[Performance Score]],"A",6,"B",5,"C",4,"D",3,"E",2,"F",1)</f>
        <v>5</v>
      </c>
    </row>
    <row r="801" spans="1:12" x14ac:dyDescent="0.3">
      <c r="A801" t="s">
        <v>46</v>
      </c>
      <c r="B801">
        <v>40</v>
      </c>
      <c r="C801" s="1">
        <v>60000</v>
      </c>
      <c r="D801" t="s">
        <v>19</v>
      </c>
      <c r="E801" t="s">
        <v>20</v>
      </c>
      <c r="F801" t="s">
        <v>14</v>
      </c>
      <c r="G801" s="2">
        <v>43881</v>
      </c>
      <c r="H801" t="s">
        <v>22</v>
      </c>
      <c r="I801" t="s">
        <v>39</v>
      </c>
      <c r="J801" t="s">
        <v>28</v>
      </c>
      <c r="K801" s="2" t="str">
        <f t="shared" ca="1" si="12"/>
        <v>5 Years</v>
      </c>
      <c r="L801" s="3" cm="1">
        <f t="array" ref="L801">_xlfn.SWITCH(Table13_2[[#This Row],[Performance Score]],"A",6,"B",5,"C",4,"D",3,"E",2,"F",1)</f>
        <v>1</v>
      </c>
    </row>
    <row r="802" spans="1:12" x14ac:dyDescent="0.3">
      <c r="A802" t="s">
        <v>45</v>
      </c>
      <c r="B802">
        <v>25</v>
      </c>
      <c r="C802" s="1">
        <v>70000</v>
      </c>
      <c r="D802" t="s">
        <v>12</v>
      </c>
      <c r="E802" t="s">
        <v>26</v>
      </c>
      <c r="F802" t="s">
        <v>41</v>
      </c>
      <c r="G802" s="2">
        <v>43549</v>
      </c>
      <c r="H802" t="s">
        <v>27</v>
      </c>
      <c r="I802" t="s">
        <v>23</v>
      </c>
      <c r="J802" t="s">
        <v>17</v>
      </c>
      <c r="K802" s="2" t="str">
        <f t="shared" ca="1" si="12"/>
        <v>6 Years</v>
      </c>
      <c r="L802" s="3" cm="1">
        <f t="array" ref="L802">_xlfn.SWITCH(Table13_2[[#This Row],[Performance Score]],"A",6,"B",5,"C",4,"D",3,"E",2,"F",1)</f>
        <v>4</v>
      </c>
    </row>
    <row r="803" spans="1:12" x14ac:dyDescent="0.3">
      <c r="A803" t="s">
        <v>11</v>
      </c>
      <c r="B803">
        <v>40</v>
      </c>
      <c r="C803" s="1">
        <v>70000</v>
      </c>
      <c r="D803" t="s">
        <v>12</v>
      </c>
      <c r="E803" t="s">
        <v>26</v>
      </c>
      <c r="F803" t="s">
        <v>37</v>
      </c>
      <c r="G803" s="2">
        <v>43195</v>
      </c>
      <c r="H803" t="s">
        <v>22</v>
      </c>
      <c r="I803" t="s">
        <v>16</v>
      </c>
      <c r="J803" t="s">
        <v>17</v>
      </c>
      <c r="K803" s="2" t="str">
        <f t="shared" ca="1" si="12"/>
        <v>7 Years</v>
      </c>
      <c r="L803" s="3" cm="1">
        <f t="array" ref="L803">_xlfn.SWITCH(Table13_2[[#This Row],[Performance Score]],"A",6,"B",5,"C",4,"D",3,"E",2,"F",1)</f>
        <v>1</v>
      </c>
    </row>
    <row r="804" spans="1:12" x14ac:dyDescent="0.3">
      <c r="A804" t="s">
        <v>43</v>
      </c>
      <c r="B804">
        <v>35</v>
      </c>
      <c r="C804" s="1">
        <v>70000</v>
      </c>
      <c r="D804" t="s">
        <v>19</v>
      </c>
      <c r="E804" t="s">
        <v>13</v>
      </c>
      <c r="F804" t="s">
        <v>40</v>
      </c>
      <c r="G804" s="2">
        <v>43800</v>
      </c>
      <c r="H804" t="s">
        <v>27</v>
      </c>
      <c r="I804" t="s">
        <v>23</v>
      </c>
      <c r="J804" t="s">
        <v>17</v>
      </c>
      <c r="K804" s="2" t="str">
        <f t="shared" ca="1" si="12"/>
        <v>6 Years</v>
      </c>
      <c r="L804" s="3" cm="1">
        <f t="array" ref="L804">_xlfn.SWITCH(Table13_2[[#This Row],[Performance Score]],"A",6,"B",5,"C",4,"D",3,"E",2,"F",1)</f>
        <v>4</v>
      </c>
    </row>
    <row r="805" spans="1:12" x14ac:dyDescent="0.3">
      <c r="A805" t="s">
        <v>33</v>
      </c>
      <c r="B805">
        <v>30</v>
      </c>
      <c r="C805" s="1">
        <v>65000</v>
      </c>
      <c r="D805" t="s">
        <v>34</v>
      </c>
      <c r="E805" t="s">
        <v>20</v>
      </c>
      <c r="F805" t="s">
        <v>14</v>
      </c>
      <c r="G805" s="2">
        <v>43195</v>
      </c>
      <c r="H805" t="s">
        <v>38</v>
      </c>
      <c r="I805" t="s">
        <v>16</v>
      </c>
      <c r="J805" t="s">
        <v>42</v>
      </c>
      <c r="K805" s="2" t="str">
        <f t="shared" ca="1" si="12"/>
        <v>7 Years</v>
      </c>
      <c r="L805" s="3" cm="1">
        <f t="array" ref="L805">_xlfn.SWITCH(Table13_2[[#This Row],[Performance Score]],"A",6,"B",5,"C",4,"D",3,"E",2,"F",1)</f>
        <v>5</v>
      </c>
    </row>
    <row r="806" spans="1:12" x14ac:dyDescent="0.3">
      <c r="A806" t="s">
        <v>46</v>
      </c>
      <c r="B806">
        <v>35</v>
      </c>
      <c r="C806" s="1">
        <v>50000</v>
      </c>
      <c r="D806" t="s">
        <v>12</v>
      </c>
      <c r="E806" t="s">
        <v>35</v>
      </c>
      <c r="F806" t="s">
        <v>21</v>
      </c>
      <c r="G806" s="2">
        <v>43881</v>
      </c>
      <c r="H806" t="s">
        <v>31</v>
      </c>
      <c r="I806" t="s">
        <v>39</v>
      </c>
      <c r="J806" t="s">
        <v>17</v>
      </c>
      <c r="K806" s="2" t="str">
        <f t="shared" ca="1" si="12"/>
        <v>5 Years</v>
      </c>
      <c r="L806" s="3" cm="1">
        <f t="array" ref="L806">_xlfn.SWITCH(Table13_2[[#This Row],[Performance Score]],"A",6,"B",5,"C",4,"D",3,"E",2,"F",1)</f>
        <v>6</v>
      </c>
    </row>
    <row r="807" spans="1:12" x14ac:dyDescent="0.3">
      <c r="A807" t="s">
        <v>45</v>
      </c>
      <c r="B807">
        <v>50</v>
      </c>
      <c r="C807" s="1">
        <v>70000</v>
      </c>
      <c r="D807" t="s">
        <v>34</v>
      </c>
      <c r="E807" t="s">
        <v>20</v>
      </c>
      <c r="F807" t="s">
        <v>41</v>
      </c>
      <c r="G807" s="2">
        <v>43800</v>
      </c>
      <c r="H807" t="s">
        <v>22</v>
      </c>
      <c r="I807" t="s">
        <v>16</v>
      </c>
      <c r="J807" t="s">
        <v>17</v>
      </c>
      <c r="K807" s="2" t="str">
        <f t="shared" ca="1" si="12"/>
        <v>6 Years</v>
      </c>
      <c r="L807" s="3" cm="1">
        <f t="array" ref="L807">_xlfn.SWITCH(Table13_2[[#This Row],[Performance Score]],"A",6,"B",5,"C",4,"D",3,"E",2,"F",1)</f>
        <v>1</v>
      </c>
    </row>
    <row r="808" spans="1:12" x14ac:dyDescent="0.3">
      <c r="A808" t="s">
        <v>18</v>
      </c>
      <c r="B808">
        <v>36</v>
      </c>
      <c r="C808" s="1">
        <v>55000</v>
      </c>
      <c r="D808" t="s">
        <v>34</v>
      </c>
      <c r="E808" t="s">
        <v>20</v>
      </c>
      <c r="F808" t="s">
        <v>40</v>
      </c>
      <c r="G808" s="2">
        <v>43195</v>
      </c>
      <c r="H808" t="s">
        <v>27</v>
      </c>
      <c r="I808" t="s">
        <v>23</v>
      </c>
      <c r="J808" t="s">
        <v>24</v>
      </c>
      <c r="K808" s="2" t="str">
        <f t="shared" ca="1" si="12"/>
        <v>7 Years</v>
      </c>
      <c r="L808" s="3" cm="1">
        <f t="array" ref="L808">_xlfn.SWITCH(Table13_2[[#This Row],[Performance Score]],"A",6,"B",5,"C",4,"D",3,"E",2,"F",1)</f>
        <v>4</v>
      </c>
    </row>
    <row r="809" spans="1:12" x14ac:dyDescent="0.3">
      <c r="A809" t="s">
        <v>46</v>
      </c>
      <c r="B809">
        <v>40</v>
      </c>
      <c r="C809" s="1">
        <v>70000</v>
      </c>
      <c r="D809" t="s">
        <v>19</v>
      </c>
      <c r="E809" t="s">
        <v>26</v>
      </c>
      <c r="F809" t="s">
        <v>37</v>
      </c>
      <c r="G809" s="2">
        <v>43195</v>
      </c>
      <c r="H809" t="s">
        <v>15</v>
      </c>
      <c r="I809" t="s">
        <v>39</v>
      </c>
      <c r="J809" t="s">
        <v>17</v>
      </c>
      <c r="K809" s="2" t="str">
        <f t="shared" ca="1" si="12"/>
        <v>7 Years</v>
      </c>
      <c r="L809" s="3" cm="1">
        <f t="array" ref="L809">_xlfn.SWITCH(Table13_2[[#This Row],[Performance Score]],"A",6,"B",5,"C",4,"D",3,"E",2,"F",1)</f>
        <v>3</v>
      </c>
    </row>
    <row r="810" spans="1:12" x14ac:dyDescent="0.3">
      <c r="A810" t="s">
        <v>18</v>
      </c>
      <c r="B810">
        <v>40</v>
      </c>
      <c r="C810" s="1">
        <v>65000</v>
      </c>
      <c r="D810" t="s">
        <v>19</v>
      </c>
      <c r="E810" t="s">
        <v>20</v>
      </c>
      <c r="F810" t="s">
        <v>14</v>
      </c>
      <c r="G810" s="2">
        <v>43800</v>
      </c>
      <c r="H810" t="s">
        <v>38</v>
      </c>
      <c r="I810" t="s">
        <v>23</v>
      </c>
      <c r="J810" t="s">
        <v>42</v>
      </c>
      <c r="K810" s="2" t="str">
        <f t="shared" ca="1" si="12"/>
        <v>6 Years</v>
      </c>
      <c r="L810" s="3" cm="1">
        <f t="array" ref="L810">_xlfn.SWITCH(Table13_2[[#This Row],[Performance Score]],"A",6,"B",5,"C",4,"D",3,"E",2,"F",1)</f>
        <v>5</v>
      </c>
    </row>
    <row r="811" spans="1:12" x14ac:dyDescent="0.3">
      <c r="A811" t="s">
        <v>33</v>
      </c>
      <c r="B811">
        <v>40</v>
      </c>
      <c r="C811" s="1">
        <v>48417.431192660551</v>
      </c>
      <c r="D811" t="s">
        <v>34</v>
      </c>
      <c r="E811" t="s">
        <v>20</v>
      </c>
      <c r="F811" t="s">
        <v>41</v>
      </c>
      <c r="G811" s="2">
        <v>43881</v>
      </c>
      <c r="H811" t="s">
        <v>31</v>
      </c>
      <c r="I811" t="s">
        <v>32</v>
      </c>
      <c r="J811" t="s">
        <v>28</v>
      </c>
      <c r="K811" s="2" t="str">
        <f t="shared" ca="1" si="12"/>
        <v>5 Years</v>
      </c>
      <c r="L811" s="3" cm="1">
        <f t="array" ref="L811">_xlfn.SWITCH(Table13_2[[#This Row],[Performance Score]],"A",6,"B",5,"C",4,"D",3,"E",2,"F",1)</f>
        <v>6</v>
      </c>
    </row>
    <row r="812" spans="1:12" x14ac:dyDescent="0.3">
      <c r="A812" t="s">
        <v>36</v>
      </c>
      <c r="B812">
        <v>35</v>
      </c>
      <c r="C812" s="1">
        <v>55000</v>
      </c>
      <c r="D812" t="s">
        <v>12</v>
      </c>
      <c r="E812" t="s">
        <v>35</v>
      </c>
      <c r="F812" t="s">
        <v>14</v>
      </c>
      <c r="G812" s="2">
        <v>43195</v>
      </c>
      <c r="H812" t="s">
        <v>38</v>
      </c>
      <c r="I812" t="s">
        <v>32</v>
      </c>
      <c r="J812" t="s">
        <v>28</v>
      </c>
      <c r="K812" s="2" t="str">
        <f t="shared" ca="1" si="12"/>
        <v>7 Years</v>
      </c>
      <c r="L812" s="3" cm="1">
        <f t="array" ref="L812">_xlfn.SWITCH(Table13_2[[#This Row],[Performance Score]],"A",6,"B",5,"C",4,"D",3,"E",2,"F",1)</f>
        <v>5</v>
      </c>
    </row>
    <row r="813" spans="1:12" x14ac:dyDescent="0.3">
      <c r="A813" t="s">
        <v>46</v>
      </c>
      <c r="B813">
        <v>36</v>
      </c>
      <c r="C813" s="1">
        <v>65000</v>
      </c>
      <c r="D813" t="s">
        <v>34</v>
      </c>
      <c r="E813" t="s">
        <v>26</v>
      </c>
      <c r="F813" t="s">
        <v>21</v>
      </c>
      <c r="G813" s="2">
        <v>43800</v>
      </c>
      <c r="H813" t="s">
        <v>15</v>
      </c>
      <c r="I813" t="s">
        <v>32</v>
      </c>
      <c r="J813" t="s">
        <v>28</v>
      </c>
      <c r="K813" s="2" t="str">
        <f t="shared" ca="1" si="12"/>
        <v>6 Years</v>
      </c>
      <c r="L813" s="3" cm="1">
        <f t="array" ref="L813">_xlfn.SWITCH(Table13_2[[#This Row],[Performance Score]],"A",6,"B",5,"C",4,"D",3,"E",2,"F",1)</f>
        <v>3</v>
      </c>
    </row>
    <row r="814" spans="1:12" x14ac:dyDescent="0.3">
      <c r="A814" t="s">
        <v>44</v>
      </c>
      <c r="B814">
        <v>30</v>
      </c>
      <c r="C814" s="1">
        <v>48417.431192660551</v>
      </c>
      <c r="D814" t="s">
        <v>12</v>
      </c>
      <c r="E814" t="s">
        <v>20</v>
      </c>
      <c r="F814" t="s">
        <v>37</v>
      </c>
      <c r="G814" s="2">
        <v>43881</v>
      </c>
      <c r="H814" t="s">
        <v>31</v>
      </c>
      <c r="I814" t="s">
        <v>32</v>
      </c>
      <c r="J814" t="s">
        <v>24</v>
      </c>
      <c r="K814" s="2" t="str">
        <f t="shared" ca="1" si="12"/>
        <v>5 Years</v>
      </c>
      <c r="L814" s="3" cm="1">
        <f t="array" ref="L814">_xlfn.SWITCH(Table13_2[[#This Row],[Performance Score]],"A",6,"B",5,"C",4,"D",3,"E",2,"F",1)</f>
        <v>6</v>
      </c>
    </row>
    <row r="815" spans="1:12" x14ac:dyDescent="0.3">
      <c r="A815" t="s">
        <v>18</v>
      </c>
      <c r="B815">
        <v>50</v>
      </c>
      <c r="C815" s="1">
        <v>55000</v>
      </c>
      <c r="D815" t="s">
        <v>12</v>
      </c>
      <c r="E815" t="s">
        <v>30</v>
      </c>
      <c r="F815" t="s">
        <v>14</v>
      </c>
      <c r="G815" s="2">
        <v>43800</v>
      </c>
      <c r="H815" t="s">
        <v>15</v>
      </c>
      <c r="I815" t="s">
        <v>39</v>
      </c>
      <c r="J815" t="s">
        <v>42</v>
      </c>
      <c r="K815" s="2" t="str">
        <f t="shared" ca="1" si="12"/>
        <v>6 Years</v>
      </c>
      <c r="L815" s="3" cm="1">
        <f t="array" ref="L815">_xlfn.SWITCH(Table13_2[[#This Row],[Performance Score]],"A",6,"B",5,"C",4,"D",3,"E",2,"F",1)</f>
        <v>3</v>
      </c>
    </row>
    <row r="816" spans="1:12" x14ac:dyDescent="0.3">
      <c r="A816" t="s">
        <v>43</v>
      </c>
      <c r="B816">
        <v>30</v>
      </c>
      <c r="C816" s="1">
        <v>60000</v>
      </c>
      <c r="D816" t="s">
        <v>19</v>
      </c>
      <c r="E816" t="s">
        <v>13</v>
      </c>
      <c r="F816" t="s">
        <v>40</v>
      </c>
      <c r="G816" s="2">
        <v>43800</v>
      </c>
      <c r="H816" t="s">
        <v>38</v>
      </c>
      <c r="I816" t="s">
        <v>39</v>
      </c>
      <c r="J816" t="s">
        <v>17</v>
      </c>
      <c r="K816" s="2" t="str">
        <f t="shared" ca="1" si="12"/>
        <v>6 Years</v>
      </c>
      <c r="L816" s="3" cm="1">
        <f t="array" ref="L816">_xlfn.SWITCH(Table13_2[[#This Row],[Performance Score]],"A",6,"B",5,"C",4,"D",3,"E",2,"F",1)</f>
        <v>5</v>
      </c>
    </row>
    <row r="817" spans="1:12" x14ac:dyDescent="0.3">
      <c r="A817" t="s">
        <v>44</v>
      </c>
      <c r="B817">
        <v>35</v>
      </c>
      <c r="C817" s="1">
        <v>50000</v>
      </c>
      <c r="D817" t="s">
        <v>12</v>
      </c>
      <c r="E817" t="s">
        <v>35</v>
      </c>
      <c r="F817" t="s">
        <v>37</v>
      </c>
      <c r="G817" s="2">
        <v>43195</v>
      </c>
      <c r="H817" t="s">
        <v>27</v>
      </c>
      <c r="I817" t="s">
        <v>39</v>
      </c>
      <c r="J817" t="s">
        <v>28</v>
      </c>
      <c r="K817" s="2" t="str">
        <f t="shared" ca="1" si="12"/>
        <v>7 Years</v>
      </c>
      <c r="L817" s="3" cm="1">
        <f t="array" ref="L817">_xlfn.SWITCH(Table13_2[[#This Row],[Performance Score]],"A",6,"B",5,"C",4,"D",3,"E",2,"F",1)</f>
        <v>4</v>
      </c>
    </row>
    <row r="818" spans="1:12" x14ac:dyDescent="0.3">
      <c r="A818" t="s">
        <v>25</v>
      </c>
      <c r="B818">
        <v>50</v>
      </c>
      <c r="C818" s="1">
        <v>50000</v>
      </c>
      <c r="D818" t="s">
        <v>12</v>
      </c>
      <c r="E818" t="s">
        <v>20</v>
      </c>
      <c r="F818" t="s">
        <v>40</v>
      </c>
      <c r="G818" s="2">
        <v>43881</v>
      </c>
      <c r="H818" t="s">
        <v>38</v>
      </c>
      <c r="I818" t="s">
        <v>23</v>
      </c>
      <c r="J818" t="s">
        <v>42</v>
      </c>
      <c r="K818" s="2" t="str">
        <f t="shared" ca="1" si="12"/>
        <v>5 Years</v>
      </c>
      <c r="L818" s="3" cm="1">
        <f t="array" ref="L818">_xlfn.SWITCH(Table13_2[[#This Row],[Performance Score]],"A",6,"B",5,"C",4,"D",3,"E",2,"F",1)</f>
        <v>5</v>
      </c>
    </row>
    <row r="819" spans="1:12" x14ac:dyDescent="0.3">
      <c r="A819" t="s">
        <v>25</v>
      </c>
      <c r="B819">
        <v>40</v>
      </c>
      <c r="C819" s="1">
        <v>65000</v>
      </c>
      <c r="D819" t="s">
        <v>34</v>
      </c>
      <c r="E819" t="s">
        <v>30</v>
      </c>
      <c r="F819" t="s">
        <v>14</v>
      </c>
      <c r="G819" s="2">
        <v>43195</v>
      </c>
      <c r="H819" t="s">
        <v>38</v>
      </c>
      <c r="I819" t="s">
        <v>16</v>
      </c>
      <c r="J819" t="s">
        <v>17</v>
      </c>
      <c r="K819" s="2" t="str">
        <f t="shared" ca="1" si="12"/>
        <v>7 Years</v>
      </c>
      <c r="L819" s="3" cm="1">
        <f t="array" ref="L819">_xlfn.SWITCH(Table13_2[[#This Row],[Performance Score]],"A",6,"B",5,"C",4,"D",3,"E",2,"F",1)</f>
        <v>5</v>
      </c>
    </row>
    <row r="820" spans="1:12" x14ac:dyDescent="0.3">
      <c r="A820" t="s">
        <v>45</v>
      </c>
      <c r="B820">
        <v>25</v>
      </c>
      <c r="C820" s="1">
        <v>48417.431192660551</v>
      </c>
      <c r="D820" t="s">
        <v>19</v>
      </c>
      <c r="E820" t="s">
        <v>20</v>
      </c>
      <c r="F820" t="s">
        <v>37</v>
      </c>
      <c r="G820" s="2">
        <v>43845</v>
      </c>
      <c r="H820" t="s">
        <v>38</v>
      </c>
      <c r="I820" t="s">
        <v>23</v>
      </c>
      <c r="J820" t="s">
        <v>24</v>
      </c>
      <c r="K820" s="2" t="str">
        <f t="shared" ca="1" si="12"/>
        <v>5 Years</v>
      </c>
      <c r="L820" s="3" cm="1">
        <f t="array" ref="L820">_xlfn.SWITCH(Table13_2[[#This Row],[Performance Score]],"A",6,"B",5,"C",4,"D",3,"E",2,"F",1)</f>
        <v>5</v>
      </c>
    </row>
    <row r="821" spans="1:12" x14ac:dyDescent="0.3">
      <c r="A821" t="s">
        <v>36</v>
      </c>
      <c r="B821">
        <v>35</v>
      </c>
      <c r="C821" s="1">
        <v>50000</v>
      </c>
      <c r="D821" t="s">
        <v>12</v>
      </c>
      <c r="E821" t="s">
        <v>20</v>
      </c>
      <c r="F821" t="s">
        <v>40</v>
      </c>
      <c r="G821" s="2">
        <v>43845</v>
      </c>
      <c r="H821" t="s">
        <v>22</v>
      </c>
      <c r="I821" t="s">
        <v>23</v>
      </c>
      <c r="J821" t="s">
        <v>42</v>
      </c>
      <c r="K821" s="2" t="str">
        <f t="shared" ca="1" si="12"/>
        <v>5 Years</v>
      </c>
      <c r="L821" s="3" cm="1">
        <f t="array" ref="L821">_xlfn.SWITCH(Table13_2[[#This Row],[Performance Score]],"A",6,"B",5,"C",4,"D",3,"E",2,"F",1)</f>
        <v>1</v>
      </c>
    </row>
    <row r="822" spans="1:12" x14ac:dyDescent="0.3">
      <c r="A822" t="s">
        <v>33</v>
      </c>
      <c r="B822">
        <v>35</v>
      </c>
      <c r="C822" s="1">
        <v>50742.574257425746</v>
      </c>
      <c r="D822" t="s">
        <v>12</v>
      </c>
      <c r="E822" t="s">
        <v>26</v>
      </c>
      <c r="F822" t="s">
        <v>21</v>
      </c>
      <c r="G822" s="2">
        <v>43881</v>
      </c>
      <c r="H822" t="s">
        <v>15</v>
      </c>
      <c r="I822" t="s">
        <v>23</v>
      </c>
      <c r="J822" t="s">
        <v>42</v>
      </c>
      <c r="K822" s="2" t="str">
        <f t="shared" ca="1" si="12"/>
        <v>5 Years</v>
      </c>
      <c r="L822" s="3" cm="1">
        <f t="array" ref="L822">_xlfn.SWITCH(Table13_2[[#This Row],[Performance Score]],"A",6,"B",5,"C",4,"D",3,"E",2,"F",1)</f>
        <v>3</v>
      </c>
    </row>
    <row r="823" spans="1:12" x14ac:dyDescent="0.3">
      <c r="A823" t="s">
        <v>46</v>
      </c>
      <c r="B823">
        <v>36</v>
      </c>
      <c r="C823" s="1">
        <v>50742.574257425746</v>
      </c>
      <c r="D823" t="s">
        <v>19</v>
      </c>
      <c r="E823" t="s">
        <v>26</v>
      </c>
      <c r="F823" t="s">
        <v>21</v>
      </c>
      <c r="G823" s="2">
        <v>43800</v>
      </c>
      <c r="H823" t="s">
        <v>15</v>
      </c>
      <c r="I823" t="s">
        <v>23</v>
      </c>
      <c r="J823" t="s">
        <v>17</v>
      </c>
      <c r="K823" s="2" t="str">
        <f t="shared" ca="1" si="12"/>
        <v>6 Years</v>
      </c>
      <c r="L823" s="3" cm="1">
        <f t="array" ref="L823">_xlfn.SWITCH(Table13_2[[#This Row],[Performance Score]],"A",6,"B",5,"C",4,"D",3,"E",2,"F",1)</f>
        <v>3</v>
      </c>
    </row>
    <row r="824" spans="1:12" x14ac:dyDescent="0.3">
      <c r="A824" t="s">
        <v>29</v>
      </c>
      <c r="B824">
        <v>30</v>
      </c>
      <c r="C824" s="1">
        <v>65000</v>
      </c>
      <c r="D824" t="s">
        <v>34</v>
      </c>
      <c r="E824" t="s">
        <v>26</v>
      </c>
      <c r="F824" t="s">
        <v>14</v>
      </c>
      <c r="G824" s="2">
        <v>43195</v>
      </c>
      <c r="H824" t="s">
        <v>15</v>
      </c>
      <c r="I824" t="s">
        <v>39</v>
      </c>
      <c r="J824" t="s">
        <v>42</v>
      </c>
      <c r="K824" s="2" t="str">
        <f t="shared" ca="1" si="12"/>
        <v>7 Years</v>
      </c>
      <c r="L824" s="3" cm="1">
        <f t="array" ref="L824">_xlfn.SWITCH(Table13_2[[#This Row],[Performance Score]],"A",6,"B",5,"C",4,"D",3,"E",2,"F",1)</f>
        <v>3</v>
      </c>
    </row>
    <row r="825" spans="1:12" x14ac:dyDescent="0.3">
      <c r="A825" t="s">
        <v>43</v>
      </c>
      <c r="B825">
        <v>35</v>
      </c>
      <c r="C825" s="1">
        <v>65000</v>
      </c>
      <c r="D825" t="s">
        <v>19</v>
      </c>
      <c r="E825" t="s">
        <v>30</v>
      </c>
      <c r="F825" t="s">
        <v>37</v>
      </c>
      <c r="G825" s="2">
        <v>43195</v>
      </c>
      <c r="H825" t="s">
        <v>22</v>
      </c>
      <c r="I825" t="s">
        <v>16</v>
      </c>
      <c r="J825" t="s">
        <v>17</v>
      </c>
      <c r="K825" s="2" t="str">
        <f t="shared" ca="1" si="12"/>
        <v>7 Years</v>
      </c>
      <c r="L825" s="3" cm="1">
        <f t="array" ref="L825">_xlfn.SWITCH(Table13_2[[#This Row],[Performance Score]],"A",6,"B",5,"C",4,"D",3,"E",2,"F",1)</f>
        <v>1</v>
      </c>
    </row>
    <row r="826" spans="1:12" x14ac:dyDescent="0.3">
      <c r="A826" t="s">
        <v>18</v>
      </c>
      <c r="B826">
        <v>35</v>
      </c>
      <c r="C826" s="1">
        <v>65000</v>
      </c>
      <c r="D826" t="s">
        <v>19</v>
      </c>
      <c r="E826" t="s">
        <v>20</v>
      </c>
      <c r="F826" t="s">
        <v>41</v>
      </c>
      <c r="G826" s="2">
        <v>43881</v>
      </c>
      <c r="H826" t="s">
        <v>27</v>
      </c>
      <c r="I826" t="s">
        <v>23</v>
      </c>
      <c r="J826" t="s">
        <v>24</v>
      </c>
      <c r="K826" s="2" t="str">
        <f t="shared" ca="1" si="12"/>
        <v>5 Years</v>
      </c>
      <c r="L826" s="3" cm="1">
        <f t="array" ref="L826">_xlfn.SWITCH(Table13_2[[#This Row],[Performance Score]],"A",6,"B",5,"C",4,"D",3,"E",2,"F",1)</f>
        <v>4</v>
      </c>
    </row>
    <row r="827" spans="1:12" x14ac:dyDescent="0.3">
      <c r="A827" t="s">
        <v>33</v>
      </c>
      <c r="B827">
        <v>40</v>
      </c>
      <c r="C827" s="1">
        <v>50000</v>
      </c>
      <c r="D827" t="s">
        <v>12</v>
      </c>
      <c r="E827" t="s">
        <v>13</v>
      </c>
      <c r="F827" t="s">
        <v>37</v>
      </c>
      <c r="G827" s="2">
        <v>43881</v>
      </c>
      <c r="H827" t="s">
        <v>38</v>
      </c>
      <c r="I827" t="s">
        <v>39</v>
      </c>
      <c r="J827" t="s">
        <v>24</v>
      </c>
      <c r="K827" s="2" t="str">
        <f t="shared" ca="1" si="12"/>
        <v>5 Years</v>
      </c>
      <c r="L827" s="3" cm="1">
        <f t="array" ref="L827">_xlfn.SWITCH(Table13_2[[#This Row],[Performance Score]],"A",6,"B",5,"C",4,"D",3,"E",2,"F",1)</f>
        <v>5</v>
      </c>
    </row>
    <row r="828" spans="1:12" x14ac:dyDescent="0.3">
      <c r="A828" t="s">
        <v>44</v>
      </c>
      <c r="B828">
        <v>40</v>
      </c>
      <c r="C828" s="1">
        <v>65000</v>
      </c>
      <c r="D828" t="s">
        <v>12</v>
      </c>
      <c r="E828" t="s">
        <v>35</v>
      </c>
      <c r="F828" t="s">
        <v>21</v>
      </c>
      <c r="G828" s="2">
        <v>43845</v>
      </c>
      <c r="H828" t="s">
        <v>27</v>
      </c>
      <c r="I828" t="s">
        <v>23</v>
      </c>
      <c r="J828" t="s">
        <v>17</v>
      </c>
      <c r="K828" s="2" t="str">
        <f t="shared" ca="1" si="12"/>
        <v>5 Years</v>
      </c>
      <c r="L828" s="3" cm="1">
        <f t="array" ref="L828">_xlfn.SWITCH(Table13_2[[#This Row],[Performance Score]],"A",6,"B",5,"C",4,"D",3,"E",2,"F",1)</f>
        <v>4</v>
      </c>
    </row>
    <row r="829" spans="1:12" x14ac:dyDescent="0.3">
      <c r="A829" t="s">
        <v>25</v>
      </c>
      <c r="B829">
        <v>50</v>
      </c>
      <c r="C829" s="1">
        <v>50000</v>
      </c>
      <c r="D829" t="s">
        <v>34</v>
      </c>
      <c r="E829" t="s">
        <v>26</v>
      </c>
      <c r="F829" t="s">
        <v>40</v>
      </c>
      <c r="G829" s="2">
        <v>43549</v>
      </c>
      <c r="H829" t="s">
        <v>22</v>
      </c>
      <c r="I829" t="s">
        <v>32</v>
      </c>
      <c r="J829" t="s">
        <v>17</v>
      </c>
      <c r="K829" s="2" t="str">
        <f t="shared" ca="1" si="12"/>
        <v>6 Years</v>
      </c>
      <c r="L829" s="3" cm="1">
        <f t="array" ref="L829">_xlfn.SWITCH(Table13_2[[#This Row],[Performance Score]],"A",6,"B",5,"C",4,"D",3,"E",2,"F",1)</f>
        <v>1</v>
      </c>
    </row>
    <row r="830" spans="1:12" x14ac:dyDescent="0.3">
      <c r="A830" t="s">
        <v>43</v>
      </c>
      <c r="B830">
        <v>25</v>
      </c>
      <c r="C830" s="1">
        <v>65000</v>
      </c>
      <c r="D830" t="s">
        <v>12</v>
      </c>
      <c r="E830" t="s">
        <v>26</v>
      </c>
      <c r="F830" t="s">
        <v>41</v>
      </c>
      <c r="G830" s="2">
        <v>43881</v>
      </c>
      <c r="H830" t="s">
        <v>15</v>
      </c>
      <c r="I830" t="s">
        <v>23</v>
      </c>
      <c r="J830" t="s">
        <v>17</v>
      </c>
      <c r="K830" s="2" t="str">
        <f t="shared" ca="1" si="12"/>
        <v>5 Years</v>
      </c>
      <c r="L830" s="3" cm="1">
        <f t="array" ref="L830">_xlfn.SWITCH(Table13_2[[#This Row],[Performance Score]],"A",6,"B",5,"C",4,"D",3,"E",2,"F",1)</f>
        <v>3</v>
      </c>
    </row>
    <row r="831" spans="1:12" x14ac:dyDescent="0.3">
      <c r="A831" t="s">
        <v>29</v>
      </c>
      <c r="B831">
        <v>36</v>
      </c>
      <c r="C831" s="1">
        <v>70000</v>
      </c>
      <c r="D831" t="s">
        <v>12</v>
      </c>
      <c r="E831" t="s">
        <v>20</v>
      </c>
      <c r="F831" t="s">
        <v>14</v>
      </c>
      <c r="G831" s="2">
        <v>43549</v>
      </c>
      <c r="H831" t="s">
        <v>38</v>
      </c>
      <c r="I831" t="s">
        <v>23</v>
      </c>
      <c r="J831" t="s">
        <v>28</v>
      </c>
      <c r="K831" s="2" t="str">
        <f t="shared" ca="1" si="12"/>
        <v>6 Years</v>
      </c>
      <c r="L831" s="3" cm="1">
        <f t="array" ref="L831">_xlfn.SWITCH(Table13_2[[#This Row],[Performance Score]],"A",6,"B",5,"C",4,"D",3,"E",2,"F",1)</f>
        <v>5</v>
      </c>
    </row>
    <row r="832" spans="1:12" x14ac:dyDescent="0.3">
      <c r="A832" t="s">
        <v>46</v>
      </c>
      <c r="B832">
        <v>25</v>
      </c>
      <c r="C832" s="1">
        <v>48417.431192660551</v>
      </c>
      <c r="D832" t="s">
        <v>19</v>
      </c>
      <c r="E832" t="s">
        <v>20</v>
      </c>
      <c r="F832" t="s">
        <v>41</v>
      </c>
      <c r="G832" s="2">
        <v>43881</v>
      </c>
      <c r="H832" t="s">
        <v>31</v>
      </c>
      <c r="I832" t="s">
        <v>39</v>
      </c>
      <c r="J832" t="s">
        <v>28</v>
      </c>
      <c r="K832" s="2" t="str">
        <f t="shared" ca="1" si="12"/>
        <v>5 Years</v>
      </c>
      <c r="L832" s="3" cm="1">
        <f t="array" ref="L832">_xlfn.SWITCH(Table13_2[[#This Row],[Performance Score]],"A",6,"B",5,"C",4,"D",3,"E",2,"F",1)</f>
        <v>6</v>
      </c>
    </row>
    <row r="833" spans="1:12" x14ac:dyDescent="0.3">
      <c r="A833" t="s">
        <v>45</v>
      </c>
      <c r="B833">
        <v>50</v>
      </c>
      <c r="C833" s="1">
        <v>65000</v>
      </c>
      <c r="D833" t="s">
        <v>12</v>
      </c>
      <c r="E833" t="s">
        <v>30</v>
      </c>
      <c r="F833" t="s">
        <v>14</v>
      </c>
      <c r="G833" s="2">
        <v>43800</v>
      </c>
      <c r="H833" t="s">
        <v>31</v>
      </c>
      <c r="I833" t="s">
        <v>32</v>
      </c>
      <c r="J833" t="s">
        <v>17</v>
      </c>
      <c r="K833" s="2" t="str">
        <f t="shared" ca="1" si="12"/>
        <v>6 Years</v>
      </c>
      <c r="L833" s="3" cm="1">
        <f t="array" ref="L833">_xlfn.SWITCH(Table13_2[[#This Row],[Performance Score]],"A",6,"B",5,"C",4,"D",3,"E",2,"F",1)</f>
        <v>6</v>
      </c>
    </row>
    <row r="834" spans="1:12" x14ac:dyDescent="0.3">
      <c r="A834" t="s">
        <v>29</v>
      </c>
      <c r="B834">
        <v>40</v>
      </c>
      <c r="C834" s="1">
        <v>55000</v>
      </c>
      <c r="D834" t="s">
        <v>34</v>
      </c>
      <c r="E834" t="s">
        <v>30</v>
      </c>
      <c r="F834" t="s">
        <v>41</v>
      </c>
      <c r="G834" s="2">
        <v>43800</v>
      </c>
      <c r="H834" t="s">
        <v>27</v>
      </c>
      <c r="I834" t="s">
        <v>16</v>
      </c>
      <c r="J834" t="s">
        <v>24</v>
      </c>
      <c r="K834" s="2" t="str">
        <f t="shared" ca="1" si="12"/>
        <v>6 Years</v>
      </c>
      <c r="L834" s="3" cm="1">
        <f t="array" ref="L834">_xlfn.SWITCH(Table13_2[[#This Row],[Performance Score]],"A",6,"B",5,"C",4,"D",3,"E",2,"F",1)</f>
        <v>4</v>
      </c>
    </row>
    <row r="835" spans="1:12" x14ac:dyDescent="0.3">
      <c r="A835" t="s">
        <v>43</v>
      </c>
      <c r="B835">
        <v>30</v>
      </c>
      <c r="C835" s="1">
        <v>50742.574257425746</v>
      </c>
      <c r="D835" t="s">
        <v>19</v>
      </c>
      <c r="E835" t="s">
        <v>26</v>
      </c>
      <c r="F835" t="s">
        <v>14</v>
      </c>
      <c r="G835" s="2">
        <v>43845</v>
      </c>
      <c r="H835" t="s">
        <v>15</v>
      </c>
      <c r="I835" t="s">
        <v>23</v>
      </c>
      <c r="J835" t="s">
        <v>28</v>
      </c>
      <c r="K835" s="2" t="str">
        <f t="shared" ref="K835:K898" ca="1" si="13">DATEDIF(G835,TODAY(),"Y") &amp; " Years"</f>
        <v>5 Years</v>
      </c>
      <c r="L835" s="3" cm="1">
        <f t="array" ref="L835">_xlfn.SWITCH(Table13_2[[#This Row],[Performance Score]],"A",6,"B",5,"C",4,"D",3,"E",2,"F",1)</f>
        <v>3</v>
      </c>
    </row>
    <row r="836" spans="1:12" x14ac:dyDescent="0.3">
      <c r="A836" t="s">
        <v>29</v>
      </c>
      <c r="B836">
        <v>40</v>
      </c>
      <c r="C836" s="1">
        <v>48417.431192660551</v>
      </c>
      <c r="D836" t="s">
        <v>34</v>
      </c>
      <c r="E836" t="s">
        <v>20</v>
      </c>
      <c r="F836" t="s">
        <v>14</v>
      </c>
      <c r="G836" s="2">
        <v>43845</v>
      </c>
      <c r="H836" t="s">
        <v>31</v>
      </c>
      <c r="I836" t="s">
        <v>16</v>
      </c>
      <c r="J836" t="s">
        <v>42</v>
      </c>
      <c r="K836" s="2" t="str">
        <f t="shared" ca="1" si="13"/>
        <v>5 Years</v>
      </c>
      <c r="L836" s="3" cm="1">
        <f t="array" ref="L836">_xlfn.SWITCH(Table13_2[[#This Row],[Performance Score]],"A",6,"B",5,"C",4,"D",3,"E",2,"F",1)</f>
        <v>6</v>
      </c>
    </row>
    <row r="837" spans="1:12" x14ac:dyDescent="0.3">
      <c r="A837" t="s">
        <v>43</v>
      </c>
      <c r="B837">
        <v>36</v>
      </c>
      <c r="C837" s="1">
        <v>65000</v>
      </c>
      <c r="D837" t="s">
        <v>19</v>
      </c>
      <c r="E837" t="s">
        <v>13</v>
      </c>
      <c r="F837" t="s">
        <v>41</v>
      </c>
      <c r="G837" s="2">
        <v>43549</v>
      </c>
      <c r="H837" t="s">
        <v>27</v>
      </c>
      <c r="I837" t="s">
        <v>32</v>
      </c>
      <c r="J837" t="s">
        <v>24</v>
      </c>
      <c r="K837" s="2" t="str">
        <f t="shared" ca="1" si="13"/>
        <v>6 Years</v>
      </c>
      <c r="L837" s="3" cm="1">
        <f t="array" ref="L837">_xlfn.SWITCH(Table13_2[[#This Row],[Performance Score]],"A",6,"B",5,"C",4,"D",3,"E",2,"F",1)</f>
        <v>4</v>
      </c>
    </row>
    <row r="838" spans="1:12" x14ac:dyDescent="0.3">
      <c r="A838" t="s">
        <v>43</v>
      </c>
      <c r="B838">
        <v>40</v>
      </c>
      <c r="C838" s="1">
        <v>60000</v>
      </c>
      <c r="D838" t="s">
        <v>12</v>
      </c>
      <c r="E838" t="s">
        <v>35</v>
      </c>
      <c r="F838" t="s">
        <v>41</v>
      </c>
      <c r="G838" s="2">
        <v>43881</v>
      </c>
      <c r="H838" t="s">
        <v>22</v>
      </c>
      <c r="I838" t="s">
        <v>23</v>
      </c>
      <c r="J838" t="s">
        <v>42</v>
      </c>
      <c r="K838" s="2" t="str">
        <f t="shared" ca="1" si="13"/>
        <v>5 Years</v>
      </c>
      <c r="L838" s="3" cm="1">
        <f t="array" ref="L838">_xlfn.SWITCH(Table13_2[[#This Row],[Performance Score]],"A",6,"B",5,"C",4,"D",3,"E",2,"F",1)</f>
        <v>1</v>
      </c>
    </row>
    <row r="839" spans="1:12" x14ac:dyDescent="0.3">
      <c r="A839" t="s">
        <v>11</v>
      </c>
      <c r="B839">
        <v>36</v>
      </c>
      <c r="C839" s="1">
        <v>65000</v>
      </c>
      <c r="D839" t="s">
        <v>19</v>
      </c>
      <c r="E839" t="s">
        <v>20</v>
      </c>
      <c r="F839" t="s">
        <v>14</v>
      </c>
      <c r="G839" s="2">
        <v>43195</v>
      </c>
      <c r="H839" t="s">
        <v>27</v>
      </c>
      <c r="I839" t="s">
        <v>39</v>
      </c>
      <c r="J839" t="s">
        <v>17</v>
      </c>
      <c r="K839" s="2" t="str">
        <f t="shared" ca="1" si="13"/>
        <v>7 Years</v>
      </c>
      <c r="L839" s="3" cm="1">
        <f t="array" ref="L839">_xlfn.SWITCH(Table13_2[[#This Row],[Performance Score]],"A",6,"B",5,"C",4,"D",3,"E",2,"F",1)</f>
        <v>4</v>
      </c>
    </row>
    <row r="840" spans="1:12" x14ac:dyDescent="0.3">
      <c r="A840" t="s">
        <v>18</v>
      </c>
      <c r="B840">
        <v>36</v>
      </c>
      <c r="C840" s="1">
        <v>48417.431192660551</v>
      </c>
      <c r="D840" t="s">
        <v>19</v>
      </c>
      <c r="E840" t="s">
        <v>20</v>
      </c>
      <c r="F840" t="s">
        <v>21</v>
      </c>
      <c r="G840" s="2">
        <v>43845</v>
      </c>
      <c r="H840" t="s">
        <v>27</v>
      </c>
      <c r="I840" t="s">
        <v>39</v>
      </c>
      <c r="J840" t="s">
        <v>24</v>
      </c>
      <c r="K840" s="2" t="str">
        <f t="shared" ca="1" si="13"/>
        <v>5 Years</v>
      </c>
      <c r="L840" s="3" cm="1">
        <f t="array" ref="L840">_xlfn.SWITCH(Table13_2[[#This Row],[Performance Score]],"A",6,"B",5,"C",4,"D",3,"E",2,"F",1)</f>
        <v>4</v>
      </c>
    </row>
    <row r="841" spans="1:12" x14ac:dyDescent="0.3">
      <c r="A841" t="s">
        <v>25</v>
      </c>
      <c r="B841">
        <v>36</v>
      </c>
      <c r="C841" s="1">
        <v>55000</v>
      </c>
      <c r="D841" t="s">
        <v>12</v>
      </c>
      <c r="E841" t="s">
        <v>30</v>
      </c>
      <c r="F841" t="s">
        <v>41</v>
      </c>
      <c r="G841" s="2">
        <v>43195</v>
      </c>
      <c r="H841" t="s">
        <v>27</v>
      </c>
      <c r="I841" t="s">
        <v>39</v>
      </c>
      <c r="J841" t="s">
        <v>17</v>
      </c>
      <c r="K841" s="2" t="str">
        <f t="shared" ca="1" si="13"/>
        <v>7 Years</v>
      </c>
      <c r="L841" s="3" cm="1">
        <f t="array" ref="L841">_xlfn.SWITCH(Table13_2[[#This Row],[Performance Score]],"A",6,"B",5,"C",4,"D",3,"E",2,"F",1)</f>
        <v>4</v>
      </c>
    </row>
    <row r="842" spans="1:12" x14ac:dyDescent="0.3">
      <c r="A842" t="s">
        <v>11</v>
      </c>
      <c r="B842">
        <v>50</v>
      </c>
      <c r="C842" s="1">
        <v>49144.385026737968</v>
      </c>
      <c r="D842" t="s">
        <v>12</v>
      </c>
      <c r="E842" t="s">
        <v>35</v>
      </c>
      <c r="F842" t="s">
        <v>37</v>
      </c>
      <c r="G842" s="2">
        <v>43195</v>
      </c>
      <c r="H842" t="s">
        <v>38</v>
      </c>
      <c r="I842" t="s">
        <v>39</v>
      </c>
      <c r="J842" t="s">
        <v>17</v>
      </c>
      <c r="K842" s="2" t="str">
        <f t="shared" ca="1" si="13"/>
        <v>7 Years</v>
      </c>
      <c r="L842" s="3" cm="1">
        <f t="array" ref="L842">_xlfn.SWITCH(Table13_2[[#This Row],[Performance Score]],"A",6,"B",5,"C",4,"D",3,"E",2,"F",1)</f>
        <v>5</v>
      </c>
    </row>
    <row r="843" spans="1:12" x14ac:dyDescent="0.3">
      <c r="A843" t="s">
        <v>46</v>
      </c>
      <c r="B843">
        <v>36</v>
      </c>
      <c r="C843" s="1">
        <v>55000</v>
      </c>
      <c r="D843" t="s">
        <v>34</v>
      </c>
      <c r="E843" t="s">
        <v>26</v>
      </c>
      <c r="F843" t="s">
        <v>40</v>
      </c>
      <c r="G843" s="2">
        <v>43881</v>
      </c>
      <c r="H843" t="s">
        <v>27</v>
      </c>
      <c r="I843" t="s">
        <v>39</v>
      </c>
      <c r="J843" t="s">
        <v>17</v>
      </c>
      <c r="K843" s="2" t="str">
        <f t="shared" ca="1" si="13"/>
        <v>5 Years</v>
      </c>
      <c r="L843" s="3" cm="1">
        <f t="array" ref="L843">_xlfn.SWITCH(Table13_2[[#This Row],[Performance Score]],"A",6,"B",5,"C",4,"D",3,"E",2,"F",1)</f>
        <v>4</v>
      </c>
    </row>
    <row r="844" spans="1:12" x14ac:dyDescent="0.3">
      <c r="A844" t="s">
        <v>11</v>
      </c>
      <c r="B844">
        <v>36</v>
      </c>
      <c r="C844" s="1">
        <v>50000</v>
      </c>
      <c r="D844" t="s">
        <v>34</v>
      </c>
      <c r="E844" t="s">
        <v>20</v>
      </c>
      <c r="F844" t="s">
        <v>14</v>
      </c>
      <c r="G844" s="2">
        <v>43549</v>
      </c>
      <c r="H844" t="s">
        <v>27</v>
      </c>
      <c r="I844" t="s">
        <v>39</v>
      </c>
      <c r="J844" t="s">
        <v>42</v>
      </c>
      <c r="K844" s="2" t="str">
        <f t="shared" ca="1" si="13"/>
        <v>6 Years</v>
      </c>
      <c r="L844" s="3" cm="1">
        <f t="array" ref="L844">_xlfn.SWITCH(Table13_2[[#This Row],[Performance Score]],"A",6,"B",5,"C",4,"D",3,"E",2,"F",1)</f>
        <v>4</v>
      </c>
    </row>
    <row r="845" spans="1:12" x14ac:dyDescent="0.3">
      <c r="A845" t="s">
        <v>36</v>
      </c>
      <c r="B845">
        <v>30</v>
      </c>
      <c r="C845" s="1">
        <v>70000</v>
      </c>
      <c r="D845" t="s">
        <v>12</v>
      </c>
      <c r="E845" t="s">
        <v>26</v>
      </c>
      <c r="F845" t="s">
        <v>14</v>
      </c>
      <c r="G845" s="2">
        <v>43881</v>
      </c>
      <c r="H845" t="s">
        <v>38</v>
      </c>
      <c r="I845" t="s">
        <v>39</v>
      </c>
      <c r="J845" t="s">
        <v>17</v>
      </c>
      <c r="K845" s="2" t="str">
        <f t="shared" ca="1" si="13"/>
        <v>5 Years</v>
      </c>
      <c r="L845" s="3" cm="1">
        <f t="array" ref="L845">_xlfn.SWITCH(Table13_2[[#This Row],[Performance Score]],"A",6,"B",5,"C",4,"D",3,"E",2,"F",1)</f>
        <v>5</v>
      </c>
    </row>
    <row r="846" spans="1:12" x14ac:dyDescent="0.3">
      <c r="A846" t="s">
        <v>36</v>
      </c>
      <c r="B846">
        <v>25</v>
      </c>
      <c r="C846" s="1">
        <v>48417.431192660551</v>
      </c>
      <c r="D846" t="s">
        <v>12</v>
      </c>
      <c r="E846" t="s">
        <v>20</v>
      </c>
      <c r="F846" t="s">
        <v>40</v>
      </c>
      <c r="G846" s="2">
        <v>43845</v>
      </c>
      <c r="H846" t="s">
        <v>38</v>
      </c>
      <c r="I846" t="s">
        <v>23</v>
      </c>
      <c r="J846" t="s">
        <v>28</v>
      </c>
      <c r="K846" s="2" t="str">
        <f t="shared" ca="1" si="13"/>
        <v>5 Years</v>
      </c>
      <c r="L846" s="3" cm="1">
        <f t="array" ref="L846">_xlfn.SWITCH(Table13_2[[#This Row],[Performance Score]],"A",6,"B",5,"C",4,"D",3,"E",2,"F",1)</f>
        <v>5</v>
      </c>
    </row>
    <row r="847" spans="1:12" x14ac:dyDescent="0.3">
      <c r="A847" t="s">
        <v>25</v>
      </c>
      <c r="B847">
        <v>35</v>
      </c>
      <c r="C847" s="1">
        <v>65000</v>
      </c>
      <c r="D847" t="s">
        <v>12</v>
      </c>
      <c r="E847" t="s">
        <v>26</v>
      </c>
      <c r="F847" t="s">
        <v>21</v>
      </c>
      <c r="G847" s="2">
        <v>43195</v>
      </c>
      <c r="H847" t="s">
        <v>22</v>
      </c>
      <c r="I847" t="s">
        <v>16</v>
      </c>
      <c r="J847" t="s">
        <v>24</v>
      </c>
      <c r="K847" s="2" t="str">
        <f t="shared" ca="1" si="13"/>
        <v>7 Years</v>
      </c>
      <c r="L847" s="3" cm="1">
        <f t="array" ref="L847">_xlfn.SWITCH(Table13_2[[#This Row],[Performance Score]],"A",6,"B",5,"C",4,"D",3,"E",2,"F",1)</f>
        <v>1</v>
      </c>
    </row>
    <row r="848" spans="1:12" x14ac:dyDescent="0.3">
      <c r="A848" t="s">
        <v>29</v>
      </c>
      <c r="B848">
        <v>25</v>
      </c>
      <c r="C848" s="1">
        <v>50000</v>
      </c>
      <c r="D848" t="s">
        <v>19</v>
      </c>
      <c r="E848" t="s">
        <v>35</v>
      </c>
      <c r="F848" t="s">
        <v>40</v>
      </c>
      <c r="G848" s="2">
        <v>43881</v>
      </c>
      <c r="H848" t="s">
        <v>15</v>
      </c>
      <c r="I848" t="s">
        <v>16</v>
      </c>
      <c r="J848" t="s">
        <v>28</v>
      </c>
      <c r="K848" s="2" t="str">
        <f t="shared" ca="1" si="13"/>
        <v>5 Years</v>
      </c>
      <c r="L848" s="3" cm="1">
        <f t="array" ref="L848">_xlfn.SWITCH(Table13_2[[#This Row],[Performance Score]],"A",6,"B",5,"C",4,"D",3,"E",2,"F",1)</f>
        <v>3</v>
      </c>
    </row>
    <row r="849" spans="1:12" x14ac:dyDescent="0.3">
      <c r="A849" t="s">
        <v>18</v>
      </c>
      <c r="B849">
        <v>36</v>
      </c>
      <c r="C849" s="1">
        <v>70000</v>
      </c>
      <c r="D849" t="s">
        <v>19</v>
      </c>
      <c r="E849" t="s">
        <v>30</v>
      </c>
      <c r="F849" t="s">
        <v>41</v>
      </c>
      <c r="G849" s="2">
        <v>43881</v>
      </c>
      <c r="H849" t="s">
        <v>31</v>
      </c>
      <c r="I849" t="s">
        <v>39</v>
      </c>
      <c r="J849" t="s">
        <v>42</v>
      </c>
      <c r="K849" s="2" t="str">
        <f t="shared" ca="1" si="13"/>
        <v>5 Years</v>
      </c>
      <c r="L849" s="3" cm="1">
        <f t="array" ref="L849">_xlfn.SWITCH(Table13_2[[#This Row],[Performance Score]],"A",6,"B",5,"C",4,"D",3,"E",2,"F",1)</f>
        <v>6</v>
      </c>
    </row>
    <row r="850" spans="1:12" x14ac:dyDescent="0.3">
      <c r="A850" t="s">
        <v>25</v>
      </c>
      <c r="B850">
        <v>30</v>
      </c>
      <c r="C850" s="1">
        <v>65000</v>
      </c>
      <c r="D850" t="s">
        <v>19</v>
      </c>
      <c r="E850" t="s">
        <v>35</v>
      </c>
      <c r="F850" t="s">
        <v>40</v>
      </c>
      <c r="G850" s="2">
        <v>43881</v>
      </c>
      <c r="H850" t="s">
        <v>31</v>
      </c>
      <c r="I850" t="s">
        <v>39</v>
      </c>
      <c r="J850" t="s">
        <v>42</v>
      </c>
      <c r="K850" s="2" t="str">
        <f t="shared" ca="1" si="13"/>
        <v>5 Years</v>
      </c>
      <c r="L850" s="3" cm="1">
        <f t="array" ref="L850">_xlfn.SWITCH(Table13_2[[#This Row],[Performance Score]],"A",6,"B",5,"C",4,"D",3,"E",2,"F",1)</f>
        <v>6</v>
      </c>
    </row>
    <row r="851" spans="1:12" x14ac:dyDescent="0.3">
      <c r="A851" t="s">
        <v>43</v>
      </c>
      <c r="B851">
        <v>40</v>
      </c>
      <c r="C851" s="1">
        <v>60000</v>
      </c>
      <c r="D851" t="s">
        <v>12</v>
      </c>
      <c r="E851" t="s">
        <v>13</v>
      </c>
      <c r="F851" t="s">
        <v>14</v>
      </c>
      <c r="G851" s="2">
        <v>43845</v>
      </c>
      <c r="H851" t="s">
        <v>27</v>
      </c>
      <c r="I851" t="s">
        <v>32</v>
      </c>
      <c r="J851" t="s">
        <v>24</v>
      </c>
      <c r="K851" s="2" t="str">
        <f t="shared" ca="1" si="13"/>
        <v>5 Years</v>
      </c>
      <c r="L851" s="3" cm="1">
        <f t="array" ref="L851">_xlfn.SWITCH(Table13_2[[#This Row],[Performance Score]],"A",6,"B",5,"C",4,"D",3,"E",2,"F",1)</f>
        <v>4</v>
      </c>
    </row>
    <row r="852" spans="1:12" x14ac:dyDescent="0.3">
      <c r="A852" t="s">
        <v>44</v>
      </c>
      <c r="B852">
        <v>30</v>
      </c>
      <c r="C852" s="1">
        <v>65000</v>
      </c>
      <c r="D852" t="s">
        <v>34</v>
      </c>
      <c r="E852" t="s">
        <v>30</v>
      </c>
      <c r="F852" t="s">
        <v>40</v>
      </c>
      <c r="G852" s="2">
        <v>43549</v>
      </c>
      <c r="H852" t="s">
        <v>22</v>
      </c>
      <c r="I852" t="s">
        <v>39</v>
      </c>
      <c r="J852" t="s">
        <v>17</v>
      </c>
      <c r="K852" s="2" t="str">
        <f t="shared" ca="1" si="13"/>
        <v>6 Years</v>
      </c>
      <c r="L852" s="3" cm="1">
        <f t="array" ref="L852">_xlfn.SWITCH(Table13_2[[#This Row],[Performance Score]],"A",6,"B",5,"C",4,"D",3,"E",2,"F",1)</f>
        <v>1</v>
      </c>
    </row>
    <row r="853" spans="1:12" x14ac:dyDescent="0.3">
      <c r="A853" t="s">
        <v>18</v>
      </c>
      <c r="B853">
        <v>36</v>
      </c>
      <c r="C853" s="1">
        <v>55000</v>
      </c>
      <c r="D853" t="s">
        <v>12</v>
      </c>
      <c r="E853" t="s">
        <v>35</v>
      </c>
      <c r="F853" t="s">
        <v>37</v>
      </c>
      <c r="G853" s="2">
        <v>43881</v>
      </c>
      <c r="H853" t="s">
        <v>27</v>
      </c>
      <c r="I853" t="s">
        <v>39</v>
      </c>
      <c r="J853" t="s">
        <v>17</v>
      </c>
      <c r="K853" s="2" t="str">
        <f t="shared" ca="1" si="13"/>
        <v>5 Years</v>
      </c>
      <c r="L853" s="3" cm="1">
        <f t="array" ref="L853">_xlfn.SWITCH(Table13_2[[#This Row],[Performance Score]],"A",6,"B",5,"C",4,"D",3,"E",2,"F",1)</f>
        <v>4</v>
      </c>
    </row>
    <row r="854" spans="1:12" x14ac:dyDescent="0.3">
      <c r="A854" t="s">
        <v>18</v>
      </c>
      <c r="B854">
        <v>30</v>
      </c>
      <c r="C854" s="1">
        <v>55000</v>
      </c>
      <c r="D854" t="s">
        <v>19</v>
      </c>
      <c r="E854" t="s">
        <v>13</v>
      </c>
      <c r="F854" t="s">
        <v>41</v>
      </c>
      <c r="G854" s="2">
        <v>43845</v>
      </c>
      <c r="H854" t="s">
        <v>31</v>
      </c>
      <c r="I854" t="s">
        <v>39</v>
      </c>
      <c r="J854" t="s">
        <v>42</v>
      </c>
      <c r="K854" s="2" t="str">
        <f t="shared" ca="1" si="13"/>
        <v>5 Years</v>
      </c>
      <c r="L854" s="3" cm="1">
        <f t="array" ref="L854">_xlfn.SWITCH(Table13_2[[#This Row],[Performance Score]],"A",6,"B",5,"C",4,"D",3,"E",2,"F",1)</f>
        <v>6</v>
      </c>
    </row>
    <row r="855" spans="1:12" x14ac:dyDescent="0.3">
      <c r="A855" t="s">
        <v>43</v>
      </c>
      <c r="B855">
        <v>30</v>
      </c>
      <c r="C855" s="1">
        <v>60000</v>
      </c>
      <c r="D855" t="s">
        <v>19</v>
      </c>
      <c r="E855" t="s">
        <v>20</v>
      </c>
      <c r="F855" t="s">
        <v>40</v>
      </c>
      <c r="G855" s="2">
        <v>43195</v>
      </c>
      <c r="H855" t="s">
        <v>38</v>
      </c>
      <c r="I855" t="s">
        <v>23</v>
      </c>
      <c r="J855" t="s">
        <v>24</v>
      </c>
      <c r="K855" s="2" t="str">
        <f t="shared" ca="1" si="13"/>
        <v>7 Years</v>
      </c>
      <c r="L855" s="3" cm="1">
        <f t="array" ref="L855">_xlfn.SWITCH(Table13_2[[#This Row],[Performance Score]],"A",6,"B",5,"C",4,"D",3,"E",2,"F",1)</f>
        <v>5</v>
      </c>
    </row>
    <row r="856" spans="1:12" x14ac:dyDescent="0.3">
      <c r="A856" t="s">
        <v>43</v>
      </c>
      <c r="B856">
        <v>36</v>
      </c>
      <c r="C856" s="1">
        <v>50000</v>
      </c>
      <c r="D856" t="s">
        <v>12</v>
      </c>
      <c r="E856" t="s">
        <v>20</v>
      </c>
      <c r="F856" t="s">
        <v>14</v>
      </c>
      <c r="G856" s="2">
        <v>43800</v>
      </c>
      <c r="H856" t="s">
        <v>15</v>
      </c>
      <c r="I856" t="s">
        <v>23</v>
      </c>
      <c r="J856" t="s">
        <v>17</v>
      </c>
      <c r="K856" s="2" t="str">
        <f t="shared" ca="1" si="13"/>
        <v>6 Years</v>
      </c>
      <c r="L856" s="3" cm="1">
        <f t="array" ref="L856">_xlfn.SWITCH(Table13_2[[#This Row],[Performance Score]],"A",6,"B",5,"C",4,"D",3,"E",2,"F",1)</f>
        <v>3</v>
      </c>
    </row>
    <row r="857" spans="1:12" x14ac:dyDescent="0.3">
      <c r="A857" t="s">
        <v>45</v>
      </c>
      <c r="B857">
        <v>50</v>
      </c>
      <c r="C857" s="1">
        <v>70000</v>
      </c>
      <c r="D857" t="s">
        <v>12</v>
      </c>
      <c r="E857" t="s">
        <v>26</v>
      </c>
      <c r="F857" t="s">
        <v>41</v>
      </c>
      <c r="G857" s="2">
        <v>43845</v>
      </c>
      <c r="H857" t="s">
        <v>22</v>
      </c>
      <c r="I857" t="s">
        <v>16</v>
      </c>
      <c r="J857" t="s">
        <v>17</v>
      </c>
      <c r="K857" s="2" t="str">
        <f t="shared" ca="1" si="13"/>
        <v>5 Years</v>
      </c>
      <c r="L857" s="3" cm="1">
        <f t="array" ref="L857">_xlfn.SWITCH(Table13_2[[#This Row],[Performance Score]],"A",6,"B",5,"C",4,"D",3,"E",2,"F",1)</f>
        <v>1</v>
      </c>
    </row>
    <row r="858" spans="1:12" x14ac:dyDescent="0.3">
      <c r="A858" t="s">
        <v>25</v>
      </c>
      <c r="B858">
        <v>30</v>
      </c>
      <c r="C858" s="1">
        <v>65000</v>
      </c>
      <c r="D858" t="s">
        <v>19</v>
      </c>
      <c r="E858" t="s">
        <v>30</v>
      </c>
      <c r="F858" t="s">
        <v>14</v>
      </c>
      <c r="G858" s="2">
        <v>43800</v>
      </c>
      <c r="H858" t="s">
        <v>38</v>
      </c>
      <c r="I858" t="s">
        <v>16</v>
      </c>
      <c r="J858" t="s">
        <v>42</v>
      </c>
      <c r="K858" s="2" t="str">
        <f t="shared" ca="1" si="13"/>
        <v>6 Years</v>
      </c>
      <c r="L858" s="3" cm="1">
        <f t="array" ref="L858">_xlfn.SWITCH(Table13_2[[#This Row],[Performance Score]],"A",6,"B",5,"C",4,"D",3,"E",2,"F",1)</f>
        <v>5</v>
      </c>
    </row>
    <row r="859" spans="1:12" x14ac:dyDescent="0.3">
      <c r="A859" t="s">
        <v>43</v>
      </c>
      <c r="B859">
        <v>35</v>
      </c>
      <c r="C859" s="1">
        <v>55000</v>
      </c>
      <c r="D859" t="s">
        <v>19</v>
      </c>
      <c r="E859" t="s">
        <v>20</v>
      </c>
      <c r="F859" t="s">
        <v>21</v>
      </c>
      <c r="G859" s="2">
        <v>43881</v>
      </c>
      <c r="H859" t="s">
        <v>15</v>
      </c>
      <c r="I859" t="s">
        <v>32</v>
      </c>
      <c r="J859" t="s">
        <v>24</v>
      </c>
      <c r="K859" s="2" t="str">
        <f t="shared" ca="1" si="13"/>
        <v>5 Years</v>
      </c>
      <c r="L859" s="3" cm="1">
        <f t="array" ref="L859">_xlfn.SWITCH(Table13_2[[#This Row],[Performance Score]],"A",6,"B",5,"C",4,"D",3,"E",2,"F",1)</f>
        <v>3</v>
      </c>
    </row>
    <row r="860" spans="1:12" x14ac:dyDescent="0.3">
      <c r="A860" t="s">
        <v>36</v>
      </c>
      <c r="B860">
        <v>35</v>
      </c>
      <c r="C860" s="1">
        <v>50000</v>
      </c>
      <c r="D860" t="s">
        <v>19</v>
      </c>
      <c r="E860" t="s">
        <v>30</v>
      </c>
      <c r="F860" t="s">
        <v>37</v>
      </c>
      <c r="G860" s="2">
        <v>43881</v>
      </c>
      <c r="H860" t="s">
        <v>22</v>
      </c>
      <c r="I860" t="s">
        <v>32</v>
      </c>
      <c r="J860" t="s">
        <v>24</v>
      </c>
      <c r="K860" s="2" t="str">
        <f t="shared" ca="1" si="13"/>
        <v>5 Years</v>
      </c>
      <c r="L860" s="3" cm="1">
        <f t="array" ref="L860">_xlfn.SWITCH(Table13_2[[#This Row],[Performance Score]],"A",6,"B",5,"C",4,"D",3,"E",2,"F",1)</f>
        <v>1</v>
      </c>
    </row>
    <row r="861" spans="1:12" x14ac:dyDescent="0.3">
      <c r="A861" t="s">
        <v>46</v>
      </c>
      <c r="B861">
        <v>30</v>
      </c>
      <c r="C861" s="1">
        <v>60000</v>
      </c>
      <c r="D861" t="s">
        <v>12</v>
      </c>
      <c r="E861" t="s">
        <v>20</v>
      </c>
      <c r="F861" t="s">
        <v>21</v>
      </c>
      <c r="G861" s="2">
        <v>43845</v>
      </c>
      <c r="H861" t="s">
        <v>22</v>
      </c>
      <c r="I861" t="s">
        <v>32</v>
      </c>
      <c r="J861" t="s">
        <v>24</v>
      </c>
      <c r="K861" s="2" t="str">
        <f t="shared" ca="1" si="13"/>
        <v>5 Years</v>
      </c>
      <c r="L861" s="3" cm="1">
        <f t="array" ref="L861">_xlfn.SWITCH(Table13_2[[#This Row],[Performance Score]],"A",6,"B",5,"C",4,"D",3,"E",2,"F",1)</f>
        <v>1</v>
      </c>
    </row>
    <row r="862" spans="1:12" x14ac:dyDescent="0.3">
      <c r="A862" t="s">
        <v>44</v>
      </c>
      <c r="B862">
        <v>50</v>
      </c>
      <c r="C862" s="1">
        <v>50742.574257425746</v>
      </c>
      <c r="D862" t="s">
        <v>19</v>
      </c>
      <c r="E862" t="s">
        <v>26</v>
      </c>
      <c r="F862" t="s">
        <v>37</v>
      </c>
      <c r="G862" s="2">
        <v>43800</v>
      </c>
      <c r="H862" t="s">
        <v>31</v>
      </c>
      <c r="I862" t="s">
        <v>32</v>
      </c>
      <c r="J862" t="s">
        <v>42</v>
      </c>
      <c r="K862" s="2" t="str">
        <f t="shared" ca="1" si="13"/>
        <v>6 Years</v>
      </c>
      <c r="L862" s="3" cm="1">
        <f t="array" ref="L862">_xlfn.SWITCH(Table13_2[[#This Row],[Performance Score]],"A",6,"B",5,"C",4,"D",3,"E",2,"F",1)</f>
        <v>6</v>
      </c>
    </row>
    <row r="863" spans="1:12" x14ac:dyDescent="0.3">
      <c r="A863" t="s">
        <v>25</v>
      </c>
      <c r="B863">
        <v>40</v>
      </c>
      <c r="C863" s="1">
        <v>55000</v>
      </c>
      <c r="D863" t="s">
        <v>19</v>
      </c>
      <c r="E863" t="s">
        <v>35</v>
      </c>
      <c r="F863" t="s">
        <v>40</v>
      </c>
      <c r="G863" s="2">
        <v>43881</v>
      </c>
      <c r="H863" t="s">
        <v>38</v>
      </c>
      <c r="I863" t="s">
        <v>39</v>
      </c>
      <c r="J863" t="s">
        <v>17</v>
      </c>
      <c r="K863" s="2" t="str">
        <f t="shared" ca="1" si="13"/>
        <v>5 Years</v>
      </c>
      <c r="L863" s="3" cm="1">
        <f t="array" ref="L863">_xlfn.SWITCH(Table13_2[[#This Row],[Performance Score]],"A",6,"B",5,"C",4,"D",3,"E",2,"F",1)</f>
        <v>5</v>
      </c>
    </row>
    <row r="864" spans="1:12" x14ac:dyDescent="0.3">
      <c r="A864" t="s">
        <v>33</v>
      </c>
      <c r="B864">
        <v>36</v>
      </c>
      <c r="C864" s="1">
        <v>60000</v>
      </c>
      <c r="D864" t="s">
        <v>34</v>
      </c>
      <c r="E864" t="s">
        <v>26</v>
      </c>
      <c r="F864" t="s">
        <v>41</v>
      </c>
      <c r="G864" s="2">
        <v>43195</v>
      </c>
      <c r="H864" t="s">
        <v>22</v>
      </c>
      <c r="I864" t="s">
        <v>39</v>
      </c>
      <c r="J864" t="s">
        <v>24</v>
      </c>
      <c r="K864" s="2" t="str">
        <f t="shared" ca="1" si="13"/>
        <v>7 Years</v>
      </c>
      <c r="L864" s="3" cm="1">
        <f t="array" ref="L864">_xlfn.SWITCH(Table13_2[[#This Row],[Performance Score]],"A",6,"B",5,"C",4,"D",3,"E",2,"F",1)</f>
        <v>1</v>
      </c>
    </row>
    <row r="865" spans="1:12" x14ac:dyDescent="0.3">
      <c r="A865" t="s">
        <v>36</v>
      </c>
      <c r="B865">
        <v>35</v>
      </c>
      <c r="C865" s="1">
        <v>65000</v>
      </c>
      <c r="D865" t="s">
        <v>12</v>
      </c>
      <c r="E865" t="s">
        <v>13</v>
      </c>
      <c r="F865" t="s">
        <v>40</v>
      </c>
      <c r="G865" s="2">
        <v>43549</v>
      </c>
      <c r="H865" t="s">
        <v>22</v>
      </c>
      <c r="I865" t="s">
        <v>16</v>
      </c>
      <c r="J865" t="s">
        <v>17</v>
      </c>
      <c r="K865" s="2" t="str">
        <f t="shared" ca="1" si="13"/>
        <v>6 Years</v>
      </c>
      <c r="L865" s="3" cm="1">
        <f t="array" ref="L865">_xlfn.SWITCH(Table13_2[[#This Row],[Performance Score]],"A",6,"B",5,"C",4,"D",3,"E",2,"F",1)</f>
        <v>1</v>
      </c>
    </row>
    <row r="866" spans="1:12" x14ac:dyDescent="0.3">
      <c r="A866" t="s">
        <v>29</v>
      </c>
      <c r="B866">
        <v>40</v>
      </c>
      <c r="C866" s="1">
        <v>70000</v>
      </c>
      <c r="D866" t="s">
        <v>34</v>
      </c>
      <c r="E866" t="s">
        <v>20</v>
      </c>
      <c r="F866" t="s">
        <v>37</v>
      </c>
      <c r="G866" s="2">
        <v>43549</v>
      </c>
      <c r="H866" t="s">
        <v>15</v>
      </c>
      <c r="I866" t="s">
        <v>23</v>
      </c>
      <c r="J866" t="s">
        <v>24</v>
      </c>
      <c r="K866" s="2" t="str">
        <f t="shared" ca="1" si="13"/>
        <v>6 Years</v>
      </c>
      <c r="L866" s="3" cm="1">
        <f t="array" ref="L866">_xlfn.SWITCH(Table13_2[[#This Row],[Performance Score]],"A",6,"B",5,"C",4,"D",3,"E",2,"F",1)</f>
        <v>3</v>
      </c>
    </row>
    <row r="867" spans="1:12" x14ac:dyDescent="0.3">
      <c r="A867" t="s">
        <v>43</v>
      </c>
      <c r="B867">
        <v>30</v>
      </c>
      <c r="C867" s="1">
        <v>55000</v>
      </c>
      <c r="D867" t="s">
        <v>34</v>
      </c>
      <c r="E867" t="s">
        <v>13</v>
      </c>
      <c r="F867" t="s">
        <v>37</v>
      </c>
      <c r="G867" s="2">
        <v>43881</v>
      </c>
      <c r="H867" t="s">
        <v>31</v>
      </c>
      <c r="I867" t="s">
        <v>23</v>
      </c>
      <c r="J867" t="s">
        <v>17</v>
      </c>
      <c r="K867" s="2" t="str">
        <f t="shared" ca="1" si="13"/>
        <v>5 Years</v>
      </c>
      <c r="L867" s="3" cm="1">
        <f t="array" ref="L867">_xlfn.SWITCH(Table13_2[[#This Row],[Performance Score]],"A",6,"B",5,"C",4,"D",3,"E",2,"F",1)</f>
        <v>6</v>
      </c>
    </row>
    <row r="868" spans="1:12" x14ac:dyDescent="0.3">
      <c r="A868" t="s">
        <v>33</v>
      </c>
      <c r="B868">
        <v>40</v>
      </c>
      <c r="C868" s="1">
        <v>55000</v>
      </c>
      <c r="D868" t="s">
        <v>19</v>
      </c>
      <c r="E868" t="s">
        <v>13</v>
      </c>
      <c r="F868" t="s">
        <v>37</v>
      </c>
      <c r="G868" s="2">
        <v>43800</v>
      </c>
      <c r="H868" t="s">
        <v>27</v>
      </c>
      <c r="I868" t="s">
        <v>39</v>
      </c>
      <c r="J868" t="s">
        <v>42</v>
      </c>
      <c r="K868" s="2" t="str">
        <f t="shared" ca="1" si="13"/>
        <v>6 Years</v>
      </c>
      <c r="L868" s="3" cm="1">
        <f t="array" ref="L868">_xlfn.SWITCH(Table13_2[[#This Row],[Performance Score]],"A",6,"B",5,"C",4,"D",3,"E",2,"F",1)</f>
        <v>4</v>
      </c>
    </row>
    <row r="869" spans="1:12" x14ac:dyDescent="0.3">
      <c r="A869" t="s">
        <v>43</v>
      </c>
      <c r="B869">
        <v>25</v>
      </c>
      <c r="C869" s="1">
        <v>65000</v>
      </c>
      <c r="D869" t="s">
        <v>12</v>
      </c>
      <c r="E869" t="s">
        <v>30</v>
      </c>
      <c r="F869" t="s">
        <v>14</v>
      </c>
      <c r="G869" s="2">
        <v>43881</v>
      </c>
      <c r="H869" t="s">
        <v>31</v>
      </c>
      <c r="I869" t="s">
        <v>39</v>
      </c>
      <c r="J869" t="s">
        <v>24</v>
      </c>
      <c r="K869" s="2" t="str">
        <f t="shared" ca="1" si="13"/>
        <v>5 Years</v>
      </c>
      <c r="L869" s="3" cm="1">
        <f t="array" ref="L869">_xlfn.SWITCH(Table13_2[[#This Row],[Performance Score]],"A",6,"B",5,"C",4,"D",3,"E",2,"F",1)</f>
        <v>6</v>
      </c>
    </row>
    <row r="870" spans="1:12" x14ac:dyDescent="0.3">
      <c r="A870" t="s">
        <v>18</v>
      </c>
      <c r="B870">
        <v>35</v>
      </c>
      <c r="C870" s="1">
        <v>48417.431192660551</v>
      </c>
      <c r="D870" t="s">
        <v>19</v>
      </c>
      <c r="E870" t="s">
        <v>20</v>
      </c>
      <c r="F870" t="s">
        <v>41</v>
      </c>
      <c r="G870" s="2">
        <v>43800</v>
      </c>
      <c r="H870" t="s">
        <v>27</v>
      </c>
      <c r="I870" t="s">
        <v>32</v>
      </c>
      <c r="J870" t="s">
        <v>24</v>
      </c>
      <c r="K870" s="2" t="str">
        <f t="shared" ca="1" si="13"/>
        <v>6 Years</v>
      </c>
      <c r="L870" s="3" cm="1">
        <f t="array" ref="L870">_xlfn.SWITCH(Table13_2[[#This Row],[Performance Score]],"A",6,"B",5,"C",4,"D",3,"E",2,"F",1)</f>
        <v>4</v>
      </c>
    </row>
    <row r="871" spans="1:12" x14ac:dyDescent="0.3">
      <c r="A871" t="s">
        <v>36</v>
      </c>
      <c r="B871">
        <v>30</v>
      </c>
      <c r="C871" s="1">
        <v>50000</v>
      </c>
      <c r="D871" t="s">
        <v>12</v>
      </c>
      <c r="E871" t="s">
        <v>13</v>
      </c>
      <c r="F871" t="s">
        <v>40</v>
      </c>
      <c r="G871" s="2">
        <v>43195</v>
      </c>
      <c r="H871" t="s">
        <v>38</v>
      </c>
      <c r="I871" t="s">
        <v>32</v>
      </c>
      <c r="J871" t="s">
        <v>17</v>
      </c>
      <c r="K871" s="2" t="str">
        <f t="shared" ca="1" si="13"/>
        <v>7 Years</v>
      </c>
      <c r="L871" s="3" cm="1">
        <f t="array" ref="L871">_xlfn.SWITCH(Table13_2[[#This Row],[Performance Score]],"A",6,"B",5,"C",4,"D",3,"E",2,"F",1)</f>
        <v>5</v>
      </c>
    </row>
    <row r="872" spans="1:12" x14ac:dyDescent="0.3">
      <c r="A872" t="s">
        <v>18</v>
      </c>
      <c r="B872">
        <v>36</v>
      </c>
      <c r="C872" s="1">
        <v>70000</v>
      </c>
      <c r="D872" t="s">
        <v>34</v>
      </c>
      <c r="E872" t="s">
        <v>35</v>
      </c>
      <c r="F872" t="s">
        <v>40</v>
      </c>
      <c r="G872" s="2">
        <v>43800</v>
      </c>
      <c r="H872" t="s">
        <v>38</v>
      </c>
      <c r="I872" t="s">
        <v>39</v>
      </c>
      <c r="J872" t="s">
        <v>17</v>
      </c>
      <c r="K872" s="2" t="str">
        <f t="shared" ca="1" si="13"/>
        <v>6 Years</v>
      </c>
      <c r="L872" s="3" cm="1">
        <f t="array" ref="L872">_xlfn.SWITCH(Table13_2[[#This Row],[Performance Score]],"A",6,"B",5,"C",4,"D",3,"E",2,"F",1)</f>
        <v>5</v>
      </c>
    </row>
    <row r="873" spans="1:12" x14ac:dyDescent="0.3">
      <c r="A873" t="s">
        <v>45</v>
      </c>
      <c r="B873">
        <v>50</v>
      </c>
      <c r="C873" s="1">
        <v>55000</v>
      </c>
      <c r="D873" t="s">
        <v>12</v>
      </c>
      <c r="E873" t="s">
        <v>13</v>
      </c>
      <c r="F873" t="s">
        <v>21</v>
      </c>
      <c r="G873" s="2">
        <v>43881</v>
      </c>
      <c r="H873" t="s">
        <v>22</v>
      </c>
      <c r="I873" t="s">
        <v>23</v>
      </c>
      <c r="J873" t="s">
        <v>24</v>
      </c>
      <c r="K873" s="2" t="str">
        <f t="shared" ca="1" si="13"/>
        <v>5 Years</v>
      </c>
      <c r="L873" s="3" cm="1">
        <f t="array" ref="L873">_xlfn.SWITCH(Table13_2[[#This Row],[Performance Score]],"A",6,"B",5,"C",4,"D",3,"E",2,"F",1)</f>
        <v>1</v>
      </c>
    </row>
    <row r="874" spans="1:12" x14ac:dyDescent="0.3">
      <c r="A874" t="s">
        <v>18</v>
      </c>
      <c r="B874">
        <v>30</v>
      </c>
      <c r="C874" s="1">
        <v>70000</v>
      </c>
      <c r="D874" t="s">
        <v>19</v>
      </c>
      <c r="E874" t="s">
        <v>35</v>
      </c>
      <c r="F874" t="s">
        <v>37</v>
      </c>
      <c r="G874" s="2">
        <v>43195</v>
      </c>
      <c r="H874" t="s">
        <v>38</v>
      </c>
      <c r="I874" t="s">
        <v>32</v>
      </c>
      <c r="J874" t="s">
        <v>24</v>
      </c>
      <c r="K874" s="2" t="str">
        <f t="shared" ca="1" si="13"/>
        <v>7 Years</v>
      </c>
      <c r="L874" s="3" cm="1">
        <f t="array" ref="L874">_xlfn.SWITCH(Table13_2[[#This Row],[Performance Score]],"A",6,"B",5,"C",4,"D",3,"E",2,"F",1)</f>
        <v>5</v>
      </c>
    </row>
    <row r="875" spans="1:12" x14ac:dyDescent="0.3">
      <c r="A875" t="s">
        <v>45</v>
      </c>
      <c r="B875">
        <v>36</v>
      </c>
      <c r="C875" s="1">
        <v>55000</v>
      </c>
      <c r="D875" t="s">
        <v>19</v>
      </c>
      <c r="E875" t="s">
        <v>30</v>
      </c>
      <c r="F875" t="s">
        <v>37</v>
      </c>
      <c r="G875" s="2">
        <v>43845</v>
      </c>
      <c r="H875" t="s">
        <v>22</v>
      </c>
      <c r="I875" t="s">
        <v>23</v>
      </c>
      <c r="J875" t="s">
        <v>17</v>
      </c>
      <c r="K875" s="2" t="str">
        <f t="shared" ca="1" si="13"/>
        <v>5 Years</v>
      </c>
      <c r="L875" s="3" cm="1">
        <f t="array" ref="L875">_xlfn.SWITCH(Table13_2[[#This Row],[Performance Score]],"A",6,"B",5,"C",4,"D",3,"E",2,"F",1)</f>
        <v>1</v>
      </c>
    </row>
    <row r="876" spans="1:12" x14ac:dyDescent="0.3">
      <c r="A876" t="s">
        <v>45</v>
      </c>
      <c r="B876">
        <v>50</v>
      </c>
      <c r="C876" s="1">
        <v>70000</v>
      </c>
      <c r="D876" t="s">
        <v>19</v>
      </c>
      <c r="E876" t="s">
        <v>13</v>
      </c>
      <c r="F876" t="s">
        <v>37</v>
      </c>
      <c r="G876" s="2">
        <v>43549</v>
      </c>
      <c r="H876" t="s">
        <v>31</v>
      </c>
      <c r="I876" t="s">
        <v>39</v>
      </c>
      <c r="J876" t="s">
        <v>17</v>
      </c>
      <c r="K876" s="2" t="str">
        <f t="shared" ca="1" si="13"/>
        <v>6 Years</v>
      </c>
      <c r="L876" s="3" cm="1">
        <f t="array" ref="L876">_xlfn.SWITCH(Table13_2[[#This Row],[Performance Score]],"A",6,"B",5,"C",4,"D",3,"E",2,"F",1)</f>
        <v>6</v>
      </c>
    </row>
    <row r="877" spans="1:12" x14ac:dyDescent="0.3">
      <c r="A877" t="s">
        <v>33</v>
      </c>
      <c r="B877">
        <v>50</v>
      </c>
      <c r="C877" s="1">
        <v>60000</v>
      </c>
      <c r="D877" t="s">
        <v>12</v>
      </c>
      <c r="E877" t="s">
        <v>26</v>
      </c>
      <c r="F877" t="s">
        <v>40</v>
      </c>
      <c r="G877" s="2">
        <v>43881</v>
      </c>
      <c r="H877" t="s">
        <v>38</v>
      </c>
      <c r="I877" t="s">
        <v>23</v>
      </c>
      <c r="J877" t="s">
        <v>28</v>
      </c>
      <c r="K877" s="2" t="str">
        <f t="shared" ca="1" si="13"/>
        <v>5 Years</v>
      </c>
      <c r="L877" s="3" cm="1">
        <f t="array" ref="L877">_xlfn.SWITCH(Table13_2[[#This Row],[Performance Score]],"A",6,"B",5,"C",4,"D",3,"E",2,"F",1)</f>
        <v>5</v>
      </c>
    </row>
    <row r="878" spans="1:12" x14ac:dyDescent="0.3">
      <c r="A878" t="s">
        <v>43</v>
      </c>
      <c r="B878">
        <v>30</v>
      </c>
      <c r="C878" s="1">
        <v>55000</v>
      </c>
      <c r="D878" t="s">
        <v>34</v>
      </c>
      <c r="E878" t="s">
        <v>30</v>
      </c>
      <c r="F878" t="s">
        <v>21</v>
      </c>
      <c r="G878" s="2">
        <v>43881</v>
      </c>
      <c r="H878" t="s">
        <v>31</v>
      </c>
      <c r="I878" t="s">
        <v>23</v>
      </c>
      <c r="J878" t="s">
        <v>28</v>
      </c>
      <c r="K878" s="2" t="str">
        <f t="shared" ca="1" si="13"/>
        <v>5 Years</v>
      </c>
      <c r="L878" s="3" cm="1">
        <f t="array" ref="L878">_xlfn.SWITCH(Table13_2[[#This Row],[Performance Score]],"A",6,"B",5,"C",4,"D",3,"E",2,"F",1)</f>
        <v>6</v>
      </c>
    </row>
    <row r="879" spans="1:12" x14ac:dyDescent="0.3">
      <c r="A879" t="s">
        <v>29</v>
      </c>
      <c r="B879">
        <v>40</v>
      </c>
      <c r="C879" s="1">
        <v>70000</v>
      </c>
      <c r="D879" t="s">
        <v>34</v>
      </c>
      <c r="E879" t="s">
        <v>35</v>
      </c>
      <c r="F879" t="s">
        <v>14</v>
      </c>
      <c r="G879" s="2">
        <v>43881</v>
      </c>
      <c r="H879" t="s">
        <v>31</v>
      </c>
      <c r="I879" t="s">
        <v>23</v>
      </c>
      <c r="J879" t="s">
        <v>24</v>
      </c>
      <c r="K879" s="2" t="str">
        <f t="shared" ca="1" si="13"/>
        <v>5 Years</v>
      </c>
      <c r="L879" s="3" cm="1">
        <f t="array" ref="L879">_xlfn.SWITCH(Table13_2[[#This Row],[Performance Score]],"A",6,"B",5,"C",4,"D",3,"E",2,"F",1)</f>
        <v>6</v>
      </c>
    </row>
    <row r="880" spans="1:12" x14ac:dyDescent="0.3">
      <c r="A880" t="s">
        <v>18</v>
      </c>
      <c r="B880">
        <v>40</v>
      </c>
      <c r="C880" s="1">
        <v>50000</v>
      </c>
      <c r="D880" t="s">
        <v>12</v>
      </c>
      <c r="E880" t="s">
        <v>30</v>
      </c>
      <c r="F880" t="s">
        <v>41</v>
      </c>
      <c r="G880" s="2">
        <v>43195</v>
      </c>
      <c r="H880" t="s">
        <v>38</v>
      </c>
      <c r="I880" t="s">
        <v>32</v>
      </c>
      <c r="J880" t="s">
        <v>17</v>
      </c>
      <c r="K880" s="2" t="str">
        <f t="shared" ca="1" si="13"/>
        <v>7 Years</v>
      </c>
      <c r="L880" s="3" cm="1">
        <f t="array" ref="L880">_xlfn.SWITCH(Table13_2[[#This Row],[Performance Score]],"A",6,"B",5,"C",4,"D",3,"E",2,"F",1)</f>
        <v>5</v>
      </c>
    </row>
    <row r="881" spans="1:12" x14ac:dyDescent="0.3">
      <c r="A881" t="s">
        <v>36</v>
      </c>
      <c r="B881">
        <v>50</v>
      </c>
      <c r="C881" s="1">
        <v>60000</v>
      </c>
      <c r="D881" t="s">
        <v>19</v>
      </c>
      <c r="E881" t="s">
        <v>13</v>
      </c>
      <c r="F881" t="s">
        <v>14</v>
      </c>
      <c r="G881" s="2">
        <v>43845</v>
      </c>
      <c r="H881" t="s">
        <v>31</v>
      </c>
      <c r="I881" t="s">
        <v>16</v>
      </c>
      <c r="J881" t="s">
        <v>42</v>
      </c>
      <c r="K881" s="2" t="str">
        <f t="shared" ca="1" si="13"/>
        <v>5 Years</v>
      </c>
      <c r="L881" s="3" cm="1">
        <f t="array" ref="L881">_xlfn.SWITCH(Table13_2[[#This Row],[Performance Score]],"A",6,"B",5,"C",4,"D",3,"E",2,"F",1)</f>
        <v>6</v>
      </c>
    </row>
    <row r="882" spans="1:12" x14ac:dyDescent="0.3">
      <c r="A882" t="s">
        <v>45</v>
      </c>
      <c r="B882">
        <v>40</v>
      </c>
      <c r="C882" s="1">
        <v>60000</v>
      </c>
      <c r="D882" t="s">
        <v>34</v>
      </c>
      <c r="E882" t="s">
        <v>20</v>
      </c>
      <c r="F882" t="s">
        <v>40</v>
      </c>
      <c r="G882" s="2">
        <v>43800</v>
      </c>
      <c r="H882" t="s">
        <v>38</v>
      </c>
      <c r="I882" t="s">
        <v>39</v>
      </c>
      <c r="J882" t="s">
        <v>42</v>
      </c>
      <c r="K882" s="2" t="str">
        <f t="shared" ca="1" si="13"/>
        <v>6 Years</v>
      </c>
      <c r="L882" s="3" cm="1">
        <f t="array" ref="L882">_xlfn.SWITCH(Table13_2[[#This Row],[Performance Score]],"A",6,"B",5,"C",4,"D",3,"E",2,"F",1)</f>
        <v>5</v>
      </c>
    </row>
    <row r="883" spans="1:12" x14ac:dyDescent="0.3">
      <c r="A883" t="s">
        <v>43</v>
      </c>
      <c r="B883">
        <v>25</v>
      </c>
      <c r="C883" s="1">
        <v>50000</v>
      </c>
      <c r="D883" t="s">
        <v>19</v>
      </c>
      <c r="E883" t="s">
        <v>20</v>
      </c>
      <c r="F883" t="s">
        <v>37</v>
      </c>
      <c r="G883" s="2">
        <v>43845</v>
      </c>
      <c r="H883" t="s">
        <v>38</v>
      </c>
      <c r="I883" t="s">
        <v>23</v>
      </c>
      <c r="J883" t="s">
        <v>28</v>
      </c>
      <c r="K883" s="2" t="str">
        <f t="shared" ca="1" si="13"/>
        <v>5 Years</v>
      </c>
      <c r="L883" s="3" cm="1">
        <f t="array" ref="L883">_xlfn.SWITCH(Table13_2[[#This Row],[Performance Score]],"A",6,"B",5,"C",4,"D",3,"E",2,"F",1)</f>
        <v>5</v>
      </c>
    </row>
    <row r="884" spans="1:12" x14ac:dyDescent="0.3">
      <c r="A884" t="s">
        <v>44</v>
      </c>
      <c r="B884">
        <v>50</v>
      </c>
      <c r="C884" s="1">
        <v>70000</v>
      </c>
      <c r="D884" t="s">
        <v>12</v>
      </c>
      <c r="E884" t="s">
        <v>35</v>
      </c>
      <c r="F884" t="s">
        <v>41</v>
      </c>
      <c r="G884" s="2">
        <v>43195</v>
      </c>
      <c r="H884" t="s">
        <v>38</v>
      </c>
      <c r="I884" t="s">
        <v>23</v>
      </c>
      <c r="J884" t="s">
        <v>17</v>
      </c>
      <c r="K884" s="2" t="str">
        <f t="shared" ca="1" si="13"/>
        <v>7 Years</v>
      </c>
      <c r="L884" s="3" cm="1">
        <f t="array" ref="L884">_xlfn.SWITCH(Table13_2[[#This Row],[Performance Score]],"A",6,"B",5,"C",4,"D",3,"E",2,"F",1)</f>
        <v>5</v>
      </c>
    </row>
    <row r="885" spans="1:12" x14ac:dyDescent="0.3">
      <c r="A885" t="s">
        <v>25</v>
      </c>
      <c r="B885">
        <v>50</v>
      </c>
      <c r="C885" s="1">
        <v>65000</v>
      </c>
      <c r="D885" t="s">
        <v>19</v>
      </c>
      <c r="E885" t="s">
        <v>35</v>
      </c>
      <c r="F885" t="s">
        <v>40</v>
      </c>
      <c r="G885" s="2">
        <v>43881</v>
      </c>
      <c r="H885" t="s">
        <v>27</v>
      </c>
      <c r="I885" t="s">
        <v>23</v>
      </c>
      <c r="J885" t="s">
        <v>28</v>
      </c>
      <c r="K885" s="2" t="str">
        <f t="shared" ca="1" si="13"/>
        <v>5 Years</v>
      </c>
      <c r="L885" s="3" cm="1">
        <f t="array" ref="L885">_xlfn.SWITCH(Table13_2[[#This Row],[Performance Score]],"A",6,"B",5,"C",4,"D",3,"E",2,"F",1)</f>
        <v>4</v>
      </c>
    </row>
    <row r="886" spans="1:12" x14ac:dyDescent="0.3">
      <c r="A886" t="s">
        <v>33</v>
      </c>
      <c r="B886">
        <v>36</v>
      </c>
      <c r="C886" s="1">
        <v>50000</v>
      </c>
      <c r="D886" t="s">
        <v>34</v>
      </c>
      <c r="E886" t="s">
        <v>20</v>
      </c>
      <c r="F886" t="s">
        <v>40</v>
      </c>
      <c r="G886" s="2">
        <v>43549</v>
      </c>
      <c r="H886" t="s">
        <v>31</v>
      </c>
      <c r="I886" t="s">
        <v>16</v>
      </c>
      <c r="J886" t="s">
        <v>24</v>
      </c>
      <c r="K886" s="2" t="str">
        <f t="shared" ca="1" si="13"/>
        <v>6 Years</v>
      </c>
      <c r="L886" s="3" cm="1">
        <f t="array" ref="L886">_xlfn.SWITCH(Table13_2[[#This Row],[Performance Score]],"A",6,"B",5,"C",4,"D",3,"E",2,"F",1)</f>
        <v>6</v>
      </c>
    </row>
    <row r="887" spans="1:12" x14ac:dyDescent="0.3">
      <c r="A887" t="s">
        <v>29</v>
      </c>
      <c r="B887">
        <v>40</v>
      </c>
      <c r="C887" s="1">
        <v>70000</v>
      </c>
      <c r="D887" t="s">
        <v>34</v>
      </c>
      <c r="E887" t="s">
        <v>35</v>
      </c>
      <c r="F887" t="s">
        <v>40</v>
      </c>
      <c r="G887" s="2">
        <v>43881</v>
      </c>
      <c r="H887" t="s">
        <v>15</v>
      </c>
      <c r="I887" t="s">
        <v>39</v>
      </c>
      <c r="J887" t="s">
        <v>17</v>
      </c>
      <c r="K887" s="2" t="str">
        <f t="shared" ca="1" si="13"/>
        <v>5 Years</v>
      </c>
      <c r="L887" s="3" cm="1">
        <f t="array" ref="L887">_xlfn.SWITCH(Table13_2[[#This Row],[Performance Score]],"A",6,"B",5,"C",4,"D",3,"E",2,"F",1)</f>
        <v>3</v>
      </c>
    </row>
    <row r="888" spans="1:12" x14ac:dyDescent="0.3">
      <c r="A888" t="s">
        <v>11</v>
      </c>
      <c r="B888">
        <v>50</v>
      </c>
      <c r="C888" s="1">
        <v>50000</v>
      </c>
      <c r="D888" t="s">
        <v>19</v>
      </c>
      <c r="E888" t="s">
        <v>30</v>
      </c>
      <c r="F888" t="s">
        <v>41</v>
      </c>
      <c r="G888" s="2">
        <v>43800</v>
      </c>
      <c r="H888" t="s">
        <v>38</v>
      </c>
      <c r="I888" t="s">
        <v>32</v>
      </c>
      <c r="J888" t="s">
        <v>42</v>
      </c>
      <c r="K888" s="2" t="str">
        <f t="shared" ca="1" si="13"/>
        <v>6 Years</v>
      </c>
      <c r="L888" s="3" cm="1">
        <f t="array" ref="L888">_xlfn.SWITCH(Table13_2[[#This Row],[Performance Score]],"A",6,"B",5,"C",4,"D",3,"E",2,"F",1)</f>
        <v>5</v>
      </c>
    </row>
    <row r="889" spans="1:12" x14ac:dyDescent="0.3">
      <c r="A889" t="s">
        <v>33</v>
      </c>
      <c r="B889">
        <v>25</v>
      </c>
      <c r="C889" s="1">
        <v>50000</v>
      </c>
      <c r="D889" t="s">
        <v>12</v>
      </c>
      <c r="E889" t="s">
        <v>26</v>
      </c>
      <c r="F889" t="s">
        <v>41</v>
      </c>
      <c r="G889" s="2">
        <v>43549</v>
      </c>
      <c r="H889" t="s">
        <v>31</v>
      </c>
      <c r="I889" t="s">
        <v>16</v>
      </c>
      <c r="J889" t="s">
        <v>17</v>
      </c>
      <c r="K889" s="2" t="str">
        <f t="shared" ca="1" si="13"/>
        <v>6 Years</v>
      </c>
      <c r="L889" s="3" cm="1">
        <f t="array" ref="L889">_xlfn.SWITCH(Table13_2[[#This Row],[Performance Score]],"A",6,"B",5,"C",4,"D",3,"E",2,"F",1)</f>
        <v>6</v>
      </c>
    </row>
    <row r="890" spans="1:12" x14ac:dyDescent="0.3">
      <c r="A890" t="s">
        <v>44</v>
      </c>
      <c r="B890">
        <v>36</v>
      </c>
      <c r="C890" s="1">
        <v>55000</v>
      </c>
      <c r="D890" t="s">
        <v>19</v>
      </c>
      <c r="E890" t="s">
        <v>26</v>
      </c>
      <c r="F890" t="s">
        <v>21</v>
      </c>
      <c r="G890" s="2">
        <v>43881</v>
      </c>
      <c r="H890" t="s">
        <v>22</v>
      </c>
      <c r="I890" t="s">
        <v>23</v>
      </c>
      <c r="J890" t="s">
        <v>17</v>
      </c>
      <c r="K890" s="2" t="str">
        <f t="shared" ca="1" si="13"/>
        <v>5 Years</v>
      </c>
      <c r="L890" s="3" cm="1">
        <f t="array" ref="L890">_xlfn.SWITCH(Table13_2[[#This Row],[Performance Score]],"A",6,"B",5,"C",4,"D",3,"E",2,"F",1)</f>
        <v>1</v>
      </c>
    </row>
    <row r="891" spans="1:12" x14ac:dyDescent="0.3">
      <c r="A891" t="s">
        <v>25</v>
      </c>
      <c r="B891">
        <v>30</v>
      </c>
      <c r="C891" s="1">
        <v>70000</v>
      </c>
      <c r="D891" t="s">
        <v>12</v>
      </c>
      <c r="E891" t="s">
        <v>30</v>
      </c>
      <c r="F891" t="s">
        <v>21</v>
      </c>
      <c r="G891" s="2">
        <v>43549</v>
      </c>
      <c r="H891" t="s">
        <v>38</v>
      </c>
      <c r="I891" t="s">
        <v>16</v>
      </c>
      <c r="J891" t="s">
        <v>24</v>
      </c>
      <c r="K891" s="2" t="str">
        <f t="shared" ca="1" si="13"/>
        <v>6 Years</v>
      </c>
      <c r="L891" s="3" cm="1">
        <f t="array" ref="L891">_xlfn.SWITCH(Table13_2[[#This Row],[Performance Score]],"A",6,"B",5,"C",4,"D",3,"E",2,"F",1)</f>
        <v>5</v>
      </c>
    </row>
    <row r="892" spans="1:12" x14ac:dyDescent="0.3">
      <c r="A892" t="s">
        <v>44</v>
      </c>
      <c r="B892">
        <v>50</v>
      </c>
      <c r="C892" s="1">
        <v>65000</v>
      </c>
      <c r="D892" t="s">
        <v>19</v>
      </c>
      <c r="E892" t="s">
        <v>26</v>
      </c>
      <c r="F892" t="s">
        <v>14</v>
      </c>
      <c r="G892" s="2">
        <v>43845</v>
      </c>
      <c r="H892" t="s">
        <v>38</v>
      </c>
      <c r="I892" t="s">
        <v>16</v>
      </c>
      <c r="J892" t="s">
        <v>28</v>
      </c>
      <c r="K892" s="2" t="str">
        <f t="shared" ca="1" si="13"/>
        <v>5 Years</v>
      </c>
      <c r="L892" s="3" cm="1">
        <f t="array" ref="L892">_xlfn.SWITCH(Table13_2[[#This Row],[Performance Score]],"A",6,"B",5,"C",4,"D",3,"E",2,"F",1)</f>
        <v>5</v>
      </c>
    </row>
    <row r="893" spans="1:12" x14ac:dyDescent="0.3">
      <c r="A893" t="s">
        <v>18</v>
      </c>
      <c r="B893">
        <v>25</v>
      </c>
      <c r="C893" s="1">
        <v>55000</v>
      </c>
      <c r="D893" t="s">
        <v>34</v>
      </c>
      <c r="E893" t="s">
        <v>13</v>
      </c>
      <c r="F893" t="s">
        <v>41</v>
      </c>
      <c r="G893" s="2">
        <v>43195</v>
      </c>
      <c r="H893" t="s">
        <v>15</v>
      </c>
      <c r="I893" t="s">
        <v>16</v>
      </c>
      <c r="J893" t="s">
        <v>24</v>
      </c>
      <c r="K893" s="2" t="str">
        <f t="shared" ca="1" si="13"/>
        <v>7 Years</v>
      </c>
      <c r="L893" s="3" cm="1">
        <f t="array" ref="L893">_xlfn.SWITCH(Table13_2[[#This Row],[Performance Score]],"A",6,"B",5,"C",4,"D",3,"E",2,"F",1)</f>
        <v>3</v>
      </c>
    </row>
    <row r="894" spans="1:12" x14ac:dyDescent="0.3">
      <c r="A894" t="s">
        <v>45</v>
      </c>
      <c r="B894">
        <v>35</v>
      </c>
      <c r="C894" s="1">
        <v>50000</v>
      </c>
      <c r="D894" t="s">
        <v>12</v>
      </c>
      <c r="E894" t="s">
        <v>30</v>
      </c>
      <c r="F894" t="s">
        <v>41</v>
      </c>
      <c r="G894" s="2">
        <v>43881</v>
      </c>
      <c r="H894" t="s">
        <v>27</v>
      </c>
      <c r="I894" t="s">
        <v>39</v>
      </c>
      <c r="J894" t="s">
        <v>17</v>
      </c>
      <c r="K894" s="2" t="str">
        <f t="shared" ca="1" si="13"/>
        <v>5 Years</v>
      </c>
      <c r="L894" s="3" cm="1">
        <f t="array" ref="L894">_xlfn.SWITCH(Table13_2[[#This Row],[Performance Score]],"A",6,"B",5,"C",4,"D",3,"E",2,"F",1)</f>
        <v>4</v>
      </c>
    </row>
    <row r="895" spans="1:12" x14ac:dyDescent="0.3">
      <c r="A895" t="s">
        <v>29</v>
      </c>
      <c r="B895">
        <v>25</v>
      </c>
      <c r="C895" s="1">
        <v>49144.385026737968</v>
      </c>
      <c r="D895" t="s">
        <v>12</v>
      </c>
      <c r="E895" t="s">
        <v>35</v>
      </c>
      <c r="F895" t="s">
        <v>41</v>
      </c>
      <c r="G895" s="2">
        <v>43800</v>
      </c>
      <c r="H895" t="s">
        <v>27</v>
      </c>
      <c r="I895" t="s">
        <v>39</v>
      </c>
      <c r="J895" t="s">
        <v>42</v>
      </c>
      <c r="K895" s="2" t="str">
        <f t="shared" ca="1" si="13"/>
        <v>6 Years</v>
      </c>
      <c r="L895" s="3" cm="1">
        <f t="array" ref="L895">_xlfn.SWITCH(Table13_2[[#This Row],[Performance Score]],"A",6,"B",5,"C",4,"D",3,"E",2,"F",1)</f>
        <v>4</v>
      </c>
    </row>
    <row r="896" spans="1:12" x14ac:dyDescent="0.3">
      <c r="A896" t="s">
        <v>46</v>
      </c>
      <c r="B896">
        <v>25</v>
      </c>
      <c r="C896" s="1">
        <v>50000</v>
      </c>
      <c r="D896" t="s">
        <v>12</v>
      </c>
      <c r="E896" t="s">
        <v>30</v>
      </c>
      <c r="F896" t="s">
        <v>21</v>
      </c>
      <c r="G896" s="2">
        <v>43845</v>
      </c>
      <c r="H896" t="s">
        <v>38</v>
      </c>
      <c r="I896" t="s">
        <v>32</v>
      </c>
      <c r="J896" t="s">
        <v>17</v>
      </c>
      <c r="K896" s="2" t="str">
        <f t="shared" ca="1" si="13"/>
        <v>5 Years</v>
      </c>
      <c r="L896" s="3" cm="1">
        <f t="array" ref="L896">_xlfn.SWITCH(Table13_2[[#This Row],[Performance Score]],"A",6,"B",5,"C",4,"D",3,"E",2,"F",1)</f>
        <v>5</v>
      </c>
    </row>
    <row r="897" spans="1:12" x14ac:dyDescent="0.3">
      <c r="A897" t="s">
        <v>45</v>
      </c>
      <c r="B897">
        <v>36</v>
      </c>
      <c r="C897" s="1">
        <v>50000</v>
      </c>
      <c r="D897" t="s">
        <v>34</v>
      </c>
      <c r="E897" t="s">
        <v>20</v>
      </c>
      <c r="F897" t="s">
        <v>40</v>
      </c>
      <c r="G897" s="2">
        <v>43881</v>
      </c>
      <c r="H897" t="s">
        <v>31</v>
      </c>
      <c r="I897" t="s">
        <v>39</v>
      </c>
      <c r="J897" t="s">
        <v>17</v>
      </c>
      <c r="K897" s="2" t="str">
        <f t="shared" ca="1" si="13"/>
        <v>5 Years</v>
      </c>
      <c r="L897" s="3" cm="1">
        <f t="array" ref="L897">_xlfn.SWITCH(Table13_2[[#This Row],[Performance Score]],"A",6,"B",5,"C",4,"D",3,"E",2,"F",1)</f>
        <v>6</v>
      </c>
    </row>
    <row r="898" spans="1:12" x14ac:dyDescent="0.3">
      <c r="A898" t="s">
        <v>46</v>
      </c>
      <c r="B898">
        <v>30</v>
      </c>
      <c r="C898" s="1">
        <v>70000</v>
      </c>
      <c r="D898" t="s">
        <v>19</v>
      </c>
      <c r="E898" t="s">
        <v>35</v>
      </c>
      <c r="F898" t="s">
        <v>37</v>
      </c>
      <c r="G898" s="2">
        <v>43845</v>
      </c>
      <c r="H898" t="s">
        <v>22</v>
      </c>
      <c r="I898" t="s">
        <v>39</v>
      </c>
      <c r="J898" t="s">
        <v>17</v>
      </c>
      <c r="K898" s="2" t="str">
        <f t="shared" ca="1" si="13"/>
        <v>5 Years</v>
      </c>
      <c r="L898" s="3" cm="1">
        <f t="array" ref="L898">_xlfn.SWITCH(Table13_2[[#This Row],[Performance Score]],"A",6,"B",5,"C",4,"D",3,"E",2,"F",1)</f>
        <v>1</v>
      </c>
    </row>
    <row r="899" spans="1:12" x14ac:dyDescent="0.3">
      <c r="A899" t="s">
        <v>25</v>
      </c>
      <c r="B899">
        <v>35</v>
      </c>
      <c r="C899" s="1">
        <v>70000</v>
      </c>
      <c r="D899" t="s">
        <v>34</v>
      </c>
      <c r="E899" t="s">
        <v>20</v>
      </c>
      <c r="F899" t="s">
        <v>21</v>
      </c>
      <c r="G899" s="2">
        <v>43800</v>
      </c>
      <c r="H899" t="s">
        <v>22</v>
      </c>
      <c r="I899" t="s">
        <v>39</v>
      </c>
      <c r="J899" t="s">
        <v>17</v>
      </c>
      <c r="K899" s="2" t="str">
        <f t="shared" ref="K899:K962" ca="1" si="14">DATEDIF(G899,TODAY(),"Y") &amp; " Years"</f>
        <v>6 Years</v>
      </c>
      <c r="L899" s="3" cm="1">
        <f t="array" ref="L899">_xlfn.SWITCH(Table13_2[[#This Row],[Performance Score]],"A",6,"B",5,"C",4,"D",3,"E",2,"F",1)</f>
        <v>1</v>
      </c>
    </row>
    <row r="900" spans="1:12" x14ac:dyDescent="0.3">
      <c r="A900" t="s">
        <v>43</v>
      </c>
      <c r="B900">
        <v>40</v>
      </c>
      <c r="C900" s="1">
        <v>55000</v>
      </c>
      <c r="D900" t="s">
        <v>12</v>
      </c>
      <c r="E900" t="s">
        <v>35</v>
      </c>
      <c r="F900" t="s">
        <v>41</v>
      </c>
      <c r="G900" s="2">
        <v>43881</v>
      </c>
      <c r="H900" t="s">
        <v>31</v>
      </c>
      <c r="I900" t="s">
        <v>39</v>
      </c>
      <c r="J900" t="s">
        <v>17</v>
      </c>
      <c r="K900" s="2" t="str">
        <f t="shared" ca="1" si="14"/>
        <v>5 Years</v>
      </c>
      <c r="L900" s="3" cm="1">
        <f t="array" ref="L900">_xlfn.SWITCH(Table13_2[[#This Row],[Performance Score]],"A",6,"B",5,"C",4,"D",3,"E",2,"F",1)</f>
        <v>6</v>
      </c>
    </row>
    <row r="901" spans="1:12" x14ac:dyDescent="0.3">
      <c r="A901" t="s">
        <v>11</v>
      </c>
      <c r="B901">
        <v>40</v>
      </c>
      <c r="C901" s="1">
        <v>65000</v>
      </c>
      <c r="D901" t="s">
        <v>19</v>
      </c>
      <c r="E901" t="s">
        <v>26</v>
      </c>
      <c r="F901" t="s">
        <v>21</v>
      </c>
      <c r="G901" s="2">
        <v>43800</v>
      </c>
      <c r="H901" t="s">
        <v>38</v>
      </c>
      <c r="I901" t="s">
        <v>16</v>
      </c>
      <c r="J901" t="s">
        <v>28</v>
      </c>
      <c r="K901" s="2" t="str">
        <f t="shared" ca="1" si="14"/>
        <v>6 Years</v>
      </c>
      <c r="L901" s="3" cm="1">
        <f t="array" ref="L901">_xlfn.SWITCH(Table13_2[[#This Row],[Performance Score]],"A",6,"B",5,"C",4,"D",3,"E",2,"F",1)</f>
        <v>5</v>
      </c>
    </row>
    <row r="902" spans="1:12" x14ac:dyDescent="0.3">
      <c r="A902" t="s">
        <v>36</v>
      </c>
      <c r="B902">
        <v>25</v>
      </c>
      <c r="C902" s="1">
        <v>55000</v>
      </c>
      <c r="D902" t="s">
        <v>34</v>
      </c>
      <c r="E902" t="s">
        <v>30</v>
      </c>
      <c r="F902" t="s">
        <v>14</v>
      </c>
      <c r="G902" s="2">
        <v>43549</v>
      </c>
      <c r="H902" t="s">
        <v>22</v>
      </c>
      <c r="I902" t="s">
        <v>16</v>
      </c>
      <c r="J902" t="s">
        <v>17</v>
      </c>
      <c r="K902" s="2" t="str">
        <f t="shared" ca="1" si="14"/>
        <v>6 Years</v>
      </c>
      <c r="L902" s="3" cm="1">
        <f t="array" ref="L902">_xlfn.SWITCH(Table13_2[[#This Row],[Performance Score]],"A",6,"B",5,"C",4,"D",3,"E",2,"F",1)</f>
        <v>1</v>
      </c>
    </row>
    <row r="903" spans="1:12" x14ac:dyDescent="0.3">
      <c r="A903" t="s">
        <v>45</v>
      </c>
      <c r="B903">
        <v>36</v>
      </c>
      <c r="C903" s="1">
        <v>60000</v>
      </c>
      <c r="D903" t="s">
        <v>12</v>
      </c>
      <c r="E903" t="s">
        <v>13</v>
      </c>
      <c r="F903" t="s">
        <v>41</v>
      </c>
      <c r="G903" s="2">
        <v>43800</v>
      </c>
      <c r="H903" t="s">
        <v>27</v>
      </c>
      <c r="I903" t="s">
        <v>23</v>
      </c>
      <c r="J903" t="s">
        <v>24</v>
      </c>
      <c r="K903" s="2" t="str">
        <f t="shared" ca="1" si="14"/>
        <v>6 Years</v>
      </c>
      <c r="L903" s="3" cm="1">
        <f t="array" ref="L903">_xlfn.SWITCH(Table13_2[[#This Row],[Performance Score]],"A",6,"B",5,"C",4,"D",3,"E",2,"F",1)</f>
        <v>4</v>
      </c>
    </row>
    <row r="904" spans="1:12" x14ac:dyDescent="0.3">
      <c r="A904" t="s">
        <v>29</v>
      </c>
      <c r="B904">
        <v>36</v>
      </c>
      <c r="C904" s="1">
        <v>50000</v>
      </c>
      <c r="D904" t="s">
        <v>12</v>
      </c>
      <c r="E904" t="s">
        <v>35</v>
      </c>
      <c r="F904" t="s">
        <v>14</v>
      </c>
      <c r="G904" s="2">
        <v>43549</v>
      </c>
      <c r="H904" t="s">
        <v>31</v>
      </c>
      <c r="I904" t="s">
        <v>39</v>
      </c>
      <c r="J904" t="s">
        <v>17</v>
      </c>
      <c r="K904" s="2" t="str">
        <f t="shared" ca="1" si="14"/>
        <v>6 Years</v>
      </c>
      <c r="L904" s="3" cm="1">
        <f t="array" ref="L904">_xlfn.SWITCH(Table13_2[[#This Row],[Performance Score]],"A",6,"B",5,"C",4,"D",3,"E",2,"F",1)</f>
        <v>6</v>
      </c>
    </row>
    <row r="905" spans="1:12" x14ac:dyDescent="0.3">
      <c r="A905" t="s">
        <v>44</v>
      </c>
      <c r="B905">
        <v>40</v>
      </c>
      <c r="C905" s="1">
        <v>49144.385026737968</v>
      </c>
      <c r="D905" t="s">
        <v>34</v>
      </c>
      <c r="E905" t="s">
        <v>35</v>
      </c>
      <c r="F905" t="s">
        <v>41</v>
      </c>
      <c r="G905" s="2">
        <v>43881</v>
      </c>
      <c r="H905" t="s">
        <v>15</v>
      </c>
      <c r="I905" t="s">
        <v>23</v>
      </c>
      <c r="J905" t="s">
        <v>24</v>
      </c>
      <c r="K905" s="2" t="str">
        <f t="shared" ca="1" si="14"/>
        <v>5 Years</v>
      </c>
      <c r="L905" s="3" cm="1">
        <f t="array" ref="L905">_xlfn.SWITCH(Table13_2[[#This Row],[Performance Score]],"A",6,"B",5,"C",4,"D",3,"E",2,"F",1)</f>
        <v>3</v>
      </c>
    </row>
    <row r="906" spans="1:12" x14ac:dyDescent="0.3">
      <c r="A906" t="s">
        <v>29</v>
      </c>
      <c r="B906">
        <v>35</v>
      </c>
      <c r="C906" s="1">
        <v>50000</v>
      </c>
      <c r="D906" t="s">
        <v>34</v>
      </c>
      <c r="E906" t="s">
        <v>20</v>
      </c>
      <c r="F906" t="s">
        <v>21</v>
      </c>
      <c r="G906" s="2">
        <v>43549</v>
      </c>
      <c r="H906" t="s">
        <v>38</v>
      </c>
      <c r="I906" t="s">
        <v>32</v>
      </c>
      <c r="J906" t="s">
        <v>17</v>
      </c>
      <c r="K906" s="2" t="str">
        <f t="shared" ca="1" si="14"/>
        <v>6 Years</v>
      </c>
      <c r="L906" s="3" cm="1">
        <f t="array" ref="L906">_xlfn.SWITCH(Table13_2[[#This Row],[Performance Score]],"A",6,"B",5,"C",4,"D",3,"E",2,"F",1)</f>
        <v>5</v>
      </c>
    </row>
    <row r="907" spans="1:12" x14ac:dyDescent="0.3">
      <c r="A907" t="s">
        <v>25</v>
      </c>
      <c r="B907">
        <v>30</v>
      </c>
      <c r="C907" s="1">
        <v>50000</v>
      </c>
      <c r="D907" t="s">
        <v>34</v>
      </c>
      <c r="E907" t="s">
        <v>26</v>
      </c>
      <c r="F907" t="s">
        <v>40</v>
      </c>
      <c r="G907" s="2">
        <v>43881</v>
      </c>
      <c r="H907" t="s">
        <v>31</v>
      </c>
      <c r="I907" t="s">
        <v>16</v>
      </c>
      <c r="J907" t="s">
        <v>17</v>
      </c>
      <c r="K907" s="2" t="str">
        <f t="shared" ca="1" si="14"/>
        <v>5 Years</v>
      </c>
      <c r="L907" s="3" cm="1">
        <f t="array" ref="L907">_xlfn.SWITCH(Table13_2[[#This Row],[Performance Score]],"A",6,"B",5,"C",4,"D",3,"E",2,"F",1)</f>
        <v>6</v>
      </c>
    </row>
    <row r="908" spans="1:12" x14ac:dyDescent="0.3">
      <c r="A908" t="s">
        <v>46</v>
      </c>
      <c r="B908">
        <v>35</v>
      </c>
      <c r="C908" s="1">
        <v>55000</v>
      </c>
      <c r="D908" t="s">
        <v>12</v>
      </c>
      <c r="E908" t="s">
        <v>20</v>
      </c>
      <c r="F908" t="s">
        <v>37</v>
      </c>
      <c r="G908" s="2">
        <v>43881</v>
      </c>
      <c r="H908" t="s">
        <v>22</v>
      </c>
      <c r="I908" t="s">
        <v>32</v>
      </c>
      <c r="J908" t="s">
        <v>17</v>
      </c>
      <c r="K908" s="2" t="str">
        <f t="shared" ca="1" si="14"/>
        <v>5 Years</v>
      </c>
      <c r="L908" s="3" cm="1">
        <f t="array" ref="L908">_xlfn.SWITCH(Table13_2[[#This Row],[Performance Score]],"A",6,"B",5,"C",4,"D",3,"E",2,"F",1)</f>
        <v>1</v>
      </c>
    </row>
    <row r="909" spans="1:12" x14ac:dyDescent="0.3">
      <c r="A909" t="s">
        <v>44</v>
      </c>
      <c r="B909">
        <v>50</v>
      </c>
      <c r="C909" s="1">
        <v>48417.431192660551</v>
      </c>
      <c r="D909" t="s">
        <v>34</v>
      </c>
      <c r="E909" t="s">
        <v>20</v>
      </c>
      <c r="F909" t="s">
        <v>14</v>
      </c>
      <c r="G909" s="2">
        <v>43195</v>
      </c>
      <c r="H909" t="s">
        <v>38</v>
      </c>
      <c r="I909" t="s">
        <v>39</v>
      </c>
      <c r="J909" t="s">
        <v>17</v>
      </c>
      <c r="K909" s="2" t="str">
        <f t="shared" ca="1" si="14"/>
        <v>7 Years</v>
      </c>
      <c r="L909" s="3" cm="1">
        <f t="array" ref="L909">_xlfn.SWITCH(Table13_2[[#This Row],[Performance Score]],"A",6,"B",5,"C",4,"D",3,"E",2,"F",1)</f>
        <v>5</v>
      </c>
    </row>
    <row r="910" spans="1:12" x14ac:dyDescent="0.3">
      <c r="A910" t="s">
        <v>36</v>
      </c>
      <c r="B910">
        <v>50</v>
      </c>
      <c r="C910" s="1">
        <v>50742.574257425746</v>
      </c>
      <c r="D910" t="s">
        <v>12</v>
      </c>
      <c r="E910" t="s">
        <v>26</v>
      </c>
      <c r="F910" t="s">
        <v>21</v>
      </c>
      <c r="G910" s="2">
        <v>43881</v>
      </c>
      <c r="H910" t="s">
        <v>27</v>
      </c>
      <c r="I910" t="s">
        <v>16</v>
      </c>
      <c r="J910" t="s">
        <v>28</v>
      </c>
      <c r="K910" s="2" t="str">
        <f t="shared" ca="1" si="14"/>
        <v>5 Years</v>
      </c>
      <c r="L910" s="3" cm="1">
        <f t="array" ref="L910">_xlfn.SWITCH(Table13_2[[#This Row],[Performance Score]],"A",6,"B",5,"C",4,"D",3,"E",2,"F",1)</f>
        <v>4</v>
      </c>
    </row>
    <row r="911" spans="1:12" x14ac:dyDescent="0.3">
      <c r="A911" t="s">
        <v>36</v>
      </c>
      <c r="B911">
        <v>30</v>
      </c>
      <c r="C911" s="1">
        <v>51825</v>
      </c>
      <c r="D911" t="s">
        <v>34</v>
      </c>
      <c r="E911" t="s">
        <v>13</v>
      </c>
      <c r="F911" t="s">
        <v>40</v>
      </c>
      <c r="G911" s="2">
        <v>43549</v>
      </c>
      <c r="H911" t="s">
        <v>38</v>
      </c>
      <c r="I911" t="s">
        <v>32</v>
      </c>
      <c r="J911" t="s">
        <v>17</v>
      </c>
      <c r="K911" s="2" t="str">
        <f t="shared" ca="1" si="14"/>
        <v>6 Years</v>
      </c>
      <c r="L911" s="3" cm="1">
        <f t="array" ref="L911">_xlfn.SWITCH(Table13_2[[#This Row],[Performance Score]],"A",6,"B",5,"C",4,"D",3,"E",2,"F",1)</f>
        <v>5</v>
      </c>
    </row>
    <row r="912" spans="1:12" x14ac:dyDescent="0.3">
      <c r="A912" t="s">
        <v>45</v>
      </c>
      <c r="B912">
        <v>40</v>
      </c>
      <c r="C912" s="1">
        <v>55000</v>
      </c>
      <c r="D912" t="s">
        <v>12</v>
      </c>
      <c r="E912" t="s">
        <v>20</v>
      </c>
      <c r="F912" t="s">
        <v>21</v>
      </c>
      <c r="G912" s="2">
        <v>43195</v>
      </c>
      <c r="H912" t="s">
        <v>38</v>
      </c>
      <c r="I912" t="s">
        <v>39</v>
      </c>
      <c r="J912" t="s">
        <v>24</v>
      </c>
      <c r="K912" s="2" t="str">
        <f t="shared" ca="1" si="14"/>
        <v>7 Years</v>
      </c>
      <c r="L912" s="3" cm="1">
        <f t="array" ref="L912">_xlfn.SWITCH(Table13_2[[#This Row],[Performance Score]],"A",6,"B",5,"C",4,"D",3,"E",2,"F",1)</f>
        <v>5</v>
      </c>
    </row>
    <row r="913" spans="1:12" x14ac:dyDescent="0.3">
      <c r="A913" t="s">
        <v>25</v>
      </c>
      <c r="B913">
        <v>30</v>
      </c>
      <c r="C913" s="1">
        <v>50000</v>
      </c>
      <c r="D913" t="s">
        <v>12</v>
      </c>
      <c r="E913" t="s">
        <v>20</v>
      </c>
      <c r="F913" t="s">
        <v>14</v>
      </c>
      <c r="G913" s="2">
        <v>43195</v>
      </c>
      <c r="H913" t="s">
        <v>27</v>
      </c>
      <c r="I913" t="s">
        <v>32</v>
      </c>
      <c r="J913" t="s">
        <v>24</v>
      </c>
      <c r="K913" s="2" t="str">
        <f t="shared" ca="1" si="14"/>
        <v>7 Years</v>
      </c>
      <c r="L913" s="3" cm="1">
        <f t="array" ref="L913">_xlfn.SWITCH(Table13_2[[#This Row],[Performance Score]],"A",6,"B",5,"C",4,"D",3,"E",2,"F",1)</f>
        <v>4</v>
      </c>
    </row>
    <row r="914" spans="1:12" x14ac:dyDescent="0.3">
      <c r="A914" t="s">
        <v>43</v>
      </c>
      <c r="B914">
        <v>36</v>
      </c>
      <c r="C914" s="1">
        <v>55000</v>
      </c>
      <c r="D914" t="s">
        <v>19</v>
      </c>
      <c r="E914" t="s">
        <v>35</v>
      </c>
      <c r="F914" t="s">
        <v>37</v>
      </c>
      <c r="G914" s="2">
        <v>43881</v>
      </c>
      <c r="H914" t="s">
        <v>27</v>
      </c>
      <c r="I914" t="s">
        <v>39</v>
      </c>
      <c r="J914" t="s">
        <v>17</v>
      </c>
      <c r="K914" s="2" t="str">
        <f t="shared" ca="1" si="14"/>
        <v>5 Years</v>
      </c>
      <c r="L914" s="3" cm="1">
        <f t="array" ref="L914">_xlfn.SWITCH(Table13_2[[#This Row],[Performance Score]],"A",6,"B",5,"C",4,"D",3,"E",2,"F",1)</f>
        <v>4</v>
      </c>
    </row>
    <row r="915" spans="1:12" x14ac:dyDescent="0.3">
      <c r="A915" t="s">
        <v>25</v>
      </c>
      <c r="B915">
        <v>50</v>
      </c>
      <c r="C915" s="1">
        <v>70000</v>
      </c>
      <c r="D915" t="s">
        <v>34</v>
      </c>
      <c r="E915" t="s">
        <v>26</v>
      </c>
      <c r="F915" t="s">
        <v>21</v>
      </c>
      <c r="G915" s="2">
        <v>43800</v>
      </c>
      <c r="H915" t="s">
        <v>38</v>
      </c>
      <c r="I915" t="s">
        <v>39</v>
      </c>
      <c r="J915" t="s">
        <v>28</v>
      </c>
      <c r="K915" s="2" t="str">
        <f t="shared" ca="1" si="14"/>
        <v>6 Years</v>
      </c>
      <c r="L915" s="3" cm="1">
        <f t="array" ref="L915">_xlfn.SWITCH(Table13_2[[#This Row],[Performance Score]],"A",6,"B",5,"C",4,"D",3,"E",2,"F",1)</f>
        <v>5</v>
      </c>
    </row>
    <row r="916" spans="1:12" x14ac:dyDescent="0.3">
      <c r="A916" t="s">
        <v>46</v>
      </c>
      <c r="B916">
        <v>25</v>
      </c>
      <c r="C916" s="1">
        <v>70000</v>
      </c>
      <c r="D916" t="s">
        <v>34</v>
      </c>
      <c r="E916" t="s">
        <v>30</v>
      </c>
      <c r="F916" t="s">
        <v>41</v>
      </c>
      <c r="G916" s="2">
        <v>43800</v>
      </c>
      <c r="H916" t="s">
        <v>27</v>
      </c>
      <c r="I916" t="s">
        <v>16</v>
      </c>
      <c r="J916" t="s">
        <v>28</v>
      </c>
      <c r="K916" s="2" t="str">
        <f t="shared" ca="1" si="14"/>
        <v>6 Years</v>
      </c>
      <c r="L916" s="3" cm="1">
        <f t="array" ref="L916">_xlfn.SWITCH(Table13_2[[#This Row],[Performance Score]],"A",6,"B",5,"C",4,"D",3,"E",2,"F",1)</f>
        <v>4</v>
      </c>
    </row>
    <row r="917" spans="1:12" x14ac:dyDescent="0.3">
      <c r="A917" t="s">
        <v>29</v>
      </c>
      <c r="B917">
        <v>25</v>
      </c>
      <c r="C917" s="1">
        <v>55000</v>
      </c>
      <c r="D917" t="s">
        <v>12</v>
      </c>
      <c r="E917" t="s">
        <v>13</v>
      </c>
      <c r="F917" t="s">
        <v>40</v>
      </c>
      <c r="G917" s="2">
        <v>43195</v>
      </c>
      <c r="H917" t="s">
        <v>31</v>
      </c>
      <c r="I917" t="s">
        <v>23</v>
      </c>
      <c r="J917" t="s">
        <v>28</v>
      </c>
      <c r="K917" s="2" t="str">
        <f t="shared" ca="1" si="14"/>
        <v>7 Years</v>
      </c>
      <c r="L917" s="3" cm="1">
        <f t="array" ref="L917">_xlfn.SWITCH(Table13_2[[#This Row],[Performance Score]],"A",6,"B",5,"C",4,"D",3,"E",2,"F",1)</f>
        <v>6</v>
      </c>
    </row>
    <row r="918" spans="1:12" x14ac:dyDescent="0.3">
      <c r="A918" t="s">
        <v>36</v>
      </c>
      <c r="B918">
        <v>40</v>
      </c>
      <c r="C918" s="1">
        <v>51825</v>
      </c>
      <c r="D918" t="s">
        <v>12</v>
      </c>
      <c r="E918" t="s">
        <v>13</v>
      </c>
      <c r="F918" t="s">
        <v>21</v>
      </c>
      <c r="G918" s="2">
        <v>43881</v>
      </c>
      <c r="H918" t="s">
        <v>27</v>
      </c>
      <c r="I918" t="s">
        <v>39</v>
      </c>
      <c r="J918" t="s">
        <v>24</v>
      </c>
      <c r="K918" s="2" t="str">
        <f t="shared" ca="1" si="14"/>
        <v>5 Years</v>
      </c>
      <c r="L918" s="3" cm="1">
        <f t="array" ref="L918">_xlfn.SWITCH(Table13_2[[#This Row],[Performance Score]],"A",6,"B",5,"C",4,"D",3,"E",2,"F",1)</f>
        <v>4</v>
      </c>
    </row>
    <row r="919" spans="1:12" x14ac:dyDescent="0.3">
      <c r="A919" t="s">
        <v>29</v>
      </c>
      <c r="B919">
        <v>36</v>
      </c>
      <c r="C919" s="1">
        <v>50000</v>
      </c>
      <c r="D919" t="s">
        <v>12</v>
      </c>
      <c r="E919" t="s">
        <v>26</v>
      </c>
      <c r="F919" t="s">
        <v>40</v>
      </c>
      <c r="G919" s="2">
        <v>43800</v>
      </c>
      <c r="H919" t="s">
        <v>27</v>
      </c>
      <c r="I919" t="s">
        <v>39</v>
      </c>
      <c r="J919" t="s">
        <v>17</v>
      </c>
      <c r="K919" s="2" t="str">
        <f t="shared" ca="1" si="14"/>
        <v>6 Years</v>
      </c>
      <c r="L919" s="3" cm="1">
        <f t="array" ref="L919">_xlfn.SWITCH(Table13_2[[#This Row],[Performance Score]],"A",6,"B",5,"C",4,"D",3,"E",2,"F",1)</f>
        <v>4</v>
      </c>
    </row>
    <row r="920" spans="1:12" x14ac:dyDescent="0.3">
      <c r="A920" t="s">
        <v>29</v>
      </c>
      <c r="B920">
        <v>35</v>
      </c>
      <c r="C920" s="1">
        <v>55000</v>
      </c>
      <c r="D920" t="s">
        <v>19</v>
      </c>
      <c r="E920" t="s">
        <v>35</v>
      </c>
      <c r="F920" t="s">
        <v>41</v>
      </c>
      <c r="G920" s="2">
        <v>43881</v>
      </c>
      <c r="H920" t="s">
        <v>38</v>
      </c>
      <c r="I920" t="s">
        <v>16</v>
      </c>
      <c r="J920" t="s">
        <v>28</v>
      </c>
      <c r="K920" s="2" t="str">
        <f t="shared" ca="1" si="14"/>
        <v>5 Years</v>
      </c>
      <c r="L920" s="3" cm="1">
        <f t="array" ref="L920">_xlfn.SWITCH(Table13_2[[#This Row],[Performance Score]],"A",6,"B",5,"C",4,"D",3,"E",2,"F",1)</f>
        <v>5</v>
      </c>
    </row>
    <row r="921" spans="1:12" x14ac:dyDescent="0.3">
      <c r="A921" t="s">
        <v>29</v>
      </c>
      <c r="B921">
        <v>36</v>
      </c>
      <c r="C921" s="1">
        <v>55000</v>
      </c>
      <c r="D921" t="s">
        <v>19</v>
      </c>
      <c r="E921" t="s">
        <v>35</v>
      </c>
      <c r="F921" t="s">
        <v>37</v>
      </c>
      <c r="G921" s="2">
        <v>43881</v>
      </c>
      <c r="H921" t="s">
        <v>31</v>
      </c>
      <c r="I921" t="s">
        <v>23</v>
      </c>
      <c r="J921" t="s">
        <v>24</v>
      </c>
      <c r="K921" s="2" t="str">
        <f t="shared" ca="1" si="14"/>
        <v>5 Years</v>
      </c>
      <c r="L921" s="3" cm="1">
        <f t="array" ref="L921">_xlfn.SWITCH(Table13_2[[#This Row],[Performance Score]],"A",6,"B",5,"C",4,"D",3,"E",2,"F",1)</f>
        <v>6</v>
      </c>
    </row>
    <row r="922" spans="1:12" x14ac:dyDescent="0.3">
      <c r="A922" t="s">
        <v>36</v>
      </c>
      <c r="B922">
        <v>25</v>
      </c>
      <c r="C922" s="1">
        <v>55000</v>
      </c>
      <c r="D922" t="s">
        <v>12</v>
      </c>
      <c r="E922" t="s">
        <v>26</v>
      </c>
      <c r="F922" t="s">
        <v>37</v>
      </c>
      <c r="G922" s="2">
        <v>43195</v>
      </c>
      <c r="H922" t="s">
        <v>15</v>
      </c>
      <c r="I922" t="s">
        <v>39</v>
      </c>
      <c r="J922" t="s">
        <v>24</v>
      </c>
      <c r="K922" s="2" t="str">
        <f t="shared" ca="1" si="14"/>
        <v>7 Years</v>
      </c>
      <c r="L922" s="3" cm="1">
        <f t="array" ref="L922">_xlfn.SWITCH(Table13_2[[#This Row],[Performance Score]],"A",6,"B",5,"C",4,"D",3,"E",2,"F",1)</f>
        <v>3</v>
      </c>
    </row>
    <row r="923" spans="1:12" x14ac:dyDescent="0.3">
      <c r="A923" t="s">
        <v>33</v>
      </c>
      <c r="B923">
        <v>25</v>
      </c>
      <c r="C923" s="1">
        <v>60000</v>
      </c>
      <c r="D923" t="s">
        <v>34</v>
      </c>
      <c r="E923" t="s">
        <v>35</v>
      </c>
      <c r="F923" t="s">
        <v>41</v>
      </c>
      <c r="G923" s="2">
        <v>43195</v>
      </c>
      <c r="H923" t="s">
        <v>15</v>
      </c>
      <c r="I923" t="s">
        <v>39</v>
      </c>
      <c r="J923" t="s">
        <v>17</v>
      </c>
      <c r="K923" s="2" t="str">
        <f t="shared" ca="1" si="14"/>
        <v>7 Years</v>
      </c>
      <c r="L923" s="3" cm="1">
        <f t="array" ref="L923">_xlfn.SWITCH(Table13_2[[#This Row],[Performance Score]],"A",6,"B",5,"C",4,"D",3,"E",2,"F",1)</f>
        <v>3</v>
      </c>
    </row>
    <row r="924" spans="1:12" x14ac:dyDescent="0.3">
      <c r="A924" t="s">
        <v>18</v>
      </c>
      <c r="B924">
        <v>50</v>
      </c>
      <c r="C924" s="1">
        <v>70000</v>
      </c>
      <c r="D924" t="s">
        <v>34</v>
      </c>
      <c r="E924" t="s">
        <v>13</v>
      </c>
      <c r="F924" t="s">
        <v>40</v>
      </c>
      <c r="G924" s="2">
        <v>43845</v>
      </c>
      <c r="H924" t="s">
        <v>22</v>
      </c>
      <c r="I924" t="s">
        <v>23</v>
      </c>
      <c r="J924" t="s">
        <v>17</v>
      </c>
      <c r="K924" s="2" t="str">
        <f t="shared" ca="1" si="14"/>
        <v>5 Years</v>
      </c>
      <c r="L924" s="3" cm="1">
        <f t="array" ref="L924">_xlfn.SWITCH(Table13_2[[#This Row],[Performance Score]],"A",6,"B",5,"C",4,"D",3,"E",2,"F",1)</f>
        <v>1</v>
      </c>
    </row>
    <row r="925" spans="1:12" x14ac:dyDescent="0.3">
      <c r="A925" t="s">
        <v>46</v>
      </c>
      <c r="B925">
        <v>36</v>
      </c>
      <c r="C925" s="1">
        <v>51825</v>
      </c>
      <c r="D925" t="s">
        <v>19</v>
      </c>
      <c r="E925" t="s">
        <v>13</v>
      </c>
      <c r="F925" t="s">
        <v>21</v>
      </c>
      <c r="G925" s="2">
        <v>43800</v>
      </c>
      <c r="H925" t="s">
        <v>27</v>
      </c>
      <c r="I925" t="s">
        <v>32</v>
      </c>
      <c r="J925" t="s">
        <v>17</v>
      </c>
      <c r="K925" s="2" t="str">
        <f t="shared" ca="1" si="14"/>
        <v>6 Years</v>
      </c>
      <c r="L925" s="3" cm="1">
        <f t="array" ref="L925">_xlfn.SWITCH(Table13_2[[#This Row],[Performance Score]],"A",6,"B",5,"C",4,"D",3,"E",2,"F",1)</f>
        <v>4</v>
      </c>
    </row>
    <row r="926" spans="1:12" x14ac:dyDescent="0.3">
      <c r="A926" t="s">
        <v>33</v>
      </c>
      <c r="B926">
        <v>36</v>
      </c>
      <c r="C926" s="1">
        <v>65000</v>
      </c>
      <c r="D926" t="s">
        <v>19</v>
      </c>
      <c r="E926" t="s">
        <v>30</v>
      </c>
      <c r="F926" t="s">
        <v>41</v>
      </c>
      <c r="G926" s="2">
        <v>43800</v>
      </c>
      <c r="H926" t="s">
        <v>27</v>
      </c>
      <c r="I926" t="s">
        <v>16</v>
      </c>
      <c r="J926" t="s">
        <v>28</v>
      </c>
      <c r="K926" s="2" t="str">
        <f t="shared" ca="1" si="14"/>
        <v>6 Years</v>
      </c>
      <c r="L926" s="3" cm="1">
        <f t="array" ref="L926">_xlfn.SWITCH(Table13_2[[#This Row],[Performance Score]],"A",6,"B",5,"C",4,"D",3,"E",2,"F",1)</f>
        <v>4</v>
      </c>
    </row>
    <row r="927" spans="1:12" x14ac:dyDescent="0.3">
      <c r="A927" t="s">
        <v>46</v>
      </c>
      <c r="B927">
        <v>25</v>
      </c>
      <c r="C927" s="1">
        <v>50742.574257425746</v>
      </c>
      <c r="D927" t="s">
        <v>12</v>
      </c>
      <c r="E927" t="s">
        <v>26</v>
      </c>
      <c r="F927" t="s">
        <v>14</v>
      </c>
      <c r="G927" s="2">
        <v>43800</v>
      </c>
      <c r="H927" t="s">
        <v>31</v>
      </c>
      <c r="I927" t="s">
        <v>23</v>
      </c>
      <c r="J927" t="s">
        <v>28</v>
      </c>
      <c r="K927" s="2" t="str">
        <f t="shared" ca="1" si="14"/>
        <v>6 Years</v>
      </c>
      <c r="L927" s="3" cm="1">
        <f t="array" ref="L927">_xlfn.SWITCH(Table13_2[[#This Row],[Performance Score]],"A",6,"B",5,"C",4,"D",3,"E",2,"F",1)</f>
        <v>6</v>
      </c>
    </row>
    <row r="928" spans="1:12" x14ac:dyDescent="0.3">
      <c r="A928" t="s">
        <v>44</v>
      </c>
      <c r="B928">
        <v>35</v>
      </c>
      <c r="C928" s="1">
        <v>65000</v>
      </c>
      <c r="D928" t="s">
        <v>34</v>
      </c>
      <c r="E928" t="s">
        <v>20</v>
      </c>
      <c r="F928" t="s">
        <v>40</v>
      </c>
      <c r="G928" s="2">
        <v>43549</v>
      </c>
      <c r="H928" t="s">
        <v>15</v>
      </c>
      <c r="I928" t="s">
        <v>39</v>
      </c>
      <c r="J928" t="s">
        <v>17</v>
      </c>
      <c r="K928" s="2" t="str">
        <f t="shared" ca="1" si="14"/>
        <v>6 Years</v>
      </c>
      <c r="L928" s="3" cm="1">
        <f t="array" ref="L928">_xlfn.SWITCH(Table13_2[[#This Row],[Performance Score]],"A",6,"B",5,"C",4,"D",3,"E",2,"F",1)</f>
        <v>3</v>
      </c>
    </row>
    <row r="929" spans="1:12" x14ac:dyDescent="0.3">
      <c r="A929" t="s">
        <v>25</v>
      </c>
      <c r="B929">
        <v>40</v>
      </c>
      <c r="C929" s="1">
        <v>60000</v>
      </c>
      <c r="D929" t="s">
        <v>12</v>
      </c>
      <c r="E929" t="s">
        <v>20</v>
      </c>
      <c r="F929" t="s">
        <v>37</v>
      </c>
      <c r="G929" s="2">
        <v>43881</v>
      </c>
      <c r="H929" t="s">
        <v>22</v>
      </c>
      <c r="I929" t="s">
        <v>39</v>
      </c>
      <c r="J929" t="s">
        <v>28</v>
      </c>
      <c r="K929" s="2" t="str">
        <f t="shared" ca="1" si="14"/>
        <v>5 Years</v>
      </c>
      <c r="L929" s="3" cm="1">
        <f t="array" ref="L929">_xlfn.SWITCH(Table13_2[[#This Row],[Performance Score]],"A",6,"B",5,"C",4,"D",3,"E",2,"F",1)</f>
        <v>1</v>
      </c>
    </row>
    <row r="930" spans="1:12" x14ac:dyDescent="0.3">
      <c r="A930" t="s">
        <v>25</v>
      </c>
      <c r="B930">
        <v>40</v>
      </c>
      <c r="C930" s="1">
        <v>55000</v>
      </c>
      <c r="D930" t="s">
        <v>19</v>
      </c>
      <c r="E930" t="s">
        <v>30</v>
      </c>
      <c r="F930" t="s">
        <v>41</v>
      </c>
      <c r="G930" s="2">
        <v>43195</v>
      </c>
      <c r="H930" t="s">
        <v>31</v>
      </c>
      <c r="I930" t="s">
        <v>39</v>
      </c>
      <c r="J930" t="s">
        <v>17</v>
      </c>
      <c r="K930" s="2" t="str">
        <f t="shared" ca="1" si="14"/>
        <v>7 Years</v>
      </c>
      <c r="L930" s="3" cm="1">
        <f t="array" ref="L930">_xlfn.SWITCH(Table13_2[[#This Row],[Performance Score]],"A",6,"B",5,"C",4,"D",3,"E",2,"F",1)</f>
        <v>6</v>
      </c>
    </row>
    <row r="931" spans="1:12" x14ac:dyDescent="0.3">
      <c r="A931" t="s">
        <v>11</v>
      </c>
      <c r="B931">
        <v>36</v>
      </c>
      <c r="C931" s="1">
        <v>60000</v>
      </c>
      <c r="D931" t="s">
        <v>34</v>
      </c>
      <c r="E931" t="s">
        <v>30</v>
      </c>
      <c r="F931" t="s">
        <v>37</v>
      </c>
      <c r="G931" s="2">
        <v>43800</v>
      </c>
      <c r="H931" t="s">
        <v>27</v>
      </c>
      <c r="I931" t="s">
        <v>39</v>
      </c>
      <c r="J931" t="s">
        <v>24</v>
      </c>
      <c r="K931" s="2" t="str">
        <f t="shared" ca="1" si="14"/>
        <v>6 Years</v>
      </c>
      <c r="L931" s="3" cm="1">
        <f t="array" ref="L931">_xlfn.SWITCH(Table13_2[[#This Row],[Performance Score]],"A",6,"B",5,"C",4,"D",3,"E",2,"F",1)</f>
        <v>4</v>
      </c>
    </row>
    <row r="932" spans="1:12" x14ac:dyDescent="0.3">
      <c r="A932" t="s">
        <v>25</v>
      </c>
      <c r="B932">
        <v>40</v>
      </c>
      <c r="C932" s="1">
        <v>60000</v>
      </c>
      <c r="D932" t="s">
        <v>34</v>
      </c>
      <c r="E932" t="s">
        <v>35</v>
      </c>
      <c r="F932" t="s">
        <v>40</v>
      </c>
      <c r="G932" s="2">
        <v>43845</v>
      </c>
      <c r="H932" t="s">
        <v>15</v>
      </c>
      <c r="I932" t="s">
        <v>16</v>
      </c>
      <c r="J932" t="s">
        <v>28</v>
      </c>
      <c r="K932" s="2" t="str">
        <f t="shared" ca="1" si="14"/>
        <v>5 Years</v>
      </c>
      <c r="L932" s="3" cm="1">
        <f t="array" ref="L932">_xlfn.SWITCH(Table13_2[[#This Row],[Performance Score]],"A",6,"B",5,"C",4,"D",3,"E",2,"F",1)</f>
        <v>3</v>
      </c>
    </row>
    <row r="933" spans="1:12" x14ac:dyDescent="0.3">
      <c r="A933" t="s">
        <v>36</v>
      </c>
      <c r="B933">
        <v>25</v>
      </c>
      <c r="C933" s="1">
        <v>50000</v>
      </c>
      <c r="D933" t="s">
        <v>19</v>
      </c>
      <c r="E933" t="s">
        <v>30</v>
      </c>
      <c r="F933" t="s">
        <v>37</v>
      </c>
      <c r="G933" s="2">
        <v>43800</v>
      </c>
      <c r="H933" t="s">
        <v>22</v>
      </c>
      <c r="I933" t="s">
        <v>39</v>
      </c>
      <c r="J933" t="s">
        <v>24</v>
      </c>
      <c r="K933" s="2" t="str">
        <f t="shared" ca="1" si="14"/>
        <v>6 Years</v>
      </c>
      <c r="L933" s="3" cm="1">
        <f t="array" ref="L933">_xlfn.SWITCH(Table13_2[[#This Row],[Performance Score]],"A",6,"B",5,"C",4,"D",3,"E",2,"F",1)</f>
        <v>1</v>
      </c>
    </row>
    <row r="934" spans="1:12" x14ac:dyDescent="0.3">
      <c r="A934" t="s">
        <v>43</v>
      </c>
      <c r="B934">
        <v>25</v>
      </c>
      <c r="C934" s="1">
        <v>70000</v>
      </c>
      <c r="D934" t="s">
        <v>12</v>
      </c>
      <c r="E934" t="s">
        <v>30</v>
      </c>
      <c r="F934" t="s">
        <v>41</v>
      </c>
      <c r="G934" s="2">
        <v>43881</v>
      </c>
      <c r="H934" t="s">
        <v>38</v>
      </c>
      <c r="I934" t="s">
        <v>23</v>
      </c>
      <c r="J934" t="s">
        <v>42</v>
      </c>
      <c r="K934" s="2" t="str">
        <f t="shared" ca="1" si="14"/>
        <v>5 Years</v>
      </c>
      <c r="L934" s="3" cm="1">
        <f t="array" ref="L934">_xlfn.SWITCH(Table13_2[[#This Row],[Performance Score]],"A",6,"B",5,"C",4,"D",3,"E",2,"F",1)</f>
        <v>5</v>
      </c>
    </row>
    <row r="935" spans="1:12" x14ac:dyDescent="0.3">
      <c r="A935" t="s">
        <v>45</v>
      </c>
      <c r="B935">
        <v>36</v>
      </c>
      <c r="C935" s="1">
        <v>65000</v>
      </c>
      <c r="D935" t="s">
        <v>12</v>
      </c>
      <c r="E935" t="s">
        <v>20</v>
      </c>
      <c r="F935" t="s">
        <v>40</v>
      </c>
      <c r="G935" s="2">
        <v>43881</v>
      </c>
      <c r="H935" t="s">
        <v>15</v>
      </c>
      <c r="I935" t="s">
        <v>39</v>
      </c>
      <c r="J935" t="s">
        <v>17</v>
      </c>
      <c r="K935" s="2" t="str">
        <f t="shared" ca="1" si="14"/>
        <v>5 Years</v>
      </c>
      <c r="L935" s="3" cm="1">
        <f t="array" ref="L935">_xlfn.SWITCH(Table13_2[[#This Row],[Performance Score]],"A",6,"B",5,"C",4,"D",3,"E",2,"F",1)</f>
        <v>3</v>
      </c>
    </row>
    <row r="936" spans="1:12" x14ac:dyDescent="0.3">
      <c r="A936" t="s">
        <v>11</v>
      </c>
      <c r="B936">
        <v>36</v>
      </c>
      <c r="C936" s="1">
        <v>55000</v>
      </c>
      <c r="D936" t="s">
        <v>34</v>
      </c>
      <c r="E936" t="s">
        <v>35</v>
      </c>
      <c r="F936" t="s">
        <v>14</v>
      </c>
      <c r="G936" s="2">
        <v>43195</v>
      </c>
      <c r="H936" t="s">
        <v>22</v>
      </c>
      <c r="I936" t="s">
        <v>32</v>
      </c>
      <c r="J936" t="s">
        <v>42</v>
      </c>
      <c r="K936" s="2" t="str">
        <f t="shared" ca="1" si="14"/>
        <v>7 Years</v>
      </c>
      <c r="L936" s="3" cm="1">
        <f t="array" ref="L936">_xlfn.SWITCH(Table13_2[[#This Row],[Performance Score]],"A",6,"B",5,"C",4,"D",3,"E",2,"F",1)</f>
        <v>1</v>
      </c>
    </row>
    <row r="937" spans="1:12" x14ac:dyDescent="0.3">
      <c r="A937" t="s">
        <v>45</v>
      </c>
      <c r="B937">
        <v>50</v>
      </c>
      <c r="C937" s="1">
        <v>65000</v>
      </c>
      <c r="D937" t="s">
        <v>19</v>
      </c>
      <c r="E937" t="s">
        <v>30</v>
      </c>
      <c r="F937" t="s">
        <v>41</v>
      </c>
      <c r="G937" s="2">
        <v>43549</v>
      </c>
      <c r="H937" t="s">
        <v>31</v>
      </c>
      <c r="I937" t="s">
        <v>23</v>
      </c>
      <c r="J937" t="s">
        <v>28</v>
      </c>
      <c r="K937" s="2" t="str">
        <f t="shared" ca="1" si="14"/>
        <v>6 Years</v>
      </c>
      <c r="L937" s="3" cm="1">
        <f t="array" ref="L937">_xlfn.SWITCH(Table13_2[[#This Row],[Performance Score]],"A",6,"B",5,"C",4,"D",3,"E",2,"F",1)</f>
        <v>6</v>
      </c>
    </row>
    <row r="938" spans="1:12" x14ac:dyDescent="0.3">
      <c r="A938" t="s">
        <v>46</v>
      </c>
      <c r="B938">
        <v>36</v>
      </c>
      <c r="C938" s="1">
        <v>50777.202072538857</v>
      </c>
      <c r="D938" t="s">
        <v>34</v>
      </c>
      <c r="E938" t="s">
        <v>30</v>
      </c>
      <c r="F938" t="s">
        <v>21</v>
      </c>
      <c r="G938" s="2">
        <v>43195</v>
      </c>
      <c r="H938" t="s">
        <v>38</v>
      </c>
      <c r="I938" t="s">
        <v>16</v>
      </c>
      <c r="J938" t="s">
        <v>24</v>
      </c>
      <c r="K938" s="2" t="str">
        <f t="shared" ca="1" si="14"/>
        <v>7 Years</v>
      </c>
      <c r="L938" s="3" cm="1">
        <f t="array" ref="L938">_xlfn.SWITCH(Table13_2[[#This Row],[Performance Score]],"A",6,"B",5,"C",4,"D",3,"E",2,"F",1)</f>
        <v>5</v>
      </c>
    </row>
    <row r="939" spans="1:12" x14ac:dyDescent="0.3">
      <c r="A939" t="s">
        <v>45</v>
      </c>
      <c r="B939">
        <v>35</v>
      </c>
      <c r="C939" s="1">
        <v>65000</v>
      </c>
      <c r="D939" t="s">
        <v>19</v>
      </c>
      <c r="E939" t="s">
        <v>35</v>
      </c>
      <c r="F939" t="s">
        <v>41</v>
      </c>
      <c r="G939" s="2">
        <v>43800</v>
      </c>
      <c r="H939" t="s">
        <v>22</v>
      </c>
      <c r="I939" t="s">
        <v>23</v>
      </c>
      <c r="J939" t="s">
        <v>28</v>
      </c>
      <c r="K939" s="2" t="str">
        <f t="shared" ca="1" si="14"/>
        <v>6 Years</v>
      </c>
      <c r="L939" s="3" cm="1">
        <f t="array" ref="L939">_xlfn.SWITCH(Table13_2[[#This Row],[Performance Score]],"A",6,"B",5,"C",4,"D",3,"E",2,"F",1)</f>
        <v>1</v>
      </c>
    </row>
    <row r="940" spans="1:12" x14ac:dyDescent="0.3">
      <c r="A940" t="s">
        <v>45</v>
      </c>
      <c r="B940">
        <v>40</v>
      </c>
      <c r="C940" s="1">
        <v>50742.574257425746</v>
      </c>
      <c r="D940" t="s">
        <v>12</v>
      </c>
      <c r="E940" t="s">
        <v>26</v>
      </c>
      <c r="F940" t="s">
        <v>40</v>
      </c>
      <c r="G940" s="2">
        <v>43845</v>
      </c>
      <c r="H940" t="s">
        <v>22</v>
      </c>
      <c r="I940" t="s">
        <v>32</v>
      </c>
      <c r="J940" t="s">
        <v>42</v>
      </c>
      <c r="K940" s="2" t="str">
        <f t="shared" ca="1" si="14"/>
        <v>5 Years</v>
      </c>
      <c r="L940" s="3" cm="1">
        <f t="array" ref="L940">_xlfn.SWITCH(Table13_2[[#This Row],[Performance Score]],"A",6,"B",5,"C",4,"D",3,"E",2,"F",1)</f>
        <v>1</v>
      </c>
    </row>
    <row r="941" spans="1:12" x14ac:dyDescent="0.3">
      <c r="A941" t="s">
        <v>11</v>
      </c>
      <c r="B941">
        <v>36</v>
      </c>
      <c r="C941" s="1">
        <v>70000</v>
      </c>
      <c r="D941" t="s">
        <v>19</v>
      </c>
      <c r="E941" t="s">
        <v>35</v>
      </c>
      <c r="F941" t="s">
        <v>41</v>
      </c>
      <c r="G941" s="2">
        <v>43195</v>
      </c>
      <c r="H941" t="s">
        <v>27</v>
      </c>
      <c r="I941" t="s">
        <v>16</v>
      </c>
      <c r="J941" t="s">
        <v>28</v>
      </c>
      <c r="K941" s="2" t="str">
        <f t="shared" ca="1" si="14"/>
        <v>7 Years</v>
      </c>
      <c r="L941" s="3" cm="1">
        <f t="array" ref="L941">_xlfn.SWITCH(Table13_2[[#This Row],[Performance Score]],"A",6,"B",5,"C",4,"D",3,"E",2,"F",1)</f>
        <v>4</v>
      </c>
    </row>
    <row r="942" spans="1:12" x14ac:dyDescent="0.3">
      <c r="A942" t="s">
        <v>44</v>
      </c>
      <c r="B942">
        <v>30</v>
      </c>
      <c r="C942" s="1">
        <v>48417.431192660551</v>
      </c>
      <c r="D942" t="s">
        <v>12</v>
      </c>
      <c r="E942" t="s">
        <v>20</v>
      </c>
      <c r="F942" t="s">
        <v>14</v>
      </c>
      <c r="G942" s="2">
        <v>43549</v>
      </c>
      <c r="H942" t="s">
        <v>15</v>
      </c>
      <c r="I942" t="s">
        <v>39</v>
      </c>
      <c r="J942" t="s">
        <v>17</v>
      </c>
      <c r="K942" s="2" t="str">
        <f t="shared" ca="1" si="14"/>
        <v>6 Years</v>
      </c>
      <c r="L942" s="3" cm="1">
        <f t="array" ref="L942">_xlfn.SWITCH(Table13_2[[#This Row],[Performance Score]],"A",6,"B",5,"C",4,"D",3,"E",2,"F",1)</f>
        <v>3</v>
      </c>
    </row>
    <row r="943" spans="1:12" x14ac:dyDescent="0.3">
      <c r="A943" t="s">
        <v>29</v>
      </c>
      <c r="B943">
        <v>50</v>
      </c>
      <c r="C943" s="1">
        <v>65000</v>
      </c>
      <c r="D943" t="s">
        <v>19</v>
      </c>
      <c r="E943" t="s">
        <v>26</v>
      </c>
      <c r="F943" t="s">
        <v>14</v>
      </c>
      <c r="G943" s="2">
        <v>43195</v>
      </c>
      <c r="H943" t="s">
        <v>27</v>
      </c>
      <c r="I943" t="s">
        <v>32</v>
      </c>
      <c r="J943" t="s">
        <v>42</v>
      </c>
      <c r="K943" s="2" t="str">
        <f t="shared" ca="1" si="14"/>
        <v>7 Years</v>
      </c>
      <c r="L943" s="3" cm="1">
        <f t="array" ref="L943">_xlfn.SWITCH(Table13_2[[#This Row],[Performance Score]],"A",6,"B",5,"C",4,"D",3,"E",2,"F",1)</f>
        <v>4</v>
      </c>
    </row>
    <row r="944" spans="1:12" x14ac:dyDescent="0.3">
      <c r="A944" t="s">
        <v>25</v>
      </c>
      <c r="B944">
        <v>30</v>
      </c>
      <c r="C944" s="1">
        <v>65000</v>
      </c>
      <c r="D944" t="s">
        <v>34</v>
      </c>
      <c r="E944" t="s">
        <v>13</v>
      </c>
      <c r="F944" t="s">
        <v>21</v>
      </c>
      <c r="G944" s="2">
        <v>43881</v>
      </c>
      <c r="H944" t="s">
        <v>38</v>
      </c>
      <c r="I944" t="s">
        <v>16</v>
      </c>
      <c r="J944" t="s">
        <v>28</v>
      </c>
      <c r="K944" s="2" t="str">
        <f t="shared" ca="1" si="14"/>
        <v>5 Years</v>
      </c>
      <c r="L944" s="3" cm="1">
        <f t="array" ref="L944">_xlfn.SWITCH(Table13_2[[#This Row],[Performance Score]],"A",6,"B",5,"C",4,"D",3,"E",2,"F",1)</f>
        <v>5</v>
      </c>
    </row>
    <row r="945" spans="1:12" x14ac:dyDescent="0.3">
      <c r="A945" t="s">
        <v>25</v>
      </c>
      <c r="B945">
        <v>25</v>
      </c>
      <c r="C945" s="1">
        <v>49144.385026737968</v>
      </c>
      <c r="D945" t="s">
        <v>12</v>
      </c>
      <c r="E945" t="s">
        <v>35</v>
      </c>
      <c r="F945" t="s">
        <v>37</v>
      </c>
      <c r="G945" s="2">
        <v>43800</v>
      </c>
      <c r="H945" t="s">
        <v>22</v>
      </c>
      <c r="I945" t="s">
        <v>39</v>
      </c>
      <c r="J945" t="s">
        <v>24</v>
      </c>
      <c r="K945" s="2" t="str">
        <f t="shared" ca="1" si="14"/>
        <v>6 Years</v>
      </c>
      <c r="L945" s="3" cm="1">
        <f t="array" ref="L945">_xlfn.SWITCH(Table13_2[[#This Row],[Performance Score]],"A",6,"B",5,"C",4,"D",3,"E",2,"F",1)</f>
        <v>1</v>
      </c>
    </row>
    <row r="946" spans="1:12" x14ac:dyDescent="0.3">
      <c r="A946" t="s">
        <v>36</v>
      </c>
      <c r="B946">
        <v>40</v>
      </c>
      <c r="C946" s="1">
        <v>60000</v>
      </c>
      <c r="D946" t="s">
        <v>34</v>
      </c>
      <c r="E946" t="s">
        <v>20</v>
      </c>
      <c r="F946" t="s">
        <v>40</v>
      </c>
      <c r="G946" s="2">
        <v>43800</v>
      </c>
      <c r="H946" t="s">
        <v>27</v>
      </c>
      <c r="I946" t="s">
        <v>23</v>
      </c>
      <c r="J946" t="s">
        <v>28</v>
      </c>
      <c r="K946" s="2" t="str">
        <f t="shared" ca="1" si="14"/>
        <v>6 Years</v>
      </c>
      <c r="L946" s="3" cm="1">
        <f t="array" ref="L946">_xlfn.SWITCH(Table13_2[[#This Row],[Performance Score]],"A",6,"B",5,"C",4,"D",3,"E",2,"F",1)</f>
        <v>4</v>
      </c>
    </row>
    <row r="947" spans="1:12" x14ac:dyDescent="0.3">
      <c r="A947" t="s">
        <v>11</v>
      </c>
      <c r="B947">
        <v>36</v>
      </c>
      <c r="C947" s="1">
        <v>70000</v>
      </c>
      <c r="D947" t="s">
        <v>34</v>
      </c>
      <c r="E947" t="s">
        <v>26</v>
      </c>
      <c r="F947" t="s">
        <v>40</v>
      </c>
      <c r="G947" s="2">
        <v>43800</v>
      </c>
      <c r="H947" t="s">
        <v>15</v>
      </c>
      <c r="I947" t="s">
        <v>16</v>
      </c>
      <c r="J947" t="s">
        <v>24</v>
      </c>
      <c r="K947" s="2" t="str">
        <f t="shared" ca="1" si="14"/>
        <v>6 Years</v>
      </c>
      <c r="L947" s="3" cm="1">
        <f t="array" ref="L947">_xlfn.SWITCH(Table13_2[[#This Row],[Performance Score]],"A",6,"B",5,"C",4,"D",3,"E",2,"F",1)</f>
        <v>3</v>
      </c>
    </row>
    <row r="948" spans="1:12" x14ac:dyDescent="0.3">
      <c r="A948" t="s">
        <v>36</v>
      </c>
      <c r="B948">
        <v>30</v>
      </c>
      <c r="C948" s="1">
        <v>50000</v>
      </c>
      <c r="D948" t="s">
        <v>12</v>
      </c>
      <c r="E948" t="s">
        <v>35</v>
      </c>
      <c r="F948" t="s">
        <v>37</v>
      </c>
      <c r="G948" s="2">
        <v>43800</v>
      </c>
      <c r="H948" t="s">
        <v>38</v>
      </c>
      <c r="I948" t="s">
        <v>23</v>
      </c>
      <c r="J948" t="s">
        <v>17</v>
      </c>
      <c r="K948" s="2" t="str">
        <f t="shared" ca="1" si="14"/>
        <v>6 Years</v>
      </c>
      <c r="L948" s="3" cm="1">
        <f t="array" ref="L948">_xlfn.SWITCH(Table13_2[[#This Row],[Performance Score]],"A",6,"B",5,"C",4,"D",3,"E",2,"F",1)</f>
        <v>5</v>
      </c>
    </row>
    <row r="949" spans="1:12" x14ac:dyDescent="0.3">
      <c r="A949" t="s">
        <v>43</v>
      </c>
      <c r="B949">
        <v>40</v>
      </c>
      <c r="C949" s="1">
        <v>55000</v>
      </c>
      <c r="D949" t="s">
        <v>12</v>
      </c>
      <c r="E949" t="s">
        <v>30</v>
      </c>
      <c r="F949" t="s">
        <v>14</v>
      </c>
      <c r="G949" s="2">
        <v>43800</v>
      </c>
      <c r="H949" t="s">
        <v>31</v>
      </c>
      <c r="I949" t="s">
        <v>39</v>
      </c>
      <c r="J949" t="s">
        <v>28</v>
      </c>
      <c r="K949" s="2" t="str">
        <f t="shared" ca="1" si="14"/>
        <v>6 Years</v>
      </c>
      <c r="L949" s="3" cm="1">
        <f t="array" ref="L949">_xlfn.SWITCH(Table13_2[[#This Row],[Performance Score]],"A",6,"B",5,"C",4,"D",3,"E",2,"F",1)</f>
        <v>6</v>
      </c>
    </row>
    <row r="950" spans="1:12" x14ac:dyDescent="0.3">
      <c r="A950" t="s">
        <v>43</v>
      </c>
      <c r="B950">
        <v>25</v>
      </c>
      <c r="C950" s="1">
        <v>65000</v>
      </c>
      <c r="D950" t="s">
        <v>34</v>
      </c>
      <c r="E950" t="s">
        <v>35</v>
      </c>
      <c r="F950" t="s">
        <v>14</v>
      </c>
      <c r="G950" s="2">
        <v>43800</v>
      </c>
      <c r="H950" t="s">
        <v>27</v>
      </c>
      <c r="I950" t="s">
        <v>16</v>
      </c>
      <c r="J950" t="s">
        <v>17</v>
      </c>
      <c r="K950" s="2" t="str">
        <f t="shared" ca="1" si="14"/>
        <v>6 Years</v>
      </c>
      <c r="L950" s="3" cm="1">
        <f t="array" ref="L950">_xlfn.SWITCH(Table13_2[[#This Row],[Performance Score]],"A",6,"B",5,"C",4,"D",3,"E",2,"F",1)</f>
        <v>4</v>
      </c>
    </row>
    <row r="951" spans="1:12" x14ac:dyDescent="0.3">
      <c r="A951" t="s">
        <v>36</v>
      </c>
      <c r="B951">
        <v>35</v>
      </c>
      <c r="C951" s="1">
        <v>55000</v>
      </c>
      <c r="D951" t="s">
        <v>34</v>
      </c>
      <c r="E951" t="s">
        <v>13</v>
      </c>
      <c r="F951" t="s">
        <v>41</v>
      </c>
      <c r="G951" s="2">
        <v>43845</v>
      </c>
      <c r="H951" t="s">
        <v>38</v>
      </c>
      <c r="I951" t="s">
        <v>39</v>
      </c>
      <c r="J951" t="s">
        <v>42</v>
      </c>
      <c r="K951" s="2" t="str">
        <f t="shared" ca="1" si="14"/>
        <v>5 Years</v>
      </c>
      <c r="L951" s="3" cm="1">
        <f t="array" ref="L951">_xlfn.SWITCH(Table13_2[[#This Row],[Performance Score]],"A",6,"B",5,"C",4,"D",3,"E",2,"F",1)</f>
        <v>5</v>
      </c>
    </row>
    <row r="952" spans="1:12" x14ac:dyDescent="0.3">
      <c r="A952" t="s">
        <v>11</v>
      </c>
      <c r="B952">
        <v>50</v>
      </c>
      <c r="C952" s="1">
        <v>50000</v>
      </c>
      <c r="D952" t="s">
        <v>34</v>
      </c>
      <c r="E952" t="s">
        <v>35</v>
      </c>
      <c r="F952" t="s">
        <v>21</v>
      </c>
      <c r="G952" s="2">
        <v>43549</v>
      </c>
      <c r="H952" t="s">
        <v>31</v>
      </c>
      <c r="I952" t="s">
        <v>32</v>
      </c>
      <c r="J952" t="s">
        <v>24</v>
      </c>
      <c r="K952" s="2" t="str">
        <f t="shared" ca="1" si="14"/>
        <v>6 Years</v>
      </c>
      <c r="L952" s="3" cm="1">
        <f t="array" ref="L952">_xlfn.SWITCH(Table13_2[[#This Row],[Performance Score]],"A",6,"B",5,"C",4,"D",3,"E",2,"F",1)</f>
        <v>6</v>
      </c>
    </row>
    <row r="953" spans="1:12" x14ac:dyDescent="0.3">
      <c r="A953" t="s">
        <v>36</v>
      </c>
      <c r="B953">
        <v>40</v>
      </c>
      <c r="C953" s="1">
        <v>55000</v>
      </c>
      <c r="D953" t="s">
        <v>34</v>
      </c>
      <c r="E953" t="s">
        <v>26</v>
      </c>
      <c r="F953" t="s">
        <v>21</v>
      </c>
      <c r="G953" s="2">
        <v>43800</v>
      </c>
      <c r="H953" t="s">
        <v>27</v>
      </c>
      <c r="I953" t="s">
        <v>16</v>
      </c>
      <c r="J953" t="s">
        <v>42</v>
      </c>
      <c r="K953" s="2" t="str">
        <f t="shared" ca="1" si="14"/>
        <v>6 Years</v>
      </c>
      <c r="L953" s="3" cm="1">
        <f t="array" ref="L953">_xlfn.SWITCH(Table13_2[[#This Row],[Performance Score]],"A",6,"B",5,"C",4,"D",3,"E",2,"F",1)</f>
        <v>4</v>
      </c>
    </row>
    <row r="954" spans="1:12" x14ac:dyDescent="0.3">
      <c r="A954" t="s">
        <v>25</v>
      </c>
      <c r="B954">
        <v>40</v>
      </c>
      <c r="C954" s="1">
        <v>50000</v>
      </c>
      <c r="D954" t="s">
        <v>12</v>
      </c>
      <c r="E954" t="s">
        <v>26</v>
      </c>
      <c r="F954" t="s">
        <v>21</v>
      </c>
      <c r="G954" s="2">
        <v>43549</v>
      </c>
      <c r="H954" t="s">
        <v>38</v>
      </c>
      <c r="I954" t="s">
        <v>39</v>
      </c>
      <c r="J954" t="s">
        <v>24</v>
      </c>
      <c r="K954" s="2" t="str">
        <f t="shared" ca="1" si="14"/>
        <v>6 Years</v>
      </c>
      <c r="L954" s="3" cm="1">
        <f t="array" ref="L954">_xlfn.SWITCH(Table13_2[[#This Row],[Performance Score]],"A",6,"B",5,"C",4,"D",3,"E",2,"F",1)</f>
        <v>5</v>
      </c>
    </row>
    <row r="955" spans="1:12" x14ac:dyDescent="0.3">
      <c r="A955" t="s">
        <v>33</v>
      </c>
      <c r="B955">
        <v>35</v>
      </c>
      <c r="C955" s="1">
        <v>49144.385026737968</v>
      </c>
      <c r="D955" t="s">
        <v>12</v>
      </c>
      <c r="E955" t="s">
        <v>35</v>
      </c>
      <c r="F955" t="s">
        <v>41</v>
      </c>
      <c r="G955" s="2">
        <v>43800</v>
      </c>
      <c r="H955" t="s">
        <v>38</v>
      </c>
      <c r="I955" t="s">
        <v>16</v>
      </c>
      <c r="J955" t="s">
        <v>17</v>
      </c>
      <c r="K955" s="2" t="str">
        <f t="shared" ca="1" si="14"/>
        <v>6 Years</v>
      </c>
      <c r="L955" s="3" cm="1">
        <f t="array" ref="L955">_xlfn.SWITCH(Table13_2[[#This Row],[Performance Score]],"A",6,"B",5,"C",4,"D",3,"E",2,"F",1)</f>
        <v>5</v>
      </c>
    </row>
    <row r="956" spans="1:12" x14ac:dyDescent="0.3">
      <c r="A956" t="s">
        <v>18</v>
      </c>
      <c r="B956">
        <v>40</v>
      </c>
      <c r="C956" s="1">
        <v>60000</v>
      </c>
      <c r="D956" t="s">
        <v>34</v>
      </c>
      <c r="E956" t="s">
        <v>26</v>
      </c>
      <c r="F956" t="s">
        <v>21</v>
      </c>
      <c r="G956" s="2">
        <v>43195</v>
      </c>
      <c r="H956" t="s">
        <v>27</v>
      </c>
      <c r="I956" t="s">
        <v>23</v>
      </c>
      <c r="J956" t="s">
        <v>17</v>
      </c>
      <c r="K956" s="2" t="str">
        <f t="shared" ca="1" si="14"/>
        <v>7 Years</v>
      </c>
      <c r="L956" s="3" cm="1">
        <f t="array" ref="L956">_xlfn.SWITCH(Table13_2[[#This Row],[Performance Score]],"A",6,"B",5,"C",4,"D",3,"E",2,"F",1)</f>
        <v>4</v>
      </c>
    </row>
    <row r="957" spans="1:12" x14ac:dyDescent="0.3">
      <c r="A957" t="s">
        <v>45</v>
      </c>
      <c r="B957">
        <v>25</v>
      </c>
      <c r="C957" s="1">
        <v>65000</v>
      </c>
      <c r="D957" t="s">
        <v>19</v>
      </c>
      <c r="E957" t="s">
        <v>30</v>
      </c>
      <c r="F957" t="s">
        <v>37</v>
      </c>
      <c r="G957" s="2">
        <v>43800</v>
      </c>
      <c r="H957" t="s">
        <v>38</v>
      </c>
      <c r="I957" t="s">
        <v>16</v>
      </c>
      <c r="J957" t="s">
        <v>28</v>
      </c>
      <c r="K957" s="2" t="str">
        <f t="shared" ca="1" si="14"/>
        <v>6 Years</v>
      </c>
      <c r="L957" s="3" cm="1">
        <f t="array" ref="L957">_xlfn.SWITCH(Table13_2[[#This Row],[Performance Score]],"A",6,"B",5,"C",4,"D",3,"E",2,"F",1)</f>
        <v>5</v>
      </c>
    </row>
    <row r="958" spans="1:12" x14ac:dyDescent="0.3">
      <c r="A958" t="s">
        <v>18</v>
      </c>
      <c r="B958">
        <v>25</v>
      </c>
      <c r="C958" s="1">
        <v>50000</v>
      </c>
      <c r="D958" t="s">
        <v>19</v>
      </c>
      <c r="E958" t="s">
        <v>35</v>
      </c>
      <c r="F958" t="s">
        <v>41</v>
      </c>
      <c r="G958" s="2">
        <v>43881</v>
      </c>
      <c r="H958" t="s">
        <v>22</v>
      </c>
      <c r="I958" t="s">
        <v>39</v>
      </c>
      <c r="J958" t="s">
        <v>17</v>
      </c>
      <c r="K958" s="2" t="str">
        <f t="shared" ca="1" si="14"/>
        <v>5 Years</v>
      </c>
      <c r="L958" s="3" cm="1">
        <f t="array" ref="L958">_xlfn.SWITCH(Table13_2[[#This Row],[Performance Score]],"A",6,"B",5,"C",4,"D",3,"E",2,"F",1)</f>
        <v>1</v>
      </c>
    </row>
    <row r="959" spans="1:12" x14ac:dyDescent="0.3">
      <c r="A959" t="s">
        <v>11</v>
      </c>
      <c r="B959">
        <v>35</v>
      </c>
      <c r="C959" s="1">
        <v>55000</v>
      </c>
      <c r="D959" t="s">
        <v>12</v>
      </c>
      <c r="E959" t="s">
        <v>30</v>
      </c>
      <c r="F959" t="s">
        <v>37</v>
      </c>
      <c r="G959" s="2">
        <v>43845</v>
      </c>
      <c r="H959" t="s">
        <v>27</v>
      </c>
      <c r="I959" t="s">
        <v>16</v>
      </c>
      <c r="J959" t="s">
        <v>24</v>
      </c>
      <c r="K959" s="2" t="str">
        <f t="shared" ca="1" si="14"/>
        <v>5 Years</v>
      </c>
      <c r="L959" s="3" cm="1">
        <f t="array" ref="L959">_xlfn.SWITCH(Table13_2[[#This Row],[Performance Score]],"A",6,"B",5,"C",4,"D",3,"E",2,"F",1)</f>
        <v>4</v>
      </c>
    </row>
    <row r="960" spans="1:12" x14ac:dyDescent="0.3">
      <c r="A960" t="s">
        <v>18</v>
      </c>
      <c r="B960">
        <v>50</v>
      </c>
      <c r="C960" s="1">
        <v>65000</v>
      </c>
      <c r="D960" t="s">
        <v>34</v>
      </c>
      <c r="E960" t="s">
        <v>30</v>
      </c>
      <c r="F960" t="s">
        <v>41</v>
      </c>
      <c r="G960" s="2">
        <v>43195</v>
      </c>
      <c r="H960" t="s">
        <v>38</v>
      </c>
      <c r="I960" t="s">
        <v>32</v>
      </c>
      <c r="J960" t="s">
        <v>24</v>
      </c>
      <c r="K960" s="2" t="str">
        <f t="shared" ca="1" si="14"/>
        <v>7 Years</v>
      </c>
      <c r="L960" s="3" cm="1">
        <f t="array" ref="L960">_xlfn.SWITCH(Table13_2[[#This Row],[Performance Score]],"A",6,"B",5,"C",4,"D",3,"E",2,"F",1)</f>
        <v>5</v>
      </c>
    </row>
    <row r="961" spans="1:12" x14ac:dyDescent="0.3">
      <c r="A961" t="s">
        <v>43</v>
      </c>
      <c r="B961">
        <v>36</v>
      </c>
      <c r="C961" s="1">
        <v>60000</v>
      </c>
      <c r="D961" t="s">
        <v>34</v>
      </c>
      <c r="E961" t="s">
        <v>20</v>
      </c>
      <c r="F961" t="s">
        <v>21</v>
      </c>
      <c r="G961" s="2">
        <v>43195</v>
      </c>
      <c r="H961" t="s">
        <v>31</v>
      </c>
      <c r="I961" t="s">
        <v>16</v>
      </c>
      <c r="J961" t="s">
        <v>24</v>
      </c>
      <c r="K961" s="2" t="str">
        <f t="shared" ca="1" si="14"/>
        <v>7 Years</v>
      </c>
      <c r="L961" s="3" cm="1">
        <f t="array" ref="L961">_xlfn.SWITCH(Table13_2[[#This Row],[Performance Score]],"A",6,"B",5,"C",4,"D",3,"E",2,"F",1)</f>
        <v>6</v>
      </c>
    </row>
    <row r="962" spans="1:12" x14ac:dyDescent="0.3">
      <c r="A962" t="s">
        <v>46</v>
      </c>
      <c r="B962">
        <v>30</v>
      </c>
      <c r="C962" s="1">
        <v>49144.385026737968</v>
      </c>
      <c r="D962" t="s">
        <v>12</v>
      </c>
      <c r="E962" t="s">
        <v>35</v>
      </c>
      <c r="F962" t="s">
        <v>37</v>
      </c>
      <c r="G962" s="2">
        <v>43881</v>
      </c>
      <c r="H962" t="s">
        <v>31</v>
      </c>
      <c r="I962" t="s">
        <v>23</v>
      </c>
      <c r="J962" t="s">
        <v>24</v>
      </c>
      <c r="K962" s="2" t="str">
        <f t="shared" ca="1" si="14"/>
        <v>5 Years</v>
      </c>
      <c r="L962" s="3" cm="1">
        <f t="array" ref="L962">_xlfn.SWITCH(Table13_2[[#This Row],[Performance Score]],"A",6,"B",5,"C",4,"D",3,"E",2,"F",1)</f>
        <v>6</v>
      </c>
    </row>
    <row r="963" spans="1:12" x14ac:dyDescent="0.3">
      <c r="A963" t="s">
        <v>45</v>
      </c>
      <c r="B963">
        <v>36</v>
      </c>
      <c r="C963" s="1">
        <v>65000</v>
      </c>
      <c r="D963" t="s">
        <v>19</v>
      </c>
      <c r="E963" t="s">
        <v>26</v>
      </c>
      <c r="F963" t="s">
        <v>37</v>
      </c>
      <c r="G963" s="2">
        <v>43800</v>
      </c>
      <c r="H963" t="s">
        <v>22</v>
      </c>
      <c r="I963" t="s">
        <v>16</v>
      </c>
      <c r="J963" t="s">
        <v>28</v>
      </c>
      <c r="K963" s="2" t="str">
        <f t="shared" ref="K963:K1001" ca="1" si="15">DATEDIF(G963,TODAY(),"Y") &amp; " Years"</f>
        <v>6 Years</v>
      </c>
      <c r="L963" s="3" cm="1">
        <f t="array" ref="L963">_xlfn.SWITCH(Table13_2[[#This Row],[Performance Score]],"A",6,"B",5,"C",4,"D",3,"E",2,"F",1)</f>
        <v>1</v>
      </c>
    </row>
    <row r="964" spans="1:12" x14ac:dyDescent="0.3">
      <c r="A964" t="s">
        <v>29</v>
      </c>
      <c r="B964">
        <v>40</v>
      </c>
      <c r="C964" s="1">
        <v>50000</v>
      </c>
      <c r="D964" t="s">
        <v>19</v>
      </c>
      <c r="E964" t="s">
        <v>30</v>
      </c>
      <c r="F964" t="s">
        <v>37</v>
      </c>
      <c r="G964" s="2">
        <v>43845</v>
      </c>
      <c r="H964" t="s">
        <v>27</v>
      </c>
      <c r="I964" t="s">
        <v>39</v>
      </c>
      <c r="J964" t="s">
        <v>42</v>
      </c>
      <c r="K964" s="2" t="str">
        <f t="shared" ca="1" si="15"/>
        <v>5 Years</v>
      </c>
      <c r="L964" s="3" cm="1">
        <f t="array" ref="L964">_xlfn.SWITCH(Table13_2[[#This Row],[Performance Score]],"A",6,"B",5,"C",4,"D",3,"E",2,"F",1)</f>
        <v>4</v>
      </c>
    </row>
    <row r="965" spans="1:12" x14ac:dyDescent="0.3">
      <c r="A965" t="s">
        <v>11</v>
      </c>
      <c r="B965">
        <v>30</v>
      </c>
      <c r="C965" s="1">
        <v>60000</v>
      </c>
      <c r="D965" t="s">
        <v>19</v>
      </c>
      <c r="E965" t="s">
        <v>20</v>
      </c>
      <c r="F965" t="s">
        <v>41</v>
      </c>
      <c r="G965" s="2">
        <v>43195</v>
      </c>
      <c r="H965" t="s">
        <v>38</v>
      </c>
      <c r="I965" t="s">
        <v>39</v>
      </c>
      <c r="J965" t="s">
        <v>17</v>
      </c>
      <c r="K965" s="2" t="str">
        <f t="shared" ca="1" si="15"/>
        <v>7 Years</v>
      </c>
      <c r="L965" s="3" cm="1">
        <f t="array" ref="L965">_xlfn.SWITCH(Table13_2[[#This Row],[Performance Score]],"A",6,"B",5,"C",4,"D",3,"E",2,"F",1)</f>
        <v>5</v>
      </c>
    </row>
    <row r="966" spans="1:12" x14ac:dyDescent="0.3">
      <c r="A966" t="s">
        <v>45</v>
      </c>
      <c r="B966">
        <v>35</v>
      </c>
      <c r="C966" s="1">
        <v>55000</v>
      </c>
      <c r="D966" t="s">
        <v>12</v>
      </c>
      <c r="E966" t="s">
        <v>35</v>
      </c>
      <c r="F966" t="s">
        <v>40</v>
      </c>
      <c r="G966" s="2">
        <v>43845</v>
      </c>
      <c r="H966" t="s">
        <v>38</v>
      </c>
      <c r="I966" t="s">
        <v>16</v>
      </c>
      <c r="J966" t="s">
        <v>28</v>
      </c>
      <c r="K966" s="2" t="str">
        <f t="shared" ca="1" si="15"/>
        <v>5 Years</v>
      </c>
      <c r="L966" s="3" cm="1">
        <f t="array" ref="L966">_xlfn.SWITCH(Table13_2[[#This Row],[Performance Score]],"A",6,"B",5,"C",4,"D",3,"E",2,"F",1)</f>
        <v>5</v>
      </c>
    </row>
    <row r="967" spans="1:12" x14ac:dyDescent="0.3">
      <c r="A967" t="s">
        <v>18</v>
      </c>
      <c r="B967">
        <v>35</v>
      </c>
      <c r="C967" s="1">
        <v>60000</v>
      </c>
      <c r="D967" t="s">
        <v>19</v>
      </c>
      <c r="E967" t="s">
        <v>35</v>
      </c>
      <c r="F967" t="s">
        <v>21</v>
      </c>
      <c r="G967" s="2">
        <v>43195</v>
      </c>
      <c r="H967" t="s">
        <v>31</v>
      </c>
      <c r="I967" t="s">
        <v>16</v>
      </c>
      <c r="J967" t="s">
        <v>24</v>
      </c>
      <c r="K967" s="2" t="str">
        <f t="shared" ca="1" si="15"/>
        <v>7 Years</v>
      </c>
      <c r="L967" s="3" cm="1">
        <f t="array" ref="L967">_xlfn.SWITCH(Table13_2[[#This Row],[Performance Score]],"A",6,"B",5,"C",4,"D",3,"E",2,"F",1)</f>
        <v>6</v>
      </c>
    </row>
    <row r="968" spans="1:12" x14ac:dyDescent="0.3">
      <c r="A968" t="s">
        <v>43</v>
      </c>
      <c r="B968">
        <v>50</v>
      </c>
      <c r="C968" s="1">
        <v>60000</v>
      </c>
      <c r="D968" t="s">
        <v>12</v>
      </c>
      <c r="E968" t="s">
        <v>13</v>
      </c>
      <c r="F968" t="s">
        <v>37</v>
      </c>
      <c r="G968" s="2">
        <v>43800</v>
      </c>
      <c r="H968" t="s">
        <v>22</v>
      </c>
      <c r="I968" t="s">
        <v>32</v>
      </c>
      <c r="J968" t="s">
        <v>28</v>
      </c>
      <c r="K968" s="2" t="str">
        <f t="shared" ca="1" si="15"/>
        <v>6 Years</v>
      </c>
      <c r="L968" s="3" cm="1">
        <f t="array" ref="L968">_xlfn.SWITCH(Table13_2[[#This Row],[Performance Score]],"A",6,"B",5,"C",4,"D",3,"E",2,"F",1)</f>
        <v>1</v>
      </c>
    </row>
    <row r="969" spans="1:12" x14ac:dyDescent="0.3">
      <c r="A969" t="s">
        <v>44</v>
      </c>
      <c r="B969">
        <v>30</v>
      </c>
      <c r="C969" s="1">
        <v>70000</v>
      </c>
      <c r="D969" t="s">
        <v>12</v>
      </c>
      <c r="E969" t="s">
        <v>13</v>
      </c>
      <c r="F969" t="s">
        <v>40</v>
      </c>
      <c r="G969" s="2">
        <v>43195</v>
      </c>
      <c r="H969" t="s">
        <v>31</v>
      </c>
      <c r="I969" t="s">
        <v>39</v>
      </c>
      <c r="J969" t="s">
        <v>17</v>
      </c>
      <c r="K969" s="2" t="str">
        <f t="shared" ca="1" si="15"/>
        <v>7 Years</v>
      </c>
      <c r="L969" s="3" cm="1">
        <f t="array" ref="L969">_xlfn.SWITCH(Table13_2[[#This Row],[Performance Score]],"A",6,"B",5,"C",4,"D",3,"E",2,"F",1)</f>
        <v>6</v>
      </c>
    </row>
    <row r="970" spans="1:12" x14ac:dyDescent="0.3">
      <c r="A970" t="s">
        <v>33</v>
      </c>
      <c r="B970">
        <v>25</v>
      </c>
      <c r="C970" s="1">
        <v>60000</v>
      </c>
      <c r="D970" t="s">
        <v>34</v>
      </c>
      <c r="E970" t="s">
        <v>30</v>
      </c>
      <c r="F970" t="s">
        <v>21</v>
      </c>
      <c r="G970" s="2">
        <v>43195</v>
      </c>
      <c r="H970" t="s">
        <v>31</v>
      </c>
      <c r="I970" t="s">
        <v>39</v>
      </c>
      <c r="J970" t="s">
        <v>24</v>
      </c>
      <c r="K970" s="2" t="str">
        <f t="shared" ca="1" si="15"/>
        <v>7 Years</v>
      </c>
      <c r="L970" s="3" cm="1">
        <f t="array" ref="L970">_xlfn.SWITCH(Table13_2[[#This Row],[Performance Score]],"A",6,"B",5,"C",4,"D",3,"E",2,"F",1)</f>
        <v>6</v>
      </c>
    </row>
    <row r="971" spans="1:12" x14ac:dyDescent="0.3">
      <c r="A971" t="s">
        <v>29</v>
      </c>
      <c r="B971">
        <v>30</v>
      </c>
      <c r="C971" s="1">
        <v>60000</v>
      </c>
      <c r="D971" t="s">
        <v>19</v>
      </c>
      <c r="E971" t="s">
        <v>13</v>
      </c>
      <c r="F971" t="s">
        <v>21</v>
      </c>
      <c r="G971" s="2">
        <v>43549</v>
      </c>
      <c r="H971" t="s">
        <v>22</v>
      </c>
      <c r="I971" t="s">
        <v>23</v>
      </c>
      <c r="J971" t="s">
        <v>17</v>
      </c>
      <c r="K971" s="2" t="str">
        <f t="shared" ca="1" si="15"/>
        <v>6 Years</v>
      </c>
      <c r="L971" s="3" cm="1">
        <f t="array" ref="L971">_xlfn.SWITCH(Table13_2[[#This Row],[Performance Score]],"A",6,"B",5,"C",4,"D",3,"E",2,"F",1)</f>
        <v>1</v>
      </c>
    </row>
    <row r="972" spans="1:12" x14ac:dyDescent="0.3">
      <c r="A972" t="s">
        <v>33</v>
      </c>
      <c r="B972">
        <v>40</v>
      </c>
      <c r="C972" s="1">
        <v>65000</v>
      </c>
      <c r="D972" t="s">
        <v>12</v>
      </c>
      <c r="E972" t="s">
        <v>30</v>
      </c>
      <c r="F972" t="s">
        <v>37</v>
      </c>
      <c r="G972" s="2">
        <v>43800</v>
      </c>
      <c r="H972" t="s">
        <v>27</v>
      </c>
      <c r="I972" t="s">
        <v>16</v>
      </c>
      <c r="J972" t="s">
        <v>24</v>
      </c>
      <c r="K972" s="2" t="str">
        <f t="shared" ca="1" si="15"/>
        <v>6 Years</v>
      </c>
      <c r="L972" s="3" cm="1">
        <f t="array" ref="L972">_xlfn.SWITCH(Table13_2[[#This Row],[Performance Score]],"A",6,"B",5,"C",4,"D",3,"E",2,"F",1)</f>
        <v>4</v>
      </c>
    </row>
    <row r="973" spans="1:12" x14ac:dyDescent="0.3">
      <c r="A973" t="s">
        <v>45</v>
      </c>
      <c r="B973">
        <v>25</v>
      </c>
      <c r="C973" s="1">
        <v>55000</v>
      </c>
      <c r="D973" t="s">
        <v>19</v>
      </c>
      <c r="E973" t="s">
        <v>26</v>
      </c>
      <c r="F973" t="s">
        <v>37</v>
      </c>
      <c r="G973" s="2">
        <v>43881</v>
      </c>
      <c r="H973" t="s">
        <v>38</v>
      </c>
      <c r="I973" t="s">
        <v>39</v>
      </c>
      <c r="J973" t="s">
        <v>17</v>
      </c>
      <c r="K973" s="2" t="str">
        <f t="shared" ca="1" si="15"/>
        <v>5 Years</v>
      </c>
      <c r="L973" s="3" cm="1">
        <f t="array" ref="L973">_xlfn.SWITCH(Table13_2[[#This Row],[Performance Score]],"A",6,"B",5,"C",4,"D",3,"E",2,"F",1)</f>
        <v>5</v>
      </c>
    </row>
    <row r="974" spans="1:12" x14ac:dyDescent="0.3">
      <c r="A974" t="s">
        <v>43</v>
      </c>
      <c r="B974">
        <v>35</v>
      </c>
      <c r="C974" s="1">
        <v>65000</v>
      </c>
      <c r="D974" t="s">
        <v>19</v>
      </c>
      <c r="E974" t="s">
        <v>30</v>
      </c>
      <c r="F974" t="s">
        <v>41</v>
      </c>
      <c r="G974" s="2">
        <v>43881</v>
      </c>
      <c r="H974" t="s">
        <v>27</v>
      </c>
      <c r="I974" t="s">
        <v>23</v>
      </c>
      <c r="J974" t="s">
        <v>17</v>
      </c>
      <c r="K974" s="2" t="str">
        <f t="shared" ca="1" si="15"/>
        <v>5 Years</v>
      </c>
      <c r="L974" s="3" cm="1">
        <f t="array" ref="L974">_xlfn.SWITCH(Table13_2[[#This Row],[Performance Score]],"A",6,"B",5,"C",4,"D",3,"E",2,"F",1)</f>
        <v>4</v>
      </c>
    </row>
    <row r="975" spans="1:12" x14ac:dyDescent="0.3">
      <c r="A975" t="s">
        <v>43</v>
      </c>
      <c r="B975">
        <v>30</v>
      </c>
      <c r="C975" s="1">
        <v>65000</v>
      </c>
      <c r="D975" t="s">
        <v>34</v>
      </c>
      <c r="E975" t="s">
        <v>13</v>
      </c>
      <c r="F975" t="s">
        <v>40</v>
      </c>
      <c r="G975" s="2">
        <v>43800</v>
      </c>
      <c r="H975" t="s">
        <v>15</v>
      </c>
      <c r="I975" t="s">
        <v>39</v>
      </c>
      <c r="J975" t="s">
        <v>42</v>
      </c>
      <c r="K975" s="2" t="str">
        <f t="shared" ca="1" si="15"/>
        <v>6 Years</v>
      </c>
      <c r="L975" s="3" cm="1">
        <f t="array" ref="L975">_xlfn.SWITCH(Table13_2[[#This Row],[Performance Score]],"A",6,"B",5,"C",4,"D",3,"E",2,"F",1)</f>
        <v>3</v>
      </c>
    </row>
    <row r="976" spans="1:12" x14ac:dyDescent="0.3">
      <c r="A976" t="s">
        <v>18</v>
      </c>
      <c r="B976">
        <v>36</v>
      </c>
      <c r="C976" s="1">
        <v>50000</v>
      </c>
      <c r="D976" t="s">
        <v>19</v>
      </c>
      <c r="E976" t="s">
        <v>26</v>
      </c>
      <c r="F976" t="s">
        <v>40</v>
      </c>
      <c r="G976" s="2">
        <v>43881</v>
      </c>
      <c r="H976" t="s">
        <v>15</v>
      </c>
      <c r="I976" t="s">
        <v>39</v>
      </c>
      <c r="J976" t="s">
        <v>42</v>
      </c>
      <c r="K976" s="2" t="str">
        <f t="shared" ca="1" si="15"/>
        <v>5 Years</v>
      </c>
      <c r="L976" s="3" cm="1">
        <f t="array" ref="L976">_xlfn.SWITCH(Table13_2[[#This Row],[Performance Score]],"A",6,"B",5,"C",4,"D",3,"E",2,"F",1)</f>
        <v>3</v>
      </c>
    </row>
    <row r="977" spans="1:12" x14ac:dyDescent="0.3">
      <c r="A977" t="s">
        <v>25</v>
      </c>
      <c r="B977">
        <v>50</v>
      </c>
      <c r="C977" s="1">
        <v>65000</v>
      </c>
      <c r="D977" t="s">
        <v>34</v>
      </c>
      <c r="E977" t="s">
        <v>13</v>
      </c>
      <c r="F977" t="s">
        <v>37</v>
      </c>
      <c r="G977" s="2">
        <v>43800</v>
      </c>
      <c r="H977" t="s">
        <v>15</v>
      </c>
      <c r="I977" t="s">
        <v>39</v>
      </c>
      <c r="J977" t="s">
        <v>28</v>
      </c>
      <c r="K977" s="2" t="str">
        <f t="shared" ca="1" si="15"/>
        <v>6 Years</v>
      </c>
      <c r="L977" s="3" cm="1">
        <f t="array" ref="L977">_xlfn.SWITCH(Table13_2[[#This Row],[Performance Score]],"A",6,"B",5,"C",4,"D",3,"E",2,"F",1)</f>
        <v>3</v>
      </c>
    </row>
    <row r="978" spans="1:12" x14ac:dyDescent="0.3">
      <c r="A978" t="s">
        <v>18</v>
      </c>
      <c r="B978">
        <v>36</v>
      </c>
      <c r="C978" s="1">
        <v>70000</v>
      </c>
      <c r="D978" t="s">
        <v>12</v>
      </c>
      <c r="E978" t="s">
        <v>30</v>
      </c>
      <c r="F978" t="s">
        <v>21</v>
      </c>
      <c r="G978" s="2">
        <v>43881</v>
      </c>
      <c r="H978" t="s">
        <v>22</v>
      </c>
      <c r="I978" t="s">
        <v>23</v>
      </c>
      <c r="J978" t="s">
        <v>28</v>
      </c>
      <c r="K978" s="2" t="str">
        <f t="shared" ca="1" si="15"/>
        <v>5 Years</v>
      </c>
      <c r="L978" s="3" cm="1">
        <f t="array" ref="L978">_xlfn.SWITCH(Table13_2[[#This Row],[Performance Score]],"A",6,"B",5,"C",4,"D",3,"E",2,"F",1)</f>
        <v>1</v>
      </c>
    </row>
    <row r="979" spans="1:12" x14ac:dyDescent="0.3">
      <c r="A979" t="s">
        <v>25</v>
      </c>
      <c r="B979">
        <v>50</v>
      </c>
      <c r="C979" s="1">
        <v>70000</v>
      </c>
      <c r="D979" t="s">
        <v>19</v>
      </c>
      <c r="E979" t="s">
        <v>20</v>
      </c>
      <c r="F979" t="s">
        <v>37</v>
      </c>
      <c r="G979" s="2">
        <v>43549</v>
      </c>
      <c r="H979" t="s">
        <v>31</v>
      </c>
      <c r="I979" t="s">
        <v>39</v>
      </c>
      <c r="J979" t="s">
        <v>17</v>
      </c>
      <c r="K979" s="2" t="str">
        <f t="shared" ca="1" si="15"/>
        <v>6 Years</v>
      </c>
      <c r="L979" s="3" cm="1">
        <f t="array" ref="L979">_xlfn.SWITCH(Table13_2[[#This Row],[Performance Score]],"A",6,"B",5,"C",4,"D",3,"E",2,"F",1)</f>
        <v>6</v>
      </c>
    </row>
    <row r="980" spans="1:12" x14ac:dyDescent="0.3">
      <c r="A980" t="s">
        <v>25</v>
      </c>
      <c r="B980">
        <v>40</v>
      </c>
      <c r="C980" s="1">
        <v>50000</v>
      </c>
      <c r="D980" t="s">
        <v>12</v>
      </c>
      <c r="E980" t="s">
        <v>35</v>
      </c>
      <c r="F980" t="s">
        <v>21</v>
      </c>
      <c r="G980" s="2">
        <v>43881</v>
      </c>
      <c r="H980" t="s">
        <v>27</v>
      </c>
      <c r="I980" t="s">
        <v>39</v>
      </c>
      <c r="J980" t="s">
        <v>24</v>
      </c>
      <c r="K980" s="2" t="str">
        <f t="shared" ca="1" si="15"/>
        <v>5 Years</v>
      </c>
      <c r="L980" s="3" cm="1">
        <f t="array" ref="L980">_xlfn.SWITCH(Table13_2[[#This Row],[Performance Score]],"A",6,"B",5,"C",4,"D",3,"E",2,"F",1)</f>
        <v>4</v>
      </c>
    </row>
    <row r="981" spans="1:12" x14ac:dyDescent="0.3">
      <c r="A981" t="s">
        <v>29</v>
      </c>
      <c r="B981">
        <v>36</v>
      </c>
      <c r="C981" s="1">
        <v>51825</v>
      </c>
      <c r="D981" t="s">
        <v>19</v>
      </c>
      <c r="E981" t="s">
        <v>13</v>
      </c>
      <c r="F981" t="s">
        <v>21</v>
      </c>
      <c r="G981" s="2">
        <v>43195</v>
      </c>
      <c r="H981" t="s">
        <v>38</v>
      </c>
      <c r="I981" t="s">
        <v>39</v>
      </c>
      <c r="J981" t="s">
        <v>17</v>
      </c>
      <c r="K981" s="2" t="str">
        <f t="shared" ca="1" si="15"/>
        <v>7 Years</v>
      </c>
      <c r="L981" s="3" cm="1">
        <f t="array" ref="L981">_xlfn.SWITCH(Table13_2[[#This Row],[Performance Score]],"A",6,"B",5,"C",4,"D",3,"E",2,"F",1)</f>
        <v>5</v>
      </c>
    </row>
    <row r="982" spans="1:12" x14ac:dyDescent="0.3">
      <c r="A982" t="s">
        <v>18</v>
      </c>
      <c r="B982">
        <v>30</v>
      </c>
      <c r="C982" s="1">
        <v>55000</v>
      </c>
      <c r="D982" t="s">
        <v>12</v>
      </c>
      <c r="E982" t="s">
        <v>30</v>
      </c>
      <c r="F982" t="s">
        <v>37</v>
      </c>
      <c r="G982" s="2">
        <v>43800</v>
      </c>
      <c r="H982" t="s">
        <v>15</v>
      </c>
      <c r="I982" t="s">
        <v>39</v>
      </c>
      <c r="J982" t="s">
        <v>17</v>
      </c>
      <c r="K982" s="2" t="str">
        <f t="shared" ca="1" si="15"/>
        <v>6 Years</v>
      </c>
      <c r="L982" s="3" cm="1">
        <f t="array" ref="L982">_xlfn.SWITCH(Table13_2[[#This Row],[Performance Score]],"A",6,"B",5,"C",4,"D",3,"E",2,"F",1)</f>
        <v>3</v>
      </c>
    </row>
    <row r="983" spans="1:12" x14ac:dyDescent="0.3">
      <c r="A983" t="s">
        <v>44</v>
      </c>
      <c r="B983">
        <v>30</v>
      </c>
      <c r="C983" s="1">
        <v>55000</v>
      </c>
      <c r="D983" t="s">
        <v>19</v>
      </c>
      <c r="E983" t="s">
        <v>26</v>
      </c>
      <c r="F983" t="s">
        <v>14</v>
      </c>
      <c r="G983" s="2">
        <v>43845</v>
      </c>
      <c r="H983" t="s">
        <v>27</v>
      </c>
      <c r="I983" t="s">
        <v>39</v>
      </c>
      <c r="J983" t="s">
        <v>24</v>
      </c>
      <c r="K983" s="2" t="str">
        <f t="shared" ca="1" si="15"/>
        <v>5 Years</v>
      </c>
      <c r="L983" s="3" cm="1">
        <f t="array" ref="L983">_xlfn.SWITCH(Table13_2[[#This Row],[Performance Score]],"A",6,"B",5,"C",4,"D",3,"E",2,"F",1)</f>
        <v>4</v>
      </c>
    </row>
    <row r="984" spans="1:12" x14ac:dyDescent="0.3">
      <c r="A984" t="s">
        <v>36</v>
      </c>
      <c r="B984">
        <v>36</v>
      </c>
      <c r="C984" s="1">
        <v>65000</v>
      </c>
      <c r="D984" t="s">
        <v>19</v>
      </c>
      <c r="E984" t="s">
        <v>13</v>
      </c>
      <c r="F984" t="s">
        <v>40</v>
      </c>
      <c r="G984" s="2">
        <v>43845</v>
      </c>
      <c r="H984" t="s">
        <v>15</v>
      </c>
      <c r="I984" t="s">
        <v>32</v>
      </c>
      <c r="J984" t="s">
        <v>24</v>
      </c>
      <c r="K984" s="2" t="str">
        <f t="shared" ca="1" si="15"/>
        <v>5 Years</v>
      </c>
      <c r="L984" s="3" cm="1">
        <f t="array" ref="L984">_xlfn.SWITCH(Table13_2[[#This Row],[Performance Score]],"A",6,"B",5,"C",4,"D",3,"E",2,"F",1)</f>
        <v>3</v>
      </c>
    </row>
    <row r="985" spans="1:12" x14ac:dyDescent="0.3">
      <c r="A985" t="s">
        <v>36</v>
      </c>
      <c r="B985">
        <v>30</v>
      </c>
      <c r="C985" s="1">
        <v>65000</v>
      </c>
      <c r="D985" t="s">
        <v>19</v>
      </c>
      <c r="E985" t="s">
        <v>13</v>
      </c>
      <c r="F985" t="s">
        <v>21</v>
      </c>
      <c r="G985" s="2">
        <v>43800</v>
      </c>
      <c r="H985" t="s">
        <v>15</v>
      </c>
      <c r="I985" t="s">
        <v>23</v>
      </c>
      <c r="J985" t="s">
        <v>42</v>
      </c>
      <c r="K985" s="2" t="str">
        <f t="shared" ca="1" si="15"/>
        <v>6 Years</v>
      </c>
      <c r="L985" s="3" cm="1">
        <f t="array" ref="L985">_xlfn.SWITCH(Table13_2[[#This Row],[Performance Score]],"A",6,"B",5,"C",4,"D",3,"E",2,"F",1)</f>
        <v>3</v>
      </c>
    </row>
    <row r="986" spans="1:12" x14ac:dyDescent="0.3">
      <c r="A986" t="s">
        <v>18</v>
      </c>
      <c r="B986">
        <v>40</v>
      </c>
      <c r="C986" s="1">
        <v>49144.385026737968</v>
      </c>
      <c r="D986" t="s">
        <v>19</v>
      </c>
      <c r="E986" t="s">
        <v>35</v>
      </c>
      <c r="F986" t="s">
        <v>21</v>
      </c>
      <c r="G986" s="2">
        <v>43549</v>
      </c>
      <c r="H986" t="s">
        <v>38</v>
      </c>
      <c r="I986" t="s">
        <v>39</v>
      </c>
      <c r="J986" t="s">
        <v>17</v>
      </c>
      <c r="K986" s="2" t="str">
        <f t="shared" ca="1" si="15"/>
        <v>6 Years</v>
      </c>
      <c r="L986" s="3" cm="1">
        <f t="array" ref="L986">_xlfn.SWITCH(Table13_2[[#This Row],[Performance Score]],"A",6,"B",5,"C",4,"D",3,"E",2,"F",1)</f>
        <v>5</v>
      </c>
    </row>
    <row r="987" spans="1:12" x14ac:dyDescent="0.3">
      <c r="A987" t="s">
        <v>18</v>
      </c>
      <c r="B987">
        <v>25</v>
      </c>
      <c r="C987" s="1">
        <v>65000</v>
      </c>
      <c r="D987" t="s">
        <v>19</v>
      </c>
      <c r="E987" t="s">
        <v>30</v>
      </c>
      <c r="F987" t="s">
        <v>14</v>
      </c>
      <c r="G987" s="2">
        <v>43881</v>
      </c>
      <c r="H987" t="s">
        <v>22</v>
      </c>
      <c r="I987" t="s">
        <v>39</v>
      </c>
      <c r="J987" t="s">
        <v>17</v>
      </c>
      <c r="K987" s="2" t="str">
        <f t="shared" ca="1" si="15"/>
        <v>5 Years</v>
      </c>
      <c r="L987" s="3" cm="1">
        <f t="array" ref="L987">_xlfn.SWITCH(Table13_2[[#This Row],[Performance Score]],"A",6,"B",5,"C",4,"D",3,"E",2,"F",1)</f>
        <v>1</v>
      </c>
    </row>
    <row r="988" spans="1:12" x14ac:dyDescent="0.3">
      <c r="A988" t="s">
        <v>33</v>
      </c>
      <c r="B988">
        <v>40</v>
      </c>
      <c r="C988" s="1">
        <v>55000</v>
      </c>
      <c r="D988" t="s">
        <v>19</v>
      </c>
      <c r="E988" t="s">
        <v>20</v>
      </c>
      <c r="F988" t="s">
        <v>41</v>
      </c>
      <c r="G988" s="2">
        <v>43549</v>
      </c>
      <c r="H988" t="s">
        <v>31</v>
      </c>
      <c r="I988" t="s">
        <v>23</v>
      </c>
      <c r="J988" t="s">
        <v>28</v>
      </c>
      <c r="K988" s="2" t="str">
        <f t="shared" ca="1" si="15"/>
        <v>6 Years</v>
      </c>
      <c r="L988" s="3" cm="1">
        <f t="array" ref="L988">_xlfn.SWITCH(Table13_2[[#This Row],[Performance Score]],"A",6,"B",5,"C",4,"D",3,"E",2,"F",1)</f>
        <v>6</v>
      </c>
    </row>
    <row r="989" spans="1:12" x14ac:dyDescent="0.3">
      <c r="A989" t="s">
        <v>29</v>
      </c>
      <c r="B989">
        <v>50</v>
      </c>
      <c r="C989" s="1">
        <v>60000</v>
      </c>
      <c r="D989" t="s">
        <v>19</v>
      </c>
      <c r="E989" t="s">
        <v>26</v>
      </c>
      <c r="F989" t="s">
        <v>14</v>
      </c>
      <c r="G989" s="2">
        <v>43845</v>
      </c>
      <c r="H989" t="s">
        <v>22</v>
      </c>
      <c r="I989" t="s">
        <v>23</v>
      </c>
      <c r="J989" t="s">
        <v>42</v>
      </c>
      <c r="K989" s="2" t="str">
        <f t="shared" ca="1" si="15"/>
        <v>5 Years</v>
      </c>
      <c r="L989" s="3" cm="1">
        <f t="array" ref="L989">_xlfn.SWITCH(Table13_2[[#This Row],[Performance Score]],"A",6,"B",5,"C",4,"D",3,"E",2,"F",1)</f>
        <v>1</v>
      </c>
    </row>
    <row r="990" spans="1:12" x14ac:dyDescent="0.3">
      <c r="A990" t="s">
        <v>18</v>
      </c>
      <c r="B990">
        <v>40</v>
      </c>
      <c r="C990" s="1">
        <v>70000</v>
      </c>
      <c r="D990" t="s">
        <v>19</v>
      </c>
      <c r="E990" t="s">
        <v>30</v>
      </c>
      <c r="F990" t="s">
        <v>14</v>
      </c>
      <c r="G990" s="2">
        <v>43800</v>
      </c>
      <c r="H990" t="s">
        <v>27</v>
      </c>
      <c r="I990" t="s">
        <v>23</v>
      </c>
      <c r="J990" t="s">
        <v>17</v>
      </c>
      <c r="K990" s="2" t="str">
        <f t="shared" ca="1" si="15"/>
        <v>6 Years</v>
      </c>
      <c r="L990" s="3" cm="1">
        <f t="array" ref="L990">_xlfn.SWITCH(Table13_2[[#This Row],[Performance Score]],"A",6,"B",5,"C",4,"D",3,"E",2,"F",1)</f>
        <v>4</v>
      </c>
    </row>
    <row r="991" spans="1:12" x14ac:dyDescent="0.3">
      <c r="A991" t="s">
        <v>33</v>
      </c>
      <c r="B991">
        <v>50</v>
      </c>
      <c r="C991" s="1">
        <v>60000</v>
      </c>
      <c r="D991" t="s">
        <v>19</v>
      </c>
      <c r="E991" t="s">
        <v>26</v>
      </c>
      <c r="F991" t="s">
        <v>21</v>
      </c>
      <c r="G991" s="2">
        <v>43800</v>
      </c>
      <c r="H991" t="s">
        <v>22</v>
      </c>
      <c r="I991" t="s">
        <v>23</v>
      </c>
      <c r="J991" t="s">
        <v>24</v>
      </c>
      <c r="K991" s="2" t="str">
        <f t="shared" ca="1" si="15"/>
        <v>6 Years</v>
      </c>
      <c r="L991" s="3" cm="1">
        <f t="array" ref="L991">_xlfn.SWITCH(Table13_2[[#This Row],[Performance Score]],"A",6,"B",5,"C",4,"D",3,"E",2,"F",1)</f>
        <v>1</v>
      </c>
    </row>
    <row r="992" spans="1:12" x14ac:dyDescent="0.3">
      <c r="A992" t="s">
        <v>25</v>
      </c>
      <c r="B992">
        <v>30</v>
      </c>
      <c r="C992" s="1">
        <v>60000</v>
      </c>
      <c r="D992" t="s">
        <v>12</v>
      </c>
      <c r="E992" t="s">
        <v>13</v>
      </c>
      <c r="F992" t="s">
        <v>40</v>
      </c>
      <c r="G992" s="2">
        <v>43549</v>
      </c>
      <c r="H992" t="s">
        <v>27</v>
      </c>
      <c r="I992" t="s">
        <v>16</v>
      </c>
      <c r="J992" t="s">
        <v>17</v>
      </c>
      <c r="K992" s="2" t="str">
        <f t="shared" ca="1" si="15"/>
        <v>6 Years</v>
      </c>
      <c r="L992" s="3" cm="1">
        <f t="array" ref="L992">_xlfn.SWITCH(Table13_2[[#This Row],[Performance Score]],"A",6,"B",5,"C",4,"D",3,"E",2,"F",1)</f>
        <v>4</v>
      </c>
    </row>
    <row r="993" spans="1:12" x14ac:dyDescent="0.3">
      <c r="A993" t="s">
        <v>43</v>
      </c>
      <c r="B993">
        <v>25</v>
      </c>
      <c r="C993" s="1">
        <v>55000</v>
      </c>
      <c r="D993" t="s">
        <v>34</v>
      </c>
      <c r="E993" t="s">
        <v>35</v>
      </c>
      <c r="F993" t="s">
        <v>14</v>
      </c>
      <c r="G993" s="2">
        <v>43549</v>
      </c>
      <c r="H993" t="s">
        <v>27</v>
      </c>
      <c r="I993" t="s">
        <v>39</v>
      </c>
      <c r="J993" t="s">
        <v>17</v>
      </c>
      <c r="K993" s="2" t="str">
        <f t="shared" ca="1" si="15"/>
        <v>6 Years</v>
      </c>
      <c r="L993" s="3" cm="1">
        <f t="array" ref="L993">_xlfn.SWITCH(Table13_2[[#This Row],[Performance Score]],"A",6,"B",5,"C",4,"D",3,"E",2,"F",1)</f>
        <v>4</v>
      </c>
    </row>
    <row r="994" spans="1:12" x14ac:dyDescent="0.3">
      <c r="A994" t="s">
        <v>43</v>
      </c>
      <c r="B994">
        <v>30</v>
      </c>
      <c r="C994" s="1">
        <v>60000</v>
      </c>
      <c r="D994" t="s">
        <v>19</v>
      </c>
      <c r="E994" t="s">
        <v>35</v>
      </c>
      <c r="F994" t="s">
        <v>41</v>
      </c>
      <c r="G994" s="2">
        <v>43881</v>
      </c>
      <c r="H994" t="s">
        <v>31</v>
      </c>
      <c r="I994" t="s">
        <v>16</v>
      </c>
      <c r="J994" t="s">
        <v>42</v>
      </c>
      <c r="K994" s="2" t="str">
        <f t="shared" ca="1" si="15"/>
        <v>5 Years</v>
      </c>
      <c r="L994" s="3" cm="1">
        <f t="array" ref="L994">_xlfn.SWITCH(Table13_2[[#This Row],[Performance Score]],"A",6,"B",5,"C",4,"D",3,"E",2,"F",1)</f>
        <v>6</v>
      </c>
    </row>
    <row r="995" spans="1:12" x14ac:dyDescent="0.3">
      <c r="A995" t="s">
        <v>25</v>
      </c>
      <c r="B995">
        <v>35</v>
      </c>
      <c r="C995" s="1">
        <v>48417.431192660551</v>
      </c>
      <c r="D995" t="s">
        <v>34</v>
      </c>
      <c r="E995" t="s">
        <v>20</v>
      </c>
      <c r="F995" t="s">
        <v>37</v>
      </c>
      <c r="G995" s="2">
        <v>43195</v>
      </c>
      <c r="H995" t="s">
        <v>38</v>
      </c>
      <c r="I995" t="s">
        <v>39</v>
      </c>
      <c r="J995" t="s">
        <v>24</v>
      </c>
      <c r="K995" s="2" t="str">
        <f t="shared" ca="1" si="15"/>
        <v>7 Years</v>
      </c>
      <c r="L995" s="3" cm="1">
        <f t="array" ref="L995">_xlfn.SWITCH(Table13_2[[#This Row],[Performance Score]],"A",6,"B",5,"C",4,"D",3,"E",2,"F",1)</f>
        <v>5</v>
      </c>
    </row>
    <row r="996" spans="1:12" x14ac:dyDescent="0.3">
      <c r="A996" t="s">
        <v>11</v>
      </c>
      <c r="B996">
        <v>30</v>
      </c>
      <c r="C996" s="1">
        <v>50000</v>
      </c>
      <c r="D996" t="s">
        <v>19</v>
      </c>
      <c r="E996" t="s">
        <v>35</v>
      </c>
      <c r="F996" t="s">
        <v>14</v>
      </c>
      <c r="G996" s="2">
        <v>43195</v>
      </c>
      <c r="H996" t="s">
        <v>31</v>
      </c>
      <c r="I996" t="s">
        <v>39</v>
      </c>
      <c r="J996" t="s">
        <v>17</v>
      </c>
      <c r="K996" s="2" t="str">
        <f t="shared" ca="1" si="15"/>
        <v>7 Years</v>
      </c>
      <c r="L996" s="3" cm="1">
        <f t="array" ref="L996">_xlfn.SWITCH(Table13_2[[#This Row],[Performance Score]],"A",6,"B",5,"C",4,"D",3,"E",2,"F",1)</f>
        <v>6</v>
      </c>
    </row>
    <row r="997" spans="1:12" x14ac:dyDescent="0.3">
      <c r="A997" t="s">
        <v>33</v>
      </c>
      <c r="B997">
        <v>50</v>
      </c>
      <c r="C997" s="1">
        <v>65000</v>
      </c>
      <c r="D997" t="s">
        <v>19</v>
      </c>
      <c r="E997" t="s">
        <v>13</v>
      </c>
      <c r="F997" t="s">
        <v>14</v>
      </c>
      <c r="G997" s="2">
        <v>43881</v>
      </c>
      <c r="H997" t="s">
        <v>22</v>
      </c>
      <c r="I997" t="s">
        <v>39</v>
      </c>
      <c r="J997" t="s">
        <v>28</v>
      </c>
      <c r="K997" s="2" t="str">
        <f t="shared" ca="1" si="15"/>
        <v>5 Years</v>
      </c>
      <c r="L997" s="3" cm="1">
        <f t="array" ref="L997">_xlfn.SWITCH(Table13_2[[#This Row],[Performance Score]],"A",6,"B",5,"C",4,"D",3,"E",2,"F",1)</f>
        <v>1</v>
      </c>
    </row>
    <row r="998" spans="1:12" x14ac:dyDescent="0.3">
      <c r="A998" t="s">
        <v>33</v>
      </c>
      <c r="B998">
        <v>30</v>
      </c>
      <c r="C998" s="1">
        <v>50000</v>
      </c>
      <c r="D998" t="s">
        <v>12</v>
      </c>
      <c r="E998" t="s">
        <v>20</v>
      </c>
      <c r="F998" t="s">
        <v>41</v>
      </c>
      <c r="G998" s="2">
        <v>43195</v>
      </c>
      <c r="H998" t="s">
        <v>27</v>
      </c>
      <c r="I998" t="s">
        <v>39</v>
      </c>
      <c r="J998" t="s">
        <v>42</v>
      </c>
      <c r="K998" s="2" t="str">
        <f t="shared" ca="1" si="15"/>
        <v>7 Years</v>
      </c>
      <c r="L998" s="3" cm="1">
        <f t="array" ref="L998">_xlfn.SWITCH(Table13_2[[#This Row],[Performance Score]],"A",6,"B",5,"C",4,"D",3,"E",2,"F",1)</f>
        <v>4</v>
      </c>
    </row>
    <row r="999" spans="1:12" x14ac:dyDescent="0.3">
      <c r="A999" t="s">
        <v>25</v>
      </c>
      <c r="B999">
        <v>30</v>
      </c>
      <c r="C999" s="1">
        <v>70000</v>
      </c>
      <c r="D999" t="s">
        <v>12</v>
      </c>
      <c r="E999" t="s">
        <v>30</v>
      </c>
      <c r="F999" t="s">
        <v>40</v>
      </c>
      <c r="G999" s="2">
        <v>43845</v>
      </c>
      <c r="H999" t="s">
        <v>15</v>
      </c>
      <c r="I999" t="s">
        <v>23</v>
      </c>
      <c r="J999" t="s">
        <v>17</v>
      </c>
      <c r="K999" s="2" t="str">
        <f t="shared" ca="1" si="15"/>
        <v>5 Years</v>
      </c>
      <c r="L999" s="3" cm="1">
        <f t="array" ref="L999">_xlfn.SWITCH(Table13_2[[#This Row],[Performance Score]],"A",6,"B",5,"C",4,"D",3,"E",2,"F",1)</f>
        <v>3</v>
      </c>
    </row>
    <row r="1000" spans="1:12" x14ac:dyDescent="0.3">
      <c r="A1000" t="s">
        <v>44</v>
      </c>
      <c r="B1000">
        <v>25</v>
      </c>
      <c r="C1000" s="1">
        <v>65000</v>
      </c>
      <c r="D1000" t="s">
        <v>34</v>
      </c>
      <c r="E1000" t="s">
        <v>35</v>
      </c>
      <c r="F1000" t="s">
        <v>14</v>
      </c>
      <c r="G1000" s="2">
        <v>43195</v>
      </c>
      <c r="H1000" t="s">
        <v>15</v>
      </c>
      <c r="I1000" t="s">
        <v>16</v>
      </c>
      <c r="J1000" t="s">
        <v>17</v>
      </c>
      <c r="K1000" s="2" t="str">
        <f t="shared" ca="1" si="15"/>
        <v>7 Years</v>
      </c>
      <c r="L1000" s="3" cm="1">
        <f t="array" ref="L1000">_xlfn.SWITCH(Table13_2[[#This Row],[Performance Score]],"A",6,"B",5,"C",4,"D",3,"E",2,"F",1)</f>
        <v>3</v>
      </c>
    </row>
    <row r="1001" spans="1:12" x14ac:dyDescent="0.3">
      <c r="A1001" t="s">
        <v>46</v>
      </c>
      <c r="B1001">
        <v>30</v>
      </c>
      <c r="C1001" s="1">
        <v>60000</v>
      </c>
      <c r="D1001" t="s">
        <v>12</v>
      </c>
      <c r="E1001" t="s">
        <v>20</v>
      </c>
      <c r="F1001" t="s">
        <v>14</v>
      </c>
      <c r="G1001" s="2">
        <v>43881</v>
      </c>
      <c r="H1001" t="s">
        <v>27</v>
      </c>
      <c r="I1001" t="s">
        <v>23</v>
      </c>
      <c r="J1001" t="s">
        <v>24</v>
      </c>
      <c r="K1001" s="2" t="str">
        <f t="shared" ca="1" si="15"/>
        <v>5 Years</v>
      </c>
      <c r="L1001" s="3" cm="1">
        <f t="array" ref="L1001">_xlfn.SWITCH(Table13_2[[#This Row],[Performance Score]],"A",6,"B",5,"C",4,"D",3,"E",2,"F",1)</f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EDE231-9468-40F6-B731-FE91DE6D8E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messy ds</vt:lpstr>
      <vt:lpstr>cleaning</vt:lpstr>
      <vt:lpstr>date_conversion</vt:lpstr>
      <vt:lpstr>Cleaned_Date</vt:lpstr>
      <vt:lpstr>cleaned 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Nalini Devi S</dc:creator>
  <cp:lastModifiedBy>Nalini Devi S</cp:lastModifiedBy>
  <dcterms:created xsi:type="dcterms:W3CDTF">2025-11-26T08:21:46Z</dcterms:created>
  <dcterms:modified xsi:type="dcterms:W3CDTF">2025-12-04T06:30:44Z</dcterms:modified>
</cp:coreProperties>
</file>